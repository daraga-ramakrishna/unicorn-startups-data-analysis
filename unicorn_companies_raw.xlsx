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nicorn_companies\data\raw\"/>
    </mc:Choice>
  </mc:AlternateContent>
  <xr:revisionPtr revIDLastSave="0" documentId="13_ncr:1_{F7CE7341-C0BC-4967-BC59-B6406F91B9B9}" xr6:coauthVersionLast="47" xr6:coauthVersionMax="47" xr10:uidLastSave="{00000000-0000-0000-0000-000000000000}"/>
  <bookViews>
    <workbookView xWindow="-120" yWindow="-120" windowWidth="20730" windowHeight="11160" activeTab="2" xr2:uid="{2A42BB4D-610B-4587-AFF5-028284D17CB6}"/>
  </bookViews>
  <sheets>
    <sheet name="unicorn_companies_raw" sheetId="1" r:id="rId1"/>
    <sheet name="Sheet1" sheetId="2" r:id="rId2"/>
    <sheet name="cleaned" sheetId="4" r:id="rId3"/>
  </sheets>
  <definedNames>
    <definedName name="_xlnm._FilterDatabase" localSheetId="2" hidden="1">cleaned!$A$1:$I$1706</definedName>
    <definedName name="_xlnm._FilterDatabase" localSheetId="1" hidden="1">Sheet1!$H$1:$M$1706</definedName>
    <definedName name="_xlnm._FilterDatabase" localSheetId="0" hidden="1">unicorn_companies_raw!$A$1:$F$1706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5" i="2" l="1"/>
  <c r="M359" i="2"/>
  <c r="M423" i="2"/>
  <c r="M457" i="2"/>
  <c r="M489" i="2"/>
  <c r="M521" i="2"/>
  <c r="M553" i="2"/>
  <c r="M585" i="2"/>
  <c r="M617" i="2"/>
  <c r="M649" i="2"/>
  <c r="M681" i="2"/>
  <c r="M713" i="2"/>
  <c r="M745" i="2"/>
  <c r="M777" i="2"/>
  <c r="M809" i="2"/>
  <c r="M841" i="2"/>
  <c r="M873" i="2"/>
  <c r="M905" i="2"/>
  <c r="M93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L130" i="2" s="1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L175" i="2" s="1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L191" i="2" s="1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L207" i="2" s="1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L223" i="2" s="1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L239" i="2" s="1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L255" i="2" s="1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L295" i="2" s="1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L311" i="2" s="1"/>
  <c r="J312" i="2"/>
  <c r="J313" i="2"/>
  <c r="J314" i="2"/>
  <c r="J315" i="2"/>
  <c r="J316" i="2"/>
  <c r="J317" i="2"/>
  <c r="J318" i="2"/>
  <c r="J319" i="2"/>
  <c r="L319" i="2" s="1"/>
  <c r="J320" i="2"/>
  <c r="J321" i="2"/>
  <c r="J322" i="2"/>
  <c r="J323" i="2"/>
  <c r="J324" i="2"/>
  <c r="J325" i="2"/>
  <c r="J326" i="2"/>
  <c r="J327" i="2"/>
  <c r="L327" i="2" s="1"/>
  <c r="J328" i="2"/>
  <c r="J329" i="2"/>
  <c r="J330" i="2"/>
  <c r="J331" i="2"/>
  <c r="J332" i="2"/>
  <c r="J333" i="2"/>
  <c r="J334" i="2"/>
  <c r="J335" i="2"/>
  <c r="L335" i="2" s="1"/>
  <c r="J336" i="2"/>
  <c r="J337" i="2"/>
  <c r="J338" i="2"/>
  <c r="J339" i="2"/>
  <c r="J340" i="2"/>
  <c r="J341" i="2"/>
  <c r="J342" i="2"/>
  <c r="J343" i="2"/>
  <c r="L343" i="2" s="1"/>
  <c r="J344" i="2"/>
  <c r="J345" i="2"/>
  <c r="J346" i="2"/>
  <c r="J347" i="2"/>
  <c r="J348" i="2"/>
  <c r="J349" i="2"/>
  <c r="J350" i="2"/>
  <c r="J351" i="2"/>
  <c r="L351" i="2" s="1"/>
  <c r="J352" i="2"/>
  <c r="J353" i="2"/>
  <c r="J354" i="2"/>
  <c r="J355" i="2"/>
  <c r="J356" i="2"/>
  <c r="J357" i="2"/>
  <c r="J358" i="2"/>
  <c r="J359" i="2"/>
  <c r="L359" i="2" s="1"/>
  <c r="J360" i="2"/>
  <c r="J361" i="2"/>
  <c r="J362" i="2"/>
  <c r="J363" i="2"/>
  <c r="J364" i="2"/>
  <c r="J365" i="2"/>
  <c r="J366" i="2"/>
  <c r="J367" i="2"/>
  <c r="L367" i="2" s="1"/>
  <c r="J368" i="2"/>
  <c r="J369" i="2"/>
  <c r="J370" i="2"/>
  <c r="J371" i="2"/>
  <c r="J372" i="2"/>
  <c r="J373" i="2"/>
  <c r="J374" i="2"/>
  <c r="J375" i="2"/>
  <c r="L375" i="2" s="1"/>
  <c r="J376" i="2"/>
  <c r="J377" i="2"/>
  <c r="J378" i="2"/>
  <c r="J379" i="2"/>
  <c r="J380" i="2"/>
  <c r="J381" i="2"/>
  <c r="J382" i="2"/>
  <c r="J383" i="2"/>
  <c r="L383" i="2" s="1"/>
  <c r="J384" i="2"/>
  <c r="J385" i="2"/>
  <c r="J386" i="2"/>
  <c r="J387" i="2"/>
  <c r="J388" i="2"/>
  <c r="J389" i="2"/>
  <c r="J390" i="2"/>
  <c r="J391" i="2"/>
  <c r="L391" i="2" s="1"/>
  <c r="J392" i="2"/>
  <c r="J393" i="2"/>
  <c r="J394" i="2"/>
  <c r="J395" i="2"/>
  <c r="J396" i="2"/>
  <c r="J397" i="2"/>
  <c r="J398" i="2"/>
  <c r="J399" i="2"/>
  <c r="L399" i="2" s="1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L940" i="2" s="1"/>
  <c r="J941" i="2"/>
  <c r="J942" i="2"/>
  <c r="J943" i="2"/>
  <c r="J944" i="2"/>
  <c r="L944" i="2" s="1"/>
  <c r="J945" i="2"/>
  <c r="J946" i="2"/>
  <c r="J947" i="2"/>
  <c r="J948" i="2"/>
  <c r="L948" i="2" s="1"/>
  <c r="J949" i="2"/>
  <c r="J950" i="2"/>
  <c r="J951" i="2"/>
  <c r="J952" i="2"/>
  <c r="L952" i="2" s="1"/>
  <c r="J953" i="2"/>
  <c r="J954" i="2"/>
  <c r="J955" i="2"/>
  <c r="J956" i="2"/>
  <c r="L956" i="2" s="1"/>
  <c r="J957" i="2"/>
  <c r="J958" i="2"/>
  <c r="J959" i="2"/>
  <c r="J960" i="2"/>
  <c r="L960" i="2" s="1"/>
  <c r="J961" i="2"/>
  <c r="J962" i="2"/>
  <c r="J963" i="2"/>
  <c r="J964" i="2"/>
  <c r="L964" i="2" s="1"/>
  <c r="J965" i="2"/>
  <c r="J966" i="2"/>
  <c r="J967" i="2"/>
  <c r="J968" i="2"/>
  <c r="L968" i="2" s="1"/>
  <c r="J969" i="2"/>
  <c r="J970" i="2"/>
  <c r="J971" i="2"/>
  <c r="J972" i="2"/>
  <c r="L972" i="2" s="1"/>
  <c r="J973" i="2"/>
  <c r="J974" i="2"/>
  <c r="J975" i="2"/>
  <c r="J976" i="2"/>
  <c r="L976" i="2" s="1"/>
  <c r="J977" i="2"/>
  <c r="J978" i="2"/>
  <c r="J979" i="2"/>
  <c r="J980" i="2"/>
  <c r="L980" i="2" s="1"/>
  <c r="J981" i="2"/>
  <c r="J982" i="2"/>
  <c r="J983" i="2"/>
  <c r="J984" i="2"/>
  <c r="L984" i="2" s="1"/>
  <c r="J985" i="2"/>
  <c r="J986" i="2"/>
  <c r="J987" i="2"/>
  <c r="J988" i="2"/>
  <c r="L988" i="2" s="1"/>
  <c r="J989" i="2"/>
  <c r="J990" i="2"/>
  <c r="J991" i="2"/>
  <c r="J992" i="2"/>
  <c r="L992" i="2" s="1"/>
  <c r="J993" i="2"/>
  <c r="J994" i="2"/>
  <c r="J995" i="2"/>
  <c r="J996" i="2"/>
  <c r="L996" i="2" s="1"/>
  <c r="J997" i="2"/>
  <c r="J998" i="2"/>
  <c r="J999" i="2"/>
  <c r="J1000" i="2"/>
  <c r="L1000" i="2" s="1"/>
  <c r="J1001" i="2"/>
  <c r="J1002" i="2"/>
  <c r="J1003" i="2"/>
  <c r="J1004" i="2"/>
  <c r="L1004" i="2" s="1"/>
  <c r="J1005" i="2"/>
  <c r="J1006" i="2"/>
  <c r="J1007" i="2"/>
  <c r="J1008" i="2"/>
  <c r="L1008" i="2" s="1"/>
  <c r="J1009" i="2"/>
  <c r="J1010" i="2"/>
  <c r="J1011" i="2"/>
  <c r="J1012" i="2"/>
  <c r="L1012" i="2" s="1"/>
  <c r="J1013" i="2"/>
  <c r="J1014" i="2"/>
  <c r="J1015" i="2"/>
  <c r="J1016" i="2"/>
  <c r="L1016" i="2" s="1"/>
  <c r="J1017" i="2"/>
  <c r="J1018" i="2"/>
  <c r="J1019" i="2"/>
  <c r="J1020" i="2"/>
  <c r="L1020" i="2" s="1"/>
  <c r="J1021" i="2"/>
  <c r="J1022" i="2"/>
  <c r="J1023" i="2"/>
  <c r="J1024" i="2"/>
  <c r="L1024" i="2" s="1"/>
  <c r="J1025" i="2"/>
  <c r="J1026" i="2"/>
  <c r="J1027" i="2"/>
  <c r="J1028" i="2"/>
  <c r="L1028" i="2" s="1"/>
  <c r="J1029" i="2"/>
  <c r="J1030" i="2"/>
  <c r="J1031" i="2"/>
  <c r="J1032" i="2"/>
  <c r="L1032" i="2" s="1"/>
  <c r="J1033" i="2"/>
  <c r="J1034" i="2"/>
  <c r="J1035" i="2"/>
  <c r="J1036" i="2"/>
  <c r="L1036" i="2" s="1"/>
  <c r="J1037" i="2"/>
  <c r="J1038" i="2"/>
  <c r="J1039" i="2"/>
  <c r="J1040" i="2"/>
  <c r="L1040" i="2" s="1"/>
  <c r="J1041" i="2"/>
  <c r="J1042" i="2"/>
  <c r="J1043" i="2"/>
  <c r="J1044" i="2"/>
  <c r="L1044" i="2" s="1"/>
  <c r="J1045" i="2"/>
  <c r="J1046" i="2"/>
  <c r="J1047" i="2"/>
  <c r="J1048" i="2"/>
  <c r="L1048" i="2" s="1"/>
  <c r="J1049" i="2"/>
  <c r="J1050" i="2"/>
  <c r="J1051" i="2"/>
  <c r="J1052" i="2"/>
  <c r="L1052" i="2" s="1"/>
  <c r="J1053" i="2"/>
  <c r="J1054" i="2"/>
  <c r="J1055" i="2"/>
  <c r="J1056" i="2"/>
  <c r="L1056" i="2" s="1"/>
  <c r="J1057" i="2"/>
  <c r="J1058" i="2"/>
  <c r="J1059" i="2"/>
  <c r="J1060" i="2"/>
  <c r="L1060" i="2" s="1"/>
  <c r="J1061" i="2"/>
  <c r="J1062" i="2"/>
  <c r="J1063" i="2"/>
  <c r="J1064" i="2"/>
  <c r="L1064" i="2" s="1"/>
  <c r="J1065" i="2"/>
  <c r="J1066" i="2"/>
  <c r="J1067" i="2"/>
  <c r="J1068" i="2"/>
  <c r="L1068" i="2" s="1"/>
  <c r="J1069" i="2"/>
  <c r="J1070" i="2"/>
  <c r="J1071" i="2"/>
  <c r="J1072" i="2"/>
  <c r="L1072" i="2" s="1"/>
  <c r="J1073" i="2"/>
  <c r="J1074" i="2"/>
  <c r="J1075" i="2"/>
  <c r="J1076" i="2"/>
  <c r="L1076" i="2" s="1"/>
  <c r="J1077" i="2"/>
  <c r="J1078" i="2"/>
  <c r="J1079" i="2"/>
  <c r="J1080" i="2"/>
  <c r="L1080" i="2" s="1"/>
  <c r="J1081" i="2"/>
  <c r="J1082" i="2"/>
  <c r="J1083" i="2"/>
  <c r="J1084" i="2"/>
  <c r="L1084" i="2" s="1"/>
  <c r="J1085" i="2"/>
  <c r="J1086" i="2"/>
  <c r="J1087" i="2"/>
  <c r="J1088" i="2"/>
  <c r="L1088" i="2" s="1"/>
  <c r="J1089" i="2"/>
  <c r="J1090" i="2"/>
  <c r="J1091" i="2"/>
  <c r="J1092" i="2"/>
  <c r="L1092" i="2" s="1"/>
  <c r="J1093" i="2"/>
  <c r="J1094" i="2"/>
  <c r="J1095" i="2"/>
  <c r="J1096" i="2"/>
  <c r="L1096" i="2" s="1"/>
  <c r="J1097" i="2"/>
  <c r="J1098" i="2"/>
  <c r="J1099" i="2"/>
  <c r="J1100" i="2"/>
  <c r="L1100" i="2" s="1"/>
  <c r="J1101" i="2"/>
  <c r="J1102" i="2"/>
  <c r="J1103" i="2"/>
  <c r="J1104" i="2"/>
  <c r="L1104" i="2" s="1"/>
  <c r="J1105" i="2"/>
  <c r="J1106" i="2"/>
  <c r="J1107" i="2"/>
  <c r="J1108" i="2"/>
  <c r="L1108" i="2" s="1"/>
  <c r="J1109" i="2"/>
  <c r="J1110" i="2"/>
  <c r="J1111" i="2"/>
  <c r="J1112" i="2"/>
  <c r="L1112" i="2" s="1"/>
  <c r="J1113" i="2"/>
  <c r="J1114" i="2"/>
  <c r="J1115" i="2"/>
  <c r="J1116" i="2"/>
  <c r="L1116" i="2" s="1"/>
  <c r="J1117" i="2"/>
  <c r="J1118" i="2"/>
  <c r="J1119" i="2"/>
  <c r="J1120" i="2"/>
  <c r="L1120" i="2" s="1"/>
  <c r="J1121" i="2"/>
  <c r="J1122" i="2"/>
  <c r="J1123" i="2"/>
  <c r="J1124" i="2"/>
  <c r="L1124" i="2" s="1"/>
  <c r="J1125" i="2"/>
  <c r="J1126" i="2"/>
  <c r="J1127" i="2"/>
  <c r="J1128" i="2"/>
  <c r="L1128" i="2" s="1"/>
  <c r="J1129" i="2"/>
  <c r="J1130" i="2"/>
  <c r="J1131" i="2"/>
  <c r="J1132" i="2"/>
  <c r="L1132" i="2" s="1"/>
  <c r="J1133" i="2"/>
  <c r="J1134" i="2"/>
  <c r="J1135" i="2"/>
  <c r="J1136" i="2"/>
  <c r="L1136" i="2" s="1"/>
  <c r="J1137" i="2"/>
  <c r="J1138" i="2"/>
  <c r="J1139" i="2"/>
  <c r="J1140" i="2"/>
  <c r="L1140" i="2" s="1"/>
  <c r="J1141" i="2"/>
  <c r="J1142" i="2"/>
  <c r="J1143" i="2"/>
  <c r="J1144" i="2"/>
  <c r="L1144" i="2" s="1"/>
  <c r="J1145" i="2"/>
  <c r="J1146" i="2"/>
  <c r="J1147" i="2"/>
  <c r="J1148" i="2"/>
  <c r="L1148" i="2" s="1"/>
  <c r="J1149" i="2"/>
  <c r="J1150" i="2"/>
  <c r="J1151" i="2"/>
  <c r="J1152" i="2"/>
  <c r="L1152" i="2" s="1"/>
  <c r="J1153" i="2"/>
  <c r="J1154" i="2"/>
  <c r="J1155" i="2"/>
  <c r="J1156" i="2"/>
  <c r="L1156" i="2" s="1"/>
  <c r="J1157" i="2"/>
  <c r="J1158" i="2"/>
  <c r="J1159" i="2"/>
  <c r="J1160" i="2"/>
  <c r="L1160" i="2" s="1"/>
  <c r="J1161" i="2"/>
  <c r="J1162" i="2"/>
  <c r="J1163" i="2"/>
  <c r="J1164" i="2"/>
  <c r="L1164" i="2" s="1"/>
  <c r="J1165" i="2"/>
  <c r="J1166" i="2"/>
  <c r="J1167" i="2"/>
  <c r="J1168" i="2"/>
  <c r="L1168" i="2" s="1"/>
  <c r="J1169" i="2"/>
  <c r="J1170" i="2"/>
  <c r="J1171" i="2"/>
  <c r="J1172" i="2"/>
  <c r="L1172" i="2" s="1"/>
  <c r="J1173" i="2"/>
  <c r="J1174" i="2"/>
  <c r="J1175" i="2"/>
  <c r="J1176" i="2"/>
  <c r="L1176" i="2" s="1"/>
  <c r="J1177" i="2"/>
  <c r="J1178" i="2"/>
  <c r="J1179" i="2"/>
  <c r="J1180" i="2"/>
  <c r="L1180" i="2" s="1"/>
  <c r="J1181" i="2"/>
  <c r="J1182" i="2"/>
  <c r="J1183" i="2"/>
  <c r="J1184" i="2"/>
  <c r="L1184" i="2" s="1"/>
  <c r="J1185" i="2"/>
  <c r="J1186" i="2"/>
  <c r="J1187" i="2"/>
  <c r="J1188" i="2"/>
  <c r="L1188" i="2" s="1"/>
  <c r="J1189" i="2"/>
  <c r="J1190" i="2"/>
  <c r="J1191" i="2"/>
  <c r="J1192" i="2"/>
  <c r="L1192" i="2" s="1"/>
  <c r="J1193" i="2"/>
  <c r="J1194" i="2"/>
  <c r="J1195" i="2"/>
  <c r="J1196" i="2"/>
  <c r="L1196" i="2" s="1"/>
  <c r="J1197" i="2"/>
  <c r="J1198" i="2"/>
  <c r="J1199" i="2"/>
  <c r="J1200" i="2"/>
  <c r="L1200" i="2" s="1"/>
  <c r="J1201" i="2"/>
  <c r="J1202" i="2"/>
  <c r="J1203" i="2"/>
  <c r="J1204" i="2"/>
  <c r="L1204" i="2" s="1"/>
  <c r="J1205" i="2"/>
  <c r="J1206" i="2"/>
  <c r="J1207" i="2"/>
  <c r="J1208" i="2"/>
  <c r="L1208" i="2" s="1"/>
  <c r="J1209" i="2"/>
  <c r="J1210" i="2"/>
  <c r="J1211" i="2"/>
  <c r="J1212" i="2"/>
  <c r="L1212" i="2" s="1"/>
  <c r="J1213" i="2"/>
  <c r="J1214" i="2"/>
  <c r="J1215" i="2"/>
  <c r="J1216" i="2"/>
  <c r="L1216" i="2" s="1"/>
  <c r="J1217" i="2"/>
  <c r="J1218" i="2"/>
  <c r="J1219" i="2"/>
  <c r="J1220" i="2"/>
  <c r="L1220" i="2" s="1"/>
  <c r="J1221" i="2"/>
  <c r="J1222" i="2"/>
  <c r="J1223" i="2"/>
  <c r="J1224" i="2"/>
  <c r="L1224" i="2" s="1"/>
  <c r="J1225" i="2"/>
  <c r="J1226" i="2"/>
  <c r="J1227" i="2"/>
  <c r="J1228" i="2"/>
  <c r="L1228" i="2" s="1"/>
  <c r="J1229" i="2"/>
  <c r="J1230" i="2"/>
  <c r="J1231" i="2"/>
  <c r="J1232" i="2"/>
  <c r="L1232" i="2" s="1"/>
  <c r="J1233" i="2"/>
  <c r="J1234" i="2"/>
  <c r="J1235" i="2"/>
  <c r="J1236" i="2"/>
  <c r="L1236" i="2" s="1"/>
  <c r="J1237" i="2"/>
  <c r="J1238" i="2"/>
  <c r="J1239" i="2"/>
  <c r="J1240" i="2"/>
  <c r="L1240" i="2" s="1"/>
  <c r="J1241" i="2"/>
  <c r="J1242" i="2"/>
  <c r="J1243" i="2"/>
  <c r="J1244" i="2"/>
  <c r="L1244" i="2" s="1"/>
  <c r="J1245" i="2"/>
  <c r="J1246" i="2"/>
  <c r="J1247" i="2"/>
  <c r="J1248" i="2"/>
  <c r="L1248" i="2" s="1"/>
  <c r="J1249" i="2"/>
  <c r="J1250" i="2"/>
  <c r="J1251" i="2"/>
  <c r="J1252" i="2"/>
  <c r="L1252" i="2" s="1"/>
  <c r="J1253" i="2"/>
  <c r="J1254" i="2"/>
  <c r="J1255" i="2"/>
  <c r="J1256" i="2"/>
  <c r="L1256" i="2" s="1"/>
  <c r="J1257" i="2"/>
  <c r="J1258" i="2"/>
  <c r="J1259" i="2"/>
  <c r="J1260" i="2"/>
  <c r="L1260" i="2" s="1"/>
  <c r="J1261" i="2"/>
  <c r="J1262" i="2"/>
  <c r="J1263" i="2"/>
  <c r="J1264" i="2"/>
  <c r="L1264" i="2" s="1"/>
  <c r="J1265" i="2"/>
  <c r="J1266" i="2"/>
  <c r="J1267" i="2"/>
  <c r="J1268" i="2"/>
  <c r="L1268" i="2" s="1"/>
  <c r="J1269" i="2"/>
  <c r="J1270" i="2"/>
  <c r="J1271" i="2"/>
  <c r="J1272" i="2"/>
  <c r="L1272" i="2" s="1"/>
  <c r="J1273" i="2"/>
  <c r="J1274" i="2"/>
  <c r="J1275" i="2"/>
  <c r="J1276" i="2"/>
  <c r="L1276" i="2" s="1"/>
  <c r="J1277" i="2"/>
  <c r="J1278" i="2"/>
  <c r="J1279" i="2"/>
  <c r="J1280" i="2"/>
  <c r="L1280" i="2" s="1"/>
  <c r="J1281" i="2"/>
  <c r="J1282" i="2"/>
  <c r="J1283" i="2"/>
  <c r="J1284" i="2"/>
  <c r="L1284" i="2" s="1"/>
  <c r="J1285" i="2"/>
  <c r="J1286" i="2"/>
  <c r="J1287" i="2"/>
  <c r="J1288" i="2"/>
  <c r="L1288" i="2" s="1"/>
  <c r="J1289" i="2"/>
  <c r="J1290" i="2"/>
  <c r="J1291" i="2"/>
  <c r="J1292" i="2"/>
  <c r="L1292" i="2" s="1"/>
  <c r="J1293" i="2"/>
  <c r="J1294" i="2"/>
  <c r="J1295" i="2"/>
  <c r="J1296" i="2"/>
  <c r="L1296" i="2" s="1"/>
  <c r="J1297" i="2"/>
  <c r="J1298" i="2"/>
  <c r="J1299" i="2"/>
  <c r="J1300" i="2"/>
  <c r="L1300" i="2" s="1"/>
  <c r="J1301" i="2"/>
  <c r="J1302" i="2"/>
  <c r="J1303" i="2"/>
  <c r="J1304" i="2"/>
  <c r="L1304" i="2" s="1"/>
  <c r="J1305" i="2"/>
  <c r="J1306" i="2"/>
  <c r="J1307" i="2"/>
  <c r="J1308" i="2"/>
  <c r="L1308" i="2" s="1"/>
  <c r="J1309" i="2"/>
  <c r="J1310" i="2"/>
  <c r="J1311" i="2"/>
  <c r="J1312" i="2"/>
  <c r="L1312" i="2" s="1"/>
  <c r="J1313" i="2"/>
  <c r="J1314" i="2"/>
  <c r="J1315" i="2"/>
  <c r="J1316" i="2"/>
  <c r="L1316" i="2" s="1"/>
  <c r="J1317" i="2"/>
  <c r="J1318" i="2"/>
  <c r="J1319" i="2"/>
  <c r="J1320" i="2"/>
  <c r="L1320" i="2" s="1"/>
  <c r="J1321" i="2"/>
  <c r="J1322" i="2"/>
  <c r="J1323" i="2"/>
  <c r="J1324" i="2"/>
  <c r="L1324" i="2" s="1"/>
  <c r="J1325" i="2"/>
  <c r="J1326" i="2"/>
  <c r="J1327" i="2"/>
  <c r="J1328" i="2"/>
  <c r="L1328" i="2" s="1"/>
  <c r="J1329" i="2"/>
  <c r="J1330" i="2"/>
  <c r="J1331" i="2"/>
  <c r="J1332" i="2"/>
  <c r="L1332" i="2" s="1"/>
  <c r="J1333" i="2"/>
  <c r="J1334" i="2"/>
  <c r="J1335" i="2"/>
  <c r="J1336" i="2"/>
  <c r="L1336" i="2" s="1"/>
  <c r="J1337" i="2"/>
  <c r="J1338" i="2"/>
  <c r="J1339" i="2"/>
  <c r="J1340" i="2"/>
  <c r="L1340" i="2" s="1"/>
  <c r="J1341" i="2"/>
  <c r="J1342" i="2"/>
  <c r="J1343" i="2"/>
  <c r="J1344" i="2"/>
  <c r="L1344" i="2" s="1"/>
  <c r="J1345" i="2"/>
  <c r="J1346" i="2"/>
  <c r="J1347" i="2"/>
  <c r="J1348" i="2"/>
  <c r="L1348" i="2" s="1"/>
  <c r="J1349" i="2"/>
  <c r="J1350" i="2"/>
  <c r="J1351" i="2"/>
  <c r="J1352" i="2"/>
  <c r="L1352" i="2" s="1"/>
  <c r="J1353" i="2"/>
  <c r="J1354" i="2"/>
  <c r="J1355" i="2"/>
  <c r="J1356" i="2"/>
  <c r="L1356" i="2" s="1"/>
  <c r="J1357" i="2"/>
  <c r="J1358" i="2"/>
  <c r="J1359" i="2"/>
  <c r="J1360" i="2"/>
  <c r="L1360" i="2" s="1"/>
  <c r="J1361" i="2"/>
  <c r="J1362" i="2"/>
  <c r="J1363" i="2"/>
  <c r="J1364" i="2"/>
  <c r="L1364" i="2" s="1"/>
  <c r="J1365" i="2"/>
  <c r="J1366" i="2"/>
  <c r="J1367" i="2"/>
  <c r="J1368" i="2"/>
  <c r="L1368" i="2" s="1"/>
  <c r="J1369" i="2"/>
  <c r="J1370" i="2"/>
  <c r="J1371" i="2"/>
  <c r="J1372" i="2"/>
  <c r="L1372" i="2" s="1"/>
  <c r="J1373" i="2"/>
  <c r="J1374" i="2"/>
  <c r="J1375" i="2"/>
  <c r="J1376" i="2"/>
  <c r="L1376" i="2" s="1"/>
  <c r="J1377" i="2"/>
  <c r="J1378" i="2"/>
  <c r="J1379" i="2"/>
  <c r="J1380" i="2"/>
  <c r="L1380" i="2" s="1"/>
  <c r="J1381" i="2"/>
  <c r="J1382" i="2"/>
  <c r="J1383" i="2"/>
  <c r="J1384" i="2"/>
  <c r="L1384" i="2" s="1"/>
  <c r="J1385" i="2"/>
  <c r="J1386" i="2"/>
  <c r="J1387" i="2"/>
  <c r="J1388" i="2"/>
  <c r="L1388" i="2" s="1"/>
  <c r="J1389" i="2"/>
  <c r="J1390" i="2"/>
  <c r="J1391" i="2"/>
  <c r="J1392" i="2"/>
  <c r="L1392" i="2" s="1"/>
  <c r="J1393" i="2"/>
  <c r="J1394" i="2"/>
  <c r="J1395" i="2"/>
  <c r="J1396" i="2"/>
  <c r="L1396" i="2" s="1"/>
  <c r="J1397" i="2"/>
  <c r="J1398" i="2"/>
  <c r="J1399" i="2"/>
  <c r="J1400" i="2"/>
  <c r="L1400" i="2" s="1"/>
  <c r="J1401" i="2"/>
  <c r="J1402" i="2"/>
  <c r="J1403" i="2"/>
  <c r="J1404" i="2"/>
  <c r="L1404" i="2" s="1"/>
  <c r="J1405" i="2"/>
  <c r="J1406" i="2"/>
  <c r="J1407" i="2"/>
  <c r="J1408" i="2"/>
  <c r="L1408" i="2" s="1"/>
  <c r="J1409" i="2"/>
  <c r="J1410" i="2"/>
  <c r="J1411" i="2"/>
  <c r="J1412" i="2"/>
  <c r="L1412" i="2" s="1"/>
  <c r="J1413" i="2"/>
  <c r="J1414" i="2"/>
  <c r="J1415" i="2"/>
  <c r="J1416" i="2"/>
  <c r="L1416" i="2" s="1"/>
  <c r="J1417" i="2"/>
  <c r="J1418" i="2"/>
  <c r="J1419" i="2"/>
  <c r="J1420" i="2"/>
  <c r="L1420" i="2" s="1"/>
  <c r="J1421" i="2"/>
  <c r="J1422" i="2"/>
  <c r="J1423" i="2"/>
  <c r="J1424" i="2"/>
  <c r="L1424" i="2" s="1"/>
  <c r="J1425" i="2"/>
  <c r="J1426" i="2"/>
  <c r="J1427" i="2"/>
  <c r="J1428" i="2"/>
  <c r="L1428" i="2" s="1"/>
  <c r="J1429" i="2"/>
  <c r="J1430" i="2"/>
  <c r="J1431" i="2"/>
  <c r="J1432" i="2"/>
  <c r="L1432" i="2" s="1"/>
  <c r="J1433" i="2"/>
  <c r="J1434" i="2"/>
  <c r="J1435" i="2"/>
  <c r="J1436" i="2"/>
  <c r="L1436" i="2" s="1"/>
  <c r="J1437" i="2"/>
  <c r="J1438" i="2"/>
  <c r="J1439" i="2"/>
  <c r="J1440" i="2"/>
  <c r="L1440" i="2" s="1"/>
  <c r="J1441" i="2"/>
  <c r="J1442" i="2"/>
  <c r="J1443" i="2"/>
  <c r="J1444" i="2"/>
  <c r="L1444" i="2" s="1"/>
  <c r="J1445" i="2"/>
  <c r="J1446" i="2"/>
  <c r="J1447" i="2"/>
  <c r="J1448" i="2"/>
  <c r="L1448" i="2" s="1"/>
  <c r="J1449" i="2"/>
  <c r="J1450" i="2"/>
  <c r="J1451" i="2"/>
  <c r="J1452" i="2"/>
  <c r="L1452" i="2" s="1"/>
  <c r="J1453" i="2"/>
  <c r="J1454" i="2"/>
  <c r="J1455" i="2"/>
  <c r="J1456" i="2"/>
  <c r="L1456" i="2" s="1"/>
  <c r="J1457" i="2"/>
  <c r="J1458" i="2"/>
  <c r="J1459" i="2"/>
  <c r="J1460" i="2"/>
  <c r="L1460" i="2" s="1"/>
  <c r="J1461" i="2"/>
  <c r="J1462" i="2"/>
  <c r="J1463" i="2"/>
  <c r="J1464" i="2"/>
  <c r="L1464" i="2" s="1"/>
  <c r="J1465" i="2"/>
  <c r="J1466" i="2"/>
  <c r="J1467" i="2"/>
  <c r="J1468" i="2"/>
  <c r="L1468" i="2" s="1"/>
  <c r="J1469" i="2"/>
  <c r="J1470" i="2"/>
  <c r="J1471" i="2"/>
  <c r="J1472" i="2"/>
  <c r="L1472" i="2" s="1"/>
  <c r="J1473" i="2"/>
  <c r="J1474" i="2"/>
  <c r="J1475" i="2"/>
  <c r="J1476" i="2"/>
  <c r="L1476" i="2" s="1"/>
  <c r="J1477" i="2"/>
  <c r="J1478" i="2"/>
  <c r="J1479" i="2"/>
  <c r="J1480" i="2"/>
  <c r="L1480" i="2" s="1"/>
  <c r="J1481" i="2"/>
  <c r="J1482" i="2"/>
  <c r="J1483" i="2"/>
  <c r="J1484" i="2"/>
  <c r="L1484" i="2" s="1"/>
  <c r="J1485" i="2"/>
  <c r="J1486" i="2"/>
  <c r="J1487" i="2"/>
  <c r="J1488" i="2"/>
  <c r="L1488" i="2" s="1"/>
  <c r="J1489" i="2"/>
  <c r="J1490" i="2"/>
  <c r="J1491" i="2"/>
  <c r="J1492" i="2"/>
  <c r="L1492" i="2" s="1"/>
  <c r="J1493" i="2"/>
  <c r="J1494" i="2"/>
  <c r="J1495" i="2"/>
  <c r="J1496" i="2"/>
  <c r="L1496" i="2" s="1"/>
  <c r="J1497" i="2"/>
  <c r="J1498" i="2"/>
  <c r="J1499" i="2"/>
  <c r="J1500" i="2"/>
  <c r="L1500" i="2" s="1"/>
  <c r="J1501" i="2"/>
  <c r="J1502" i="2"/>
  <c r="J1503" i="2"/>
  <c r="J1504" i="2"/>
  <c r="L1504" i="2" s="1"/>
  <c r="J1505" i="2"/>
  <c r="J1506" i="2"/>
  <c r="J1507" i="2"/>
  <c r="J1508" i="2"/>
  <c r="L1508" i="2" s="1"/>
  <c r="J1509" i="2"/>
  <c r="J1510" i="2"/>
  <c r="J1511" i="2"/>
  <c r="J1512" i="2"/>
  <c r="L1512" i="2" s="1"/>
  <c r="J1513" i="2"/>
  <c r="J1514" i="2"/>
  <c r="J1515" i="2"/>
  <c r="J1516" i="2"/>
  <c r="L1516" i="2" s="1"/>
  <c r="J1517" i="2"/>
  <c r="J1518" i="2"/>
  <c r="J1519" i="2"/>
  <c r="J1520" i="2"/>
  <c r="L1520" i="2" s="1"/>
  <c r="J1521" i="2"/>
  <c r="J1522" i="2"/>
  <c r="J1523" i="2"/>
  <c r="J1524" i="2"/>
  <c r="L1524" i="2" s="1"/>
  <c r="J1525" i="2"/>
  <c r="J1526" i="2"/>
  <c r="J1527" i="2"/>
  <c r="J1528" i="2"/>
  <c r="L1528" i="2" s="1"/>
  <c r="J1529" i="2"/>
  <c r="J1530" i="2"/>
  <c r="J1531" i="2"/>
  <c r="J1532" i="2"/>
  <c r="L1532" i="2" s="1"/>
  <c r="J1533" i="2"/>
  <c r="J1534" i="2"/>
  <c r="J1535" i="2"/>
  <c r="J1536" i="2"/>
  <c r="L1536" i="2" s="1"/>
  <c r="J1537" i="2"/>
  <c r="J1538" i="2"/>
  <c r="J1539" i="2"/>
  <c r="J1540" i="2"/>
  <c r="L1540" i="2" s="1"/>
  <c r="J1541" i="2"/>
  <c r="J1542" i="2"/>
  <c r="J1543" i="2"/>
  <c r="J1544" i="2"/>
  <c r="L1544" i="2" s="1"/>
  <c r="J1545" i="2"/>
  <c r="J1546" i="2"/>
  <c r="J1547" i="2"/>
  <c r="J1548" i="2"/>
  <c r="L1548" i="2" s="1"/>
  <c r="J1549" i="2"/>
  <c r="J1550" i="2"/>
  <c r="J1551" i="2"/>
  <c r="J1552" i="2"/>
  <c r="L1552" i="2" s="1"/>
  <c r="J1553" i="2"/>
  <c r="J1554" i="2"/>
  <c r="J1555" i="2"/>
  <c r="J1556" i="2"/>
  <c r="L1556" i="2" s="1"/>
  <c r="J1557" i="2"/>
  <c r="J1558" i="2"/>
  <c r="J1559" i="2"/>
  <c r="J1560" i="2"/>
  <c r="L1560" i="2" s="1"/>
  <c r="J1561" i="2"/>
  <c r="J1562" i="2"/>
  <c r="J1563" i="2"/>
  <c r="J1564" i="2"/>
  <c r="L1564" i="2" s="1"/>
  <c r="J1565" i="2"/>
  <c r="J1566" i="2"/>
  <c r="J1567" i="2"/>
  <c r="J1568" i="2"/>
  <c r="L1568" i="2" s="1"/>
  <c r="J1569" i="2"/>
  <c r="J1570" i="2"/>
  <c r="J1571" i="2"/>
  <c r="J1572" i="2"/>
  <c r="L1572" i="2" s="1"/>
  <c r="J1573" i="2"/>
  <c r="J1574" i="2"/>
  <c r="J1575" i="2"/>
  <c r="J1576" i="2"/>
  <c r="L1576" i="2" s="1"/>
  <c r="J1577" i="2"/>
  <c r="J1578" i="2"/>
  <c r="J1579" i="2"/>
  <c r="J1580" i="2"/>
  <c r="L1580" i="2" s="1"/>
  <c r="J1581" i="2"/>
  <c r="J1582" i="2"/>
  <c r="J1583" i="2"/>
  <c r="J1584" i="2"/>
  <c r="L1584" i="2" s="1"/>
  <c r="J1585" i="2"/>
  <c r="J1586" i="2"/>
  <c r="J1587" i="2"/>
  <c r="J1588" i="2"/>
  <c r="L1588" i="2" s="1"/>
  <c r="J1589" i="2"/>
  <c r="J1590" i="2"/>
  <c r="J1591" i="2"/>
  <c r="J1592" i="2"/>
  <c r="L1592" i="2" s="1"/>
  <c r="J1593" i="2"/>
  <c r="J1594" i="2"/>
  <c r="J1595" i="2"/>
  <c r="J1596" i="2"/>
  <c r="L1596" i="2" s="1"/>
  <c r="J1597" i="2"/>
  <c r="J1598" i="2"/>
  <c r="J1599" i="2"/>
  <c r="J1600" i="2"/>
  <c r="L1600" i="2" s="1"/>
  <c r="J1601" i="2"/>
  <c r="J1602" i="2"/>
  <c r="J1603" i="2"/>
  <c r="J1604" i="2"/>
  <c r="L1604" i="2" s="1"/>
  <c r="J1605" i="2"/>
  <c r="J1606" i="2"/>
  <c r="J1607" i="2"/>
  <c r="J1608" i="2"/>
  <c r="L1608" i="2" s="1"/>
  <c r="J1609" i="2"/>
  <c r="J1610" i="2"/>
  <c r="J1611" i="2"/>
  <c r="J1612" i="2"/>
  <c r="L1612" i="2" s="1"/>
  <c r="J1613" i="2"/>
  <c r="J1614" i="2"/>
  <c r="J1615" i="2"/>
  <c r="J1616" i="2"/>
  <c r="L1616" i="2" s="1"/>
  <c r="J1617" i="2"/>
  <c r="J1618" i="2"/>
  <c r="J1619" i="2"/>
  <c r="J1620" i="2"/>
  <c r="L1620" i="2" s="1"/>
  <c r="J1621" i="2"/>
  <c r="J1622" i="2"/>
  <c r="J1623" i="2"/>
  <c r="J1624" i="2"/>
  <c r="L1624" i="2" s="1"/>
  <c r="J1625" i="2"/>
  <c r="J1626" i="2"/>
  <c r="J1627" i="2"/>
  <c r="J1628" i="2"/>
  <c r="L1628" i="2" s="1"/>
  <c r="J1629" i="2"/>
  <c r="J1630" i="2"/>
  <c r="J1631" i="2"/>
  <c r="J1632" i="2"/>
  <c r="L1632" i="2" s="1"/>
  <c r="J1633" i="2"/>
  <c r="J1634" i="2"/>
  <c r="J1635" i="2"/>
  <c r="J1636" i="2"/>
  <c r="L1636" i="2" s="1"/>
  <c r="J1637" i="2"/>
  <c r="J1638" i="2"/>
  <c r="J1639" i="2"/>
  <c r="J1640" i="2"/>
  <c r="L1640" i="2" s="1"/>
  <c r="J1641" i="2"/>
  <c r="J1642" i="2"/>
  <c r="J1643" i="2"/>
  <c r="J1644" i="2"/>
  <c r="L1644" i="2" s="1"/>
  <c r="J1645" i="2"/>
  <c r="J1646" i="2"/>
  <c r="J1647" i="2"/>
  <c r="J1648" i="2"/>
  <c r="L1648" i="2" s="1"/>
  <c r="J1649" i="2"/>
  <c r="J1650" i="2"/>
  <c r="J1651" i="2"/>
  <c r="J1652" i="2"/>
  <c r="L1652" i="2" s="1"/>
  <c r="J1653" i="2"/>
  <c r="J1654" i="2"/>
  <c r="J1655" i="2"/>
  <c r="J1656" i="2"/>
  <c r="L1656" i="2" s="1"/>
  <c r="J1657" i="2"/>
  <c r="J1658" i="2"/>
  <c r="J1659" i="2"/>
  <c r="J1660" i="2"/>
  <c r="L1660" i="2" s="1"/>
  <c r="J1661" i="2"/>
  <c r="J1662" i="2"/>
  <c r="J1663" i="2"/>
  <c r="J1664" i="2"/>
  <c r="L1664" i="2" s="1"/>
  <c r="J1665" i="2"/>
  <c r="J1666" i="2"/>
  <c r="J1667" i="2"/>
  <c r="J1668" i="2"/>
  <c r="L1668" i="2" s="1"/>
  <c r="J1669" i="2"/>
  <c r="J1670" i="2"/>
  <c r="J1671" i="2"/>
  <c r="J1672" i="2"/>
  <c r="L1672" i="2" s="1"/>
  <c r="J1673" i="2"/>
  <c r="J1674" i="2"/>
  <c r="J1675" i="2"/>
  <c r="J1676" i="2"/>
  <c r="L1676" i="2" s="1"/>
  <c r="J1677" i="2"/>
  <c r="J1678" i="2"/>
  <c r="J1679" i="2"/>
  <c r="J1680" i="2"/>
  <c r="L1680" i="2" s="1"/>
  <c r="J1681" i="2"/>
  <c r="J1682" i="2"/>
  <c r="J1683" i="2"/>
  <c r="J1684" i="2"/>
  <c r="L1684" i="2" s="1"/>
  <c r="J1685" i="2"/>
  <c r="J1686" i="2"/>
  <c r="J1687" i="2"/>
  <c r="J1688" i="2"/>
  <c r="L1688" i="2" s="1"/>
  <c r="J1689" i="2"/>
  <c r="J1690" i="2"/>
  <c r="K1690" i="2" s="1"/>
  <c r="J1691" i="2"/>
  <c r="J1692" i="2"/>
  <c r="L1692" i="2" s="1"/>
  <c r="J1693" i="2"/>
  <c r="J1694" i="2"/>
  <c r="J1695" i="2"/>
  <c r="J1696" i="2"/>
  <c r="L1696" i="2" s="1"/>
  <c r="J1697" i="2"/>
  <c r="J1698" i="2"/>
  <c r="J1699" i="2"/>
  <c r="J1700" i="2"/>
  <c r="L1700" i="2" s="1"/>
  <c r="J1701" i="2"/>
  <c r="J1702" i="2"/>
  <c r="J1703" i="2"/>
  <c r="J1704" i="2"/>
  <c r="L1704" i="2" s="1"/>
  <c r="J1705" i="2"/>
  <c r="J1706" i="2"/>
  <c r="J2" i="2"/>
  <c r="I3" i="2"/>
  <c r="M3" i="2" s="1"/>
  <c r="I4" i="2"/>
  <c r="M4" i="2" s="1"/>
  <c r="I5" i="2"/>
  <c r="M5" i="2" s="1"/>
  <c r="I6" i="2"/>
  <c r="M6" i="2" s="1"/>
  <c r="I7" i="2"/>
  <c r="M7" i="2" s="1"/>
  <c r="I8" i="2"/>
  <c r="M8" i="2" s="1"/>
  <c r="I9" i="2"/>
  <c r="M9" i="2" s="1"/>
  <c r="I10" i="2"/>
  <c r="M10" i="2" s="1"/>
  <c r="I11" i="2"/>
  <c r="M11" i="2" s="1"/>
  <c r="I12" i="2"/>
  <c r="M12" i="2" s="1"/>
  <c r="I13" i="2"/>
  <c r="M13" i="2" s="1"/>
  <c r="I14" i="2"/>
  <c r="M14" i="2" s="1"/>
  <c r="I15" i="2"/>
  <c r="M15" i="2" s="1"/>
  <c r="I16" i="2"/>
  <c r="M16" i="2" s="1"/>
  <c r="I17" i="2"/>
  <c r="M17" i="2" s="1"/>
  <c r="I18" i="2"/>
  <c r="I19" i="2"/>
  <c r="M19" i="2" s="1"/>
  <c r="I20" i="2"/>
  <c r="M20" i="2" s="1"/>
  <c r="I21" i="2"/>
  <c r="M21" i="2" s="1"/>
  <c r="I22" i="2"/>
  <c r="M22" i="2" s="1"/>
  <c r="I23" i="2"/>
  <c r="M23" i="2" s="1"/>
  <c r="I24" i="2"/>
  <c r="M24" i="2" s="1"/>
  <c r="I25" i="2"/>
  <c r="M25" i="2" s="1"/>
  <c r="I26" i="2"/>
  <c r="M26" i="2" s="1"/>
  <c r="I27" i="2"/>
  <c r="M27" i="2" s="1"/>
  <c r="I28" i="2"/>
  <c r="M28" i="2" s="1"/>
  <c r="I29" i="2"/>
  <c r="M29" i="2" s="1"/>
  <c r="I30" i="2"/>
  <c r="M30" i="2" s="1"/>
  <c r="I31" i="2"/>
  <c r="M31" i="2" s="1"/>
  <c r="I32" i="2"/>
  <c r="M32" i="2" s="1"/>
  <c r="I33" i="2"/>
  <c r="I34" i="2"/>
  <c r="M34" i="2" s="1"/>
  <c r="I35" i="2"/>
  <c r="M35" i="2" s="1"/>
  <c r="I36" i="2"/>
  <c r="M36" i="2" s="1"/>
  <c r="I37" i="2"/>
  <c r="M37" i="2" s="1"/>
  <c r="I38" i="2"/>
  <c r="M38" i="2" s="1"/>
  <c r="I39" i="2"/>
  <c r="M39" i="2" s="1"/>
  <c r="I40" i="2"/>
  <c r="M40" i="2" s="1"/>
  <c r="I41" i="2"/>
  <c r="M41" i="2" s="1"/>
  <c r="I42" i="2"/>
  <c r="M42" i="2" s="1"/>
  <c r="I43" i="2"/>
  <c r="M43" i="2" s="1"/>
  <c r="I44" i="2"/>
  <c r="M44" i="2" s="1"/>
  <c r="I45" i="2"/>
  <c r="M45" i="2" s="1"/>
  <c r="I46" i="2"/>
  <c r="M46" i="2" s="1"/>
  <c r="I47" i="2"/>
  <c r="M47" i="2" s="1"/>
  <c r="I48" i="2"/>
  <c r="M48" i="2" s="1"/>
  <c r="I49" i="2"/>
  <c r="M49" i="2" s="1"/>
  <c r="I50" i="2"/>
  <c r="I51" i="2"/>
  <c r="M51" i="2" s="1"/>
  <c r="I52" i="2"/>
  <c r="M52" i="2" s="1"/>
  <c r="I53" i="2"/>
  <c r="M53" i="2" s="1"/>
  <c r="I54" i="2"/>
  <c r="M54" i="2" s="1"/>
  <c r="I55" i="2"/>
  <c r="M55" i="2" s="1"/>
  <c r="I56" i="2"/>
  <c r="M56" i="2" s="1"/>
  <c r="I57" i="2"/>
  <c r="M57" i="2" s="1"/>
  <c r="I58" i="2"/>
  <c r="M58" i="2" s="1"/>
  <c r="I59" i="2"/>
  <c r="M59" i="2" s="1"/>
  <c r="I60" i="2"/>
  <c r="M60" i="2" s="1"/>
  <c r="I61" i="2"/>
  <c r="M61" i="2" s="1"/>
  <c r="I62" i="2"/>
  <c r="M62" i="2" s="1"/>
  <c r="I63" i="2"/>
  <c r="M63" i="2" s="1"/>
  <c r="I64" i="2"/>
  <c r="M64" i="2" s="1"/>
  <c r="I65" i="2"/>
  <c r="M65" i="2" s="1"/>
  <c r="I66" i="2"/>
  <c r="M66" i="2" s="1"/>
  <c r="I67" i="2"/>
  <c r="M67" i="2" s="1"/>
  <c r="I68" i="2"/>
  <c r="M68" i="2" s="1"/>
  <c r="I69" i="2"/>
  <c r="M69" i="2" s="1"/>
  <c r="I70" i="2"/>
  <c r="M70" i="2" s="1"/>
  <c r="I71" i="2"/>
  <c r="M71" i="2" s="1"/>
  <c r="I72" i="2"/>
  <c r="M72" i="2" s="1"/>
  <c r="I73" i="2"/>
  <c r="M73" i="2" s="1"/>
  <c r="I74" i="2"/>
  <c r="M74" i="2" s="1"/>
  <c r="I75" i="2"/>
  <c r="M75" i="2" s="1"/>
  <c r="I76" i="2"/>
  <c r="M76" i="2" s="1"/>
  <c r="I77" i="2"/>
  <c r="M77" i="2" s="1"/>
  <c r="I78" i="2"/>
  <c r="M78" i="2" s="1"/>
  <c r="I79" i="2"/>
  <c r="M79" i="2" s="1"/>
  <c r="I80" i="2"/>
  <c r="M80" i="2" s="1"/>
  <c r="I81" i="2"/>
  <c r="M81" i="2" s="1"/>
  <c r="I82" i="2"/>
  <c r="I83" i="2"/>
  <c r="M83" i="2" s="1"/>
  <c r="I84" i="2"/>
  <c r="M84" i="2" s="1"/>
  <c r="I85" i="2"/>
  <c r="M85" i="2" s="1"/>
  <c r="I86" i="2"/>
  <c r="M86" i="2" s="1"/>
  <c r="I87" i="2"/>
  <c r="M87" i="2" s="1"/>
  <c r="I88" i="2"/>
  <c r="M88" i="2" s="1"/>
  <c r="I89" i="2"/>
  <c r="M89" i="2" s="1"/>
  <c r="I90" i="2"/>
  <c r="M90" i="2" s="1"/>
  <c r="I91" i="2"/>
  <c r="M91" i="2" s="1"/>
  <c r="I92" i="2"/>
  <c r="M92" i="2" s="1"/>
  <c r="I93" i="2"/>
  <c r="M93" i="2" s="1"/>
  <c r="I94" i="2"/>
  <c r="M94" i="2" s="1"/>
  <c r="I95" i="2"/>
  <c r="M95" i="2" s="1"/>
  <c r="I96" i="2"/>
  <c r="M96" i="2" s="1"/>
  <c r="I97" i="2"/>
  <c r="I98" i="2"/>
  <c r="M98" i="2" s="1"/>
  <c r="I99" i="2"/>
  <c r="M99" i="2" s="1"/>
  <c r="I100" i="2"/>
  <c r="M100" i="2" s="1"/>
  <c r="I101" i="2"/>
  <c r="M101" i="2" s="1"/>
  <c r="I102" i="2"/>
  <c r="M102" i="2" s="1"/>
  <c r="I103" i="2"/>
  <c r="M103" i="2" s="1"/>
  <c r="I104" i="2"/>
  <c r="M104" i="2" s="1"/>
  <c r="I105" i="2"/>
  <c r="M105" i="2" s="1"/>
  <c r="I106" i="2"/>
  <c r="M106" i="2" s="1"/>
  <c r="I107" i="2"/>
  <c r="M107" i="2" s="1"/>
  <c r="I108" i="2"/>
  <c r="M108" i="2" s="1"/>
  <c r="I109" i="2"/>
  <c r="M109" i="2" s="1"/>
  <c r="I110" i="2"/>
  <c r="M110" i="2" s="1"/>
  <c r="I111" i="2"/>
  <c r="M111" i="2" s="1"/>
  <c r="I112" i="2"/>
  <c r="M112" i="2" s="1"/>
  <c r="I113" i="2"/>
  <c r="M113" i="2" s="1"/>
  <c r="I114" i="2"/>
  <c r="I115" i="2"/>
  <c r="M115" i="2" s="1"/>
  <c r="I116" i="2"/>
  <c r="M116" i="2" s="1"/>
  <c r="I117" i="2"/>
  <c r="M117" i="2" s="1"/>
  <c r="I118" i="2"/>
  <c r="M118" i="2" s="1"/>
  <c r="I119" i="2"/>
  <c r="M119" i="2" s="1"/>
  <c r="I120" i="2"/>
  <c r="M120" i="2" s="1"/>
  <c r="I121" i="2"/>
  <c r="M121" i="2" s="1"/>
  <c r="I122" i="2"/>
  <c r="M122" i="2" s="1"/>
  <c r="I123" i="2"/>
  <c r="M123" i="2" s="1"/>
  <c r="I124" i="2"/>
  <c r="M124" i="2" s="1"/>
  <c r="I125" i="2"/>
  <c r="M125" i="2" s="1"/>
  <c r="I126" i="2"/>
  <c r="M126" i="2" s="1"/>
  <c r="I127" i="2"/>
  <c r="M127" i="2" s="1"/>
  <c r="I128" i="2"/>
  <c r="M128" i="2" s="1"/>
  <c r="I129" i="2"/>
  <c r="I130" i="2"/>
  <c r="M130" i="2" s="1"/>
  <c r="I131" i="2"/>
  <c r="M131" i="2" s="1"/>
  <c r="I132" i="2"/>
  <c r="M132" i="2" s="1"/>
  <c r="I133" i="2"/>
  <c r="M133" i="2" s="1"/>
  <c r="I134" i="2"/>
  <c r="M134" i="2" s="1"/>
  <c r="I135" i="2"/>
  <c r="M135" i="2" s="1"/>
  <c r="I136" i="2"/>
  <c r="M136" i="2" s="1"/>
  <c r="I137" i="2"/>
  <c r="M137" i="2" s="1"/>
  <c r="I138" i="2"/>
  <c r="M138" i="2" s="1"/>
  <c r="I139" i="2"/>
  <c r="M139" i="2" s="1"/>
  <c r="I140" i="2"/>
  <c r="M140" i="2" s="1"/>
  <c r="I141" i="2"/>
  <c r="M141" i="2" s="1"/>
  <c r="I142" i="2"/>
  <c r="M142" i="2" s="1"/>
  <c r="I143" i="2"/>
  <c r="M143" i="2" s="1"/>
  <c r="I144" i="2"/>
  <c r="M144" i="2" s="1"/>
  <c r="I145" i="2"/>
  <c r="M145" i="2" s="1"/>
  <c r="I146" i="2"/>
  <c r="I147" i="2"/>
  <c r="M147" i="2" s="1"/>
  <c r="I148" i="2"/>
  <c r="M148" i="2" s="1"/>
  <c r="I149" i="2"/>
  <c r="M149" i="2" s="1"/>
  <c r="I150" i="2"/>
  <c r="M150" i="2" s="1"/>
  <c r="I151" i="2"/>
  <c r="M151" i="2" s="1"/>
  <c r="I152" i="2"/>
  <c r="M152" i="2" s="1"/>
  <c r="I153" i="2"/>
  <c r="M153" i="2" s="1"/>
  <c r="I154" i="2"/>
  <c r="M154" i="2" s="1"/>
  <c r="I155" i="2"/>
  <c r="M155" i="2" s="1"/>
  <c r="I156" i="2"/>
  <c r="M156" i="2" s="1"/>
  <c r="I157" i="2"/>
  <c r="M157" i="2" s="1"/>
  <c r="I158" i="2"/>
  <c r="M158" i="2" s="1"/>
  <c r="I159" i="2"/>
  <c r="M159" i="2" s="1"/>
  <c r="I160" i="2"/>
  <c r="M160" i="2" s="1"/>
  <c r="I161" i="2"/>
  <c r="I162" i="2"/>
  <c r="M162" i="2" s="1"/>
  <c r="I163" i="2"/>
  <c r="M163" i="2" s="1"/>
  <c r="I164" i="2"/>
  <c r="M164" i="2" s="1"/>
  <c r="I165" i="2"/>
  <c r="M165" i="2" s="1"/>
  <c r="I166" i="2"/>
  <c r="M166" i="2" s="1"/>
  <c r="I167" i="2"/>
  <c r="M167" i="2" s="1"/>
  <c r="I168" i="2"/>
  <c r="M168" i="2" s="1"/>
  <c r="I169" i="2"/>
  <c r="M169" i="2" s="1"/>
  <c r="I170" i="2"/>
  <c r="M170" i="2" s="1"/>
  <c r="I171" i="2"/>
  <c r="M171" i="2" s="1"/>
  <c r="I172" i="2"/>
  <c r="M172" i="2" s="1"/>
  <c r="I173" i="2"/>
  <c r="M173" i="2" s="1"/>
  <c r="I174" i="2"/>
  <c r="M174" i="2" s="1"/>
  <c r="I175" i="2"/>
  <c r="M175" i="2" s="1"/>
  <c r="I176" i="2"/>
  <c r="M176" i="2" s="1"/>
  <c r="I177" i="2"/>
  <c r="M177" i="2" s="1"/>
  <c r="I178" i="2"/>
  <c r="M178" i="2" s="1"/>
  <c r="I179" i="2"/>
  <c r="M179" i="2" s="1"/>
  <c r="I180" i="2"/>
  <c r="M180" i="2" s="1"/>
  <c r="I181" i="2"/>
  <c r="M181" i="2" s="1"/>
  <c r="I182" i="2"/>
  <c r="M182" i="2" s="1"/>
  <c r="I183" i="2"/>
  <c r="M183" i="2" s="1"/>
  <c r="I184" i="2"/>
  <c r="M184" i="2" s="1"/>
  <c r="I185" i="2"/>
  <c r="M185" i="2" s="1"/>
  <c r="I186" i="2"/>
  <c r="M186" i="2" s="1"/>
  <c r="I187" i="2"/>
  <c r="M187" i="2" s="1"/>
  <c r="I188" i="2"/>
  <c r="M188" i="2" s="1"/>
  <c r="I189" i="2"/>
  <c r="M189" i="2" s="1"/>
  <c r="I190" i="2"/>
  <c r="M190" i="2" s="1"/>
  <c r="I191" i="2"/>
  <c r="M191" i="2" s="1"/>
  <c r="I192" i="2"/>
  <c r="M192" i="2" s="1"/>
  <c r="I193" i="2"/>
  <c r="I194" i="2"/>
  <c r="M194" i="2" s="1"/>
  <c r="I195" i="2"/>
  <c r="M195" i="2" s="1"/>
  <c r="I196" i="2"/>
  <c r="M196" i="2" s="1"/>
  <c r="I197" i="2"/>
  <c r="M197" i="2" s="1"/>
  <c r="I198" i="2"/>
  <c r="M198" i="2" s="1"/>
  <c r="I199" i="2"/>
  <c r="M199" i="2" s="1"/>
  <c r="I200" i="2"/>
  <c r="M200" i="2" s="1"/>
  <c r="I201" i="2"/>
  <c r="M201" i="2" s="1"/>
  <c r="I202" i="2"/>
  <c r="M202" i="2" s="1"/>
  <c r="I203" i="2"/>
  <c r="M203" i="2" s="1"/>
  <c r="I204" i="2"/>
  <c r="M204" i="2" s="1"/>
  <c r="I205" i="2"/>
  <c r="M205" i="2" s="1"/>
  <c r="I206" i="2"/>
  <c r="M206" i="2" s="1"/>
  <c r="I207" i="2"/>
  <c r="M207" i="2" s="1"/>
  <c r="I208" i="2"/>
  <c r="M208" i="2" s="1"/>
  <c r="I209" i="2"/>
  <c r="M209" i="2" s="1"/>
  <c r="I210" i="2"/>
  <c r="M210" i="2" s="1"/>
  <c r="I211" i="2"/>
  <c r="M211" i="2" s="1"/>
  <c r="I212" i="2"/>
  <c r="M212" i="2" s="1"/>
  <c r="I213" i="2"/>
  <c r="M213" i="2" s="1"/>
  <c r="I214" i="2"/>
  <c r="M214" i="2" s="1"/>
  <c r="I215" i="2"/>
  <c r="M215" i="2" s="1"/>
  <c r="I216" i="2"/>
  <c r="M216" i="2" s="1"/>
  <c r="I217" i="2"/>
  <c r="M217" i="2" s="1"/>
  <c r="I218" i="2"/>
  <c r="M218" i="2" s="1"/>
  <c r="I219" i="2"/>
  <c r="M219" i="2" s="1"/>
  <c r="I220" i="2"/>
  <c r="M220" i="2" s="1"/>
  <c r="I221" i="2"/>
  <c r="M221" i="2" s="1"/>
  <c r="I222" i="2"/>
  <c r="M222" i="2" s="1"/>
  <c r="I223" i="2"/>
  <c r="M223" i="2" s="1"/>
  <c r="I224" i="2"/>
  <c r="M224" i="2" s="1"/>
  <c r="I225" i="2"/>
  <c r="I226" i="2"/>
  <c r="M226" i="2" s="1"/>
  <c r="I227" i="2"/>
  <c r="M227" i="2" s="1"/>
  <c r="I228" i="2"/>
  <c r="M228" i="2" s="1"/>
  <c r="I229" i="2"/>
  <c r="M229" i="2" s="1"/>
  <c r="I230" i="2"/>
  <c r="M230" i="2" s="1"/>
  <c r="I231" i="2"/>
  <c r="M231" i="2" s="1"/>
  <c r="I232" i="2"/>
  <c r="M232" i="2" s="1"/>
  <c r="I233" i="2"/>
  <c r="M233" i="2" s="1"/>
  <c r="I234" i="2"/>
  <c r="M234" i="2" s="1"/>
  <c r="I235" i="2"/>
  <c r="M235" i="2" s="1"/>
  <c r="I236" i="2"/>
  <c r="M236" i="2" s="1"/>
  <c r="I237" i="2"/>
  <c r="M237" i="2" s="1"/>
  <c r="I238" i="2"/>
  <c r="M238" i="2" s="1"/>
  <c r="I239" i="2"/>
  <c r="M239" i="2" s="1"/>
  <c r="I240" i="2"/>
  <c r="M240" i="2" s="1"/>
  <c r="I241" i="2"/>
  <c r="M241" i="2" s="1"/>
  <c r="I242" i="2"/>
  <c r="M242" i="2" s="1"/>
  <c r="I243" i="2"/>
  <c r="M243" i="2" s="1"/>
  <c r="I244" i="2"/>
  <c r="M244" i="2" s="1"/>
  <c r="I245" i="2"/>
  <c r="M245" i="2" s="1"/>
  <c r="I246" i="2"/>
  <c r="M246" i="2" s="1"/>
  <c r="I247" i="2"/>
  <c r="M247" i="2" s="1"/>
  <c r="I248" i="2"/>
  <c r="M248" i="2" s="1"/>
  <c r="I249" i="2"/>
  <c r="M249" i="2" s="1"/>
  <c r="I250" i="2"/>
  <c r="M250" i="2" s="1"/>
  <c r="I251" i="2"/>
  <c r="M251" i="2" s="1"/>
  <c r="I252" i="2"/>
  <c r="M252" i="2" s="1"/>
  <c r="I253" i="2"/>
  <c r="M253" i="2" s="1"/>
  <c r="I254" i="2"/>
  <c r="M254" i="2" s="1"/>
  <c r="I255" i="2"/>
  <c r="M255" i="2" s="1"/>
  <c r="I256" i="2"/>
  <c r="M256" i="2" s="1"/>
  <c r="I257" i="2"/>
  <c r="I258" i="2"/>
  <c r="M258" i="2" s="1"/>
  <c r="I259" i="2"/>
  <c r="M259" i="2" s="1"/>
  <c r="I260" i="2"/>
  <c r="M260" i="2" s="1"/>
  <c r="I261" i="2"/>
  <c r="M261" i="2" s="1"/>
  <c r="I262" i="2"/>
  <c r="M262" i="2" s="1"/>
  <c r="I263" i="2"/>
  <c r="M263" i="2" s="1"/>
  <c r="I264" i="2"/>
  <c r="M264" i="2" s="1"/>
  <c r="I265" i="2"/>
  <c r="M265" i="2" s="1"/>
  <c r="I266" i="2"/>
  <c r="M266" i="2" s="1"/>
  <c r="I267" i="2"/>
  <c r="M267" i="2" s="1"/>
  <c r="I268" i="2"/>
  <c r="M268" i="2" s="1"/>
  <c r="I269" i="2"/>
  <c r="M269" i="2" s="1"/>
  <c r="I270" i="2"/>
  <c r="M270" i="2" s="1"/>
  <c r="I271" i="2"/>
  <c r="M271" i="2" s="1"/>
  <c r="I272" i="2"/>
  <c r="M272" i="2" s="1"/>
  <c r="I273" i="2"/>
  <c r="I274" i="2"/>
  <c r="M274" i="2" s="1"/>
  <c r="I275" i="2"/>
  <c r="M275" i="2" s="1"/>
  <c r="I276" i="2"/>
  <c r="M276" i="2" s="1"/>
  <c r="I277" i="2"/>
  <c r="M277" i="2" s="1"/>
  <c r="I278" i="2"/>
  <c r="M278" i="2" s="1"/>
  <c r="I279" i="2"/>
  <c r="M279" i="2" s="1"/>
  <c r="I280" i="2"/>
  <c r="M280" i="2" s="1"/>
  <c r="I281" i="2"/>
  <c r="M281" i="2" s="1"/>
  <c r="I282" i="2"/>
  <c r="M282" i="2" s="1"/>
  <c r="I283" i="2"/>
  <c r="M283" i="2" s="1"/>
  <c r="I284" i="2"/>
  <c r="M284" i="2" s="1"/>
  <c r="I285" i="2"/>
  <c r="M285" i="2" s="1"/>
  <c r="I286" i="2"/>
  <c r="M286" i="2" s="1"/>
  <c r="I287" i="2"/>
  <c r="M287" i="2" s="1"/>
  <c r="I288" i="2"/>
  <c r="M288" i="2" s="1"/>
  <c r="I289" i="2"/>
  <c r="I290" i="2"/>
  <c r="M290" i="2" s="1"/>
  <c r="I291" i="2"/>
  <c r="M291" i="2" s="1"/>
  <c r="I292" i="2"/>
  <c r="M292" i="2" s="1"/>
  <c r="I293" i="2"/>
  <c r="M293" i="2" s="1"/>
  <c r="I294" i="2"/>
  <c r="M294" i="2" s="1"/>
  <c r="I295" i="2"/>
  <c r="I296" i="2"/>
  <c r="M296" i="2" s="1"/>
  <c r="I297" i="2"/>
  <c r="M297" i="2" s="1"/>
  <c r="I298" i="2"/>
  <c r="M298" i="2" s="1"/>
  <c r="I299" i="2"/>
  <c r="M299" i="2" s="1"/>
  <c r="I300" i="2"/>
  <c r="M300" i="2" s="1"/>
  <c r="I301" i="2"/>
  <c r="M301" i="2" s="1"/>
  <c r="I302" i="2"/>
  <c r="M302" i="2" s="1"/>
  <c r="I303" i="2"/>
  <c r="M303" i="2" s="1"/>
  <c r="I304" i="2"/>
  <c r="M304" i="2" s="1"/>
  <c r="I305" i="2"/>
  <c r="I306" i="2"/>
  <c r="M306" i="2" s="1"/>
  <c r="I307" i="2"/>
  <c r="M307" i="2" s="1"/>
  <c r="I308" i="2"/>
  <c r="M308" i="2" s="1"/>
  <c r="I309" i="2"/>
  <c r="M309" i="2" s="1"/>
  <c r="I310" i="2"/>
  <c r="M310" i="2" s="1"/>
  <c r="I311" i="2"/>
  <c r="M311" i="2" s="1"/>
  <c r="I312" i="2"/>
  <c r="M312" i="2" s="1"/>
  <c r="I313" i="2"/>
  <c r="M313" i="2" s="1"/>
  <c r="I314" i="2"/>
  <c r="M314" i="2" s="1"/>
  <c r="I315" i="2"/>
  <c r="K315" i="2" s="1"/>
  <c r="I316" i="2"/>
  <c r="M316" i="2" s="1"/>
  <c r="I317" i="2"/>
  <c r="M317" i="2" s="1"/>
  <c r="I318" i="2"/>
  <c r="M318" i="2" s="1"/>
  <c r="I319" i="2"/>
  <c r="M319" i="2" s="1"/>
  <c r="I320" i="2"/>
  <c r="M320" i="2" s="1"/>
  <c r="I321" i="2"/>
  <c r="M321" i="2" s="1"/>
  <c r="I322" i="2"/>
  <c r="M322" i="2" s="1"/>
  <c r="I323" i="2"/>
  <c r="K323" i="2" s="1"/>
  <c r="I324" i="2"/>
  <c r="M324" i="2" s="1"/>
  <c r="I325" i="2"/>
  <c r="M325" i="2" s="1"/>
  <c r="I326" i="2"/>
  <c r="M326" i="2" s="1"/>
  <c r="I327" i="2"/>
  <c r="M327" i="2" s="1"/>
  <c r="I328" i="2"/>
  <c r="M328" i="2" s="1"/>
  <c r="I329" i="2"/>
  <c r="M329" i="2" s="1"/>
  <c r="I330" i="2"/>
  <c r="M330" i="2" s="1"/>
  <c r="I331" i="2"/>
  <c r="K331" i="2" s="1"/>
  <c r="I332" i="2"/>
  <c r="M332" i="2" s="1"/>
  <c r="I333" i="2"/>
  <c r="M333" i="2" s="1"/>
  <c r="I334" i="2"/>
  <c r="M334" i="2" s="1"/>
  <c r="I335" i="2"/>
  <c r="M335" i="2" s="1"/>
  <c r="I336" i="2"/>
  <c r="M336" i="2" s="1"/>
  <c r="I337" i="2"/>
  <c r="M337" i="2" s="1"/>
  <c r="I338" i="2"/>
  <c r="M338" i="2" s="1"/>
  <c r="I339" i="2"/>
  <c r="K339" i="2" s="1"/>
  <c r="I340" i="2"/>
  <c r="M340" i="2" s="1"/>
  <c r="I341" i="2"/>
  <c r="M341" i="2" s="1"/>
  <c r="I342" i="2"/>
  <c r="M342" i="2" s="1"/>
  <c r="I343" i="2"/>
  <c r="M343" i="2" s="1"/>
  <c r="I344" i="2"/>
  <c r="M344" i="2" s="1"/>
  <c r="I345" i="2"/>
  <c r="M345" i="2" s="1"/>
  <c r="I346" i="2"/>
  <c r="M346" i="2" s="1"/>
  <c r="I347" i="2"/>
  <c r="K347" i="2" s="1"/>
  <c r="I348" i="2"/>
  <c r="M348" i="2" s="1"/>
  <c r="I349" i="2"/>
  <c r="M349" i="2" s="1"/>
  <c r="I350" i="2"/>
  <c r="M350" i="2" s="1"/>
  <c r="I351" i="2"/>
  <c r="M351" i="2" s="1"/>
  <c r="I352" i="2"/>
  <c r="M352" i="2" s="1"/>
  <c r="I353" i="2"/>
  <c r="M353" i="2" s="1"/>
  <c r="I354" i="2"/>
  <c r="M354" i="2" s="1"/>
  <c r="I355" i="2"/>
  <c r="K355" i="2" s="1"/>
  <c r="I356" i="2"/>
  <c r="M356" i="2" s="1"/>
  <c r="I357" i="2"/>
  <c r="M357" i="2" s="1"/>
  <c r="I358" i="2"/>
  <c r="M358" i="2" s="1"/>
  <c r="I359" i="2"/>
  <c r="I360" i="2"/>
  <c r="M360" i="2" s="1"/>
  <c r="I361" i="2"/>
  <c r="M361" i="2" s="1"/>
  <c r="I362" i="2"/>
  <c r="M362" i="2" s="1"/>
  <c r="I363" i="2"/>
  <c r="K363" i="2" s="1"/>
  <c r="I364" i="2"/>
  <c r="M364" i="2" s="1"/>
  <c r="I365" i="2"/>
  <c r="M365" i="2" s="1"/>
  <c r="I366" i="2"/>
  <c r="M366" i="2" s="1"/>
  <c r="I367" i="2"/>
  <c r="M367" i="2" s="1"/>
  <c r="I368" i="2"/>
  <c r="M368" i="2" s="1"/>
  <c r="I369" i="2"/>
  <c r="M369" i="2" s="1"/>
  <c r="I370" i="2"/>
  <c r="M370" i="2" s="1"/>
  <c r="I371" i="2"/>
  <c r="K371" i="2" s="1"/>
  <c r="I372" i="2"/>
  <c r="M372" i="2" s="1"/>
  <c r="I373" i="2"/>
  <c r="M373" i="2" s="1"/>
  <c r="I374" i="2"/>
  <c r="M374" i="2" s="1"/>
  <c r="I375" i="2"/>
  <c r="M375" i="2" s="1"/>
  <c r="I376" i="2"/>
  <c r="M376" i="2" s="1"/>
  <c r="I377" i="2"/>
  <c r="M377" i="2" s="1"/>
  <c r="I378" i="2"/>
  <c r="M378" i="2" s="1"/>
  <c r="I379" i="2"/>
  <c r="K379" i="2" s="1"/>
  <c r="I380" i="2"/>
  <c r="M380" i="2" s="1"/>
  <c r="I381" i="2"/>
  <c r="M381" i="2" s="1"/>
  <c r="I382" i="2"/>
  <c r="M382" i="2" s="1"/>
  <c r="I383" i="2"/>
  <c r="M383" i="2" s="1"/>
  <c r="I384" i="2"/>
  <c r="M384" i="2" s="1"/>
  <c r="I385" i="2"/>
  <c r="M385" i="2" s="1"/>
  <c r="I386" i="2"/>
  <c r="M386" i="2" s="1"/>
  <c r="I387" i="2"/>
  <c r="K387" i="2" s="1"/>
  <c r="I388" i="2"/>
  <c r="M388" i="2" s="1"/>
  <c r="I389" i="2"/>
  <c r="M389" i="2" s="1"/>
  <c r="I390" i="2"/>
  <c r="M390" i="2" s="1"/>
  <c r="I391" i="2"/>
  <c r="M391" i="2" s="1"/>
  <c r="I392" i="2"/>
  <c r="M392" i="2" s="1"/>
  <c r="I393" i="2"/>
  <c r="M393" i="2" s="1"/>
  <c r="I394" i="2"/>
  <c r="M394" i="2" s="1"/>
  <c r="I395" i="2"/>
  <c r="K395" i="2" s="1"/>
  <c r="I396" i="2"/>
  <c r="M396" i="2" s="1"/>
  <c r="I397" i="2"/>
  <c r="M397" i="2" s="1"/>
  <c r="I398" i="2"/>
  <c r="M398" i="2" s="1"/>
  <c r="I399" i="2"/>
  <c r="M399" i="2" s="1"/>
  <c r="I400" i="2"/>
  <c r="M400" i="2" s="1"/>
  <c r="I401" i="2"/>
  <c r="M401" i="2" s="1"/>
  <c r="I402" i="2"/>
  <c r="M402" i="2" s="1"/>
  <c r="I403" i="2"/>
  <c r="K403" i="2" s="1"/>
  <c r="I404" i="2"/>
  <c r="M404" i="2" s="1"/>
  <c r="I405" i="2"/>
  <c r="M405" i="2" s="1"/>
  <c r="I406" i="2"/>
  <c r="M406" i="2" s="1"/>
  <c r="I407" i="2"/>
  <c r="M407" i="2" s="1"/>
  <c r="I408" i="2"/>
  <c r="M408" i="2" s="1"/>
  <c r="I409" i="2"/>
  <c r="M409" i="2" s="1"/>
  <c r="I410" i="2"/>
  <c r="M410" i="2" s="1"/>
  <c r="I411" i="2"/>
  <c r="M411" i="2" s="1"/>
  <c r="I412" i="2"/>
  <c r="M412" i="2" s="1"/>
  <c r="I413" i="2"/>
  <c r="M413" i="2" s="1"/>
  <c r="I414" i="2"/>
  <c r="M414" i="2" s="1"/>
  <c r="I415" i="2"/>
  <c r="M415" i="2" s="1"/>
  <c r="I416" i="2"/>
  <c r="M416" i="2" s="1"/>
  <c r="I417" i="2"/>
  <c r="M417" i="2" s="1"/>
  <c r="I418" i="2"/>
  <c r="M418" i="2" s="1"/>
  <c r="I419" i="2"/>
  <c r="M419" i="2" s="1"/>
  <c r="I420" i="2"/>
  <c r="M420" i="2" s="1"/>
  <c r="I421" i="2"/>
  <c r="M421" i="2" s="1"/>
  <c r="I422" i="2"/>
  <c r="M422" i="2" s="1"/>
  <c r="I423" i="2"/>
  <c r="I424" i="2"/>
  <c r="M424" i="2" s="1"/>
  <c r="I425" i="2"/>
  <c r="M425" i="2" s="1"/>
  <c r="I426" i="2"/>
  <c r="M426" i="2" s="1"/>
  <c r="I427" i="2"/>
  <c r="M427" i="2" s="1"/>
  <c r="I428" i="2"/>
  <c r="M428" i="2" s="1"/>
  <c r="I429" i="2"/>
  <c r="M429" i="2" s="1"/>
  <c r="I430" i="2"/>
  <c r="M430" i="2" s="1"/>
  <c r="I431" i="2"/>
  <c r="M431" i="2" s="1"/>
  <c r="I432" i="2"/>
  <c r="M432" i="2" s="1"/>
  <c r="I433" i="2"/>
  <c r="M433" i="2" s="1"/>
  <c r="I434" i="2"/>
  <c r="M434" i="2" s="1"/>
  <c r="I435" i="2"/>
  <c r="M435" i="2" s="1"/>
  <c r="I436" i="2"/>
  <c r="M436" i="2" s="1"/>
  <c r="I437" i="2"/>
  <c r="M437" i="2" s="1"/>
  <c r="I438" i="2"/>
  <c r="M438" i="2" s="1"/>
  <c r="I439" i="2"/>
  <c r="M439" i="2" s="1"/>
  <c r="I440" i="2"/>
  <c r="M440" i="2" s="1"/>
  <c r="I441" i="2"/>
  <c r="M441" i="2" s="1"/>
  <c r="I442" i="2"/>
  <c r="M442" i="2" s="1"/>
  <c r="I443" i="2"/>
  <c r="M443" i="2" s="1"/>
  <c r="I444" i="2"/>
  <c r="M444" i="2" s="1"/>
  <c r="I445" i="2"/>
  <c r="M445" i="2" s="1"/>
  <c r="I446" i="2"/>
  <c r="M446" i="2" s="1"/>
  <c r="I447" i="2"/>
  <c r="M447" i="2" s="1"/>
  <c r="I448" i="2"/>
  <c r="M448" i="2" s="1"/>
  <c r="I449" i="2"/>
  <c r="M449" i="2" s="1"/>
  <c r="I450" i="2"/>
  <c r="M450" i="2" s="1"/>
  <c r="I451" i="2"/>
  <c r="M451" i="2" s="1"/>
  <c r="I452" i="2"/>
  <c r="M452" i="2" s="1"/>
  <c r="I453" i="2"/>
  <c r="M453" i="2" s="1"/>
  <c r="I454" i="2"/>
  <c r="M454" i="2" s="1"/>
  <c r="I455" i="2"/>
  <c r="M455" i="2" s="1"/>
  <c r="I456" i="2"/>
  <c r="M456" i="2" s="1"/>
  <c r="I457" i="2"/>
  <c r="I458" i="2"/>
  <c r="M458" i="2" s="1"/>
  <c r="I459" i="2"/>
  <c r="M459" i="2" s="1"/>
  <c r="I460" i="2"/>
  <c r="M460" i="2" s="1"/>
  <c r="I461" i="2"/>
  <c r="M461" i="2" s="1"/>
  <c r="I462" i="2"/>
  <c r="M462" i="2" s="1"/>
  <c r="I463" i="2"/>
  <c r="M463" i="2" s="1"/>
  <c r="I464" i="2"/>
  <c r="M464" i="2" s="1"/>
  <c r="I465" i="2"/>
  <c r="M465" i="2" s="1"/>
  <c r="I466" i="2"/>
  <c r="M466" i="2" s="1"/>
  <c r="I467" i="2"/>
  <c r="M467" i="2" s="1"/>
  <c r="I468" i="2"/>
  <c r="M468" i="2" s="1"/>
  <c r="I469" i="2"/>
  <c r="M469" i="2" s="1"/>
  <c r="I470" i="2"/>
  <c r="M470" i="2" s="1"/>
  <c r="I471" i="2"/>
  <c r="M471" i="2" s="1"/>
  <c r="I472" i="2"/>
  <c r="M472" i="2" s="1"/>
  <c r="I473" i="2"/>
  <c r="M473" i="2" s="1"/>
  <c r="I474" i="2"/>
  <c r="M474" i="2" s="1"/>
  <c r="I475" i="2"/>
  <c r="M475" i="2" s="1"/>
  <c r="I476" i="2"/>
  <c r="M476" i="2" s="1"/>
  <c r="I477" i="2"/>
  <c r="M477" i="2" s="1"/>
  <c r="I478" i="2"/>
  <c r="M478" i="2" s="1"/>
  <c r="I479" i="2"/>
  <c r="M479" i="2" s="1"/>
  <c r="I480" i="2"/>
  <c r="M480" i="2" s="1"/>
  <c r="I481" i="2"/>
  <c r="M481" i="2" s="1"/>
  <c r="I482" i="2"/>
  <c r="M482" i="2" s="1"/>
  <c r="I483" i="2"/>
  <c r="M483" i="2" s="1"/>
  <c r="I484" i="2"/>
  <c r="M484" i="2" s="1"/>
  <c r="I485" i="2"/>
  <c r="M485" i="2" s="1"/>
  <c r="I486" i="2"/>
  <c r="M486" i="2" s="1"/>
  <c r="I487" i="2"/>
  <c r="M487" i="2" s="1"/>
  <c r="I488" i="2"/>
  <c r="M488" i="2" s="1"/>
  <c r="I489" i="2"/>
  <c r="I490" i="2"/>
  <c r="M490" i="2" s="1"/>
  <c r="I491" i="2"/>
  <c r="M491" i="2" s="1"/>
  <c r="I492" i="2"/>
  <c r="M492" i="2" s="1"/>
  <c r="I493" i="2"/>
  <c r="M493" i="2" s="1"/>
  <c r="I494" i="2"/>
  <c r="M494" i="2" s="1"/>
  <c r="I495" i="2"/>
  <c r="M495" i="2" s="1"/>
  <c r="I496" i="2"/>
  <c r="M496" i="2" s="1"/>
  <c r="I497" i="2"/>
  <c r="M497" i="2" s="1"/>
  <c r="I498" i="2"/>
  <c r="M498" i="2" s="1"/>
  <c r="I499" i="2"/>
  <c r="M499" i="2" s="1"/>
  <c r="I500" i="2"/>
  <c r="M500" i="2" s="1"/>
  <c r="I501" i="2"/>
  <c r="M501" i="2" s="1"/>
  <c r="I502" i="2"/>
  <c r="M502" i="2" s="1"/>
  <c r="I503" i="2"/>
  <c r="M503" i="2" s="1"/>
  <c r="I504" i="2"/>
  <c r="M504" i="2" s="1"/>
  <c r="I505" i="2"/>
  <c r="M505" i="2" s="1"/>
  <c r="I506" i="2"/>
  <c r="M506" i="2" s="1"/>
  <c r="I507" i="2"/>
  <c r="M507" i="2" s="1"/>
  <c r="I508" i="2"/>
  <c r="M508" i="2" s="1"/>
  <c r="I509" i="2"/>
  <c r="M509" i="2" s="1"/>
  <c r="I510" i="2"/>
  <c r="M510" i="2" s="1"/>
  <c r="I511" i="2"/>
  <c r="M511" i="2" s="1"/>
  <c r="I512" i="2"/>
  <c r="M512" i="2" s="1"/>
  <c r="I513" i="2"/>
  <c r="M513" i="2" s="1"/>
  <c r="I514" i="2"/>
  <c r="M514" i="2" s="1"/>
  <c r="I515" i="2"/>
  <c r="M515" i="2" s="1"/>
  <c r="I516" i="2"/>
  <c r="M516" i="2" s="1"/>
  <c r="I517" i="2"/>
  <c r="M517" i="2" s="1"/>
  <c r="I518" i="2"/>
  <c r="M518" i="2" s="1"/>
  <c r="I519" i="2"/>
  <c r="M519" i="2" s="1"/>
  <c r="I520" i="2"/>
  <c r="M520" i="2" s="1"/>
  <c r="I521" i="2"/>
  <c r="I522" i="2"/>
  <c r="M522" i="2" s="1"/>
  <c r="I523" i="2"/>
  <c r="M523" i="2" s="1"/>
  <c r="I524" i="2"/>
  <c r="M524" i="2" s="1"/>
  <c r="I525" i="2"/>
  <c r="M525" i="2" s="1"/>
  <c r="I526" i="2"/>
  <c r="M526" i="2" s="1"/>
  <c r="I527" i="2"/>
  <c r="M527" i="2" s="1"/>
  <c r="I528" i="2"/>
  <c r="M528" i="2" s="1"/>
  <c r="I529" i="2"/>
  <c r="M529" i="2" s="1"/>
  <c r="I530" i="2"/>
  <c r="M530" i="2" s="1"/>
  <c r="I531" i="2"/>
  <c r="M531" i="2" s="1"/>
  <c r="I532" i="2"/>
  <c r="M532" i="2" s="1"/>
  <c r="I533" i="2"/>
  <c r="M533" i="2" s="1"/>
  <c r="I534" i="2"/>
  <c r="M534" i="2" s="1"/>
  <c r="I535" i="2"/>
  <c r="M535" i="2" s="1"/>
  <c r="I536" i="2"/>
  <c r="M536" i="2" s="1"/>
  <c r="I537" i="2"/>
  <c r="M537" i="2" s="1"/>
  <c r="I538" i="2"/>
  <c r="M538" i="2" s="1"/>
  <c r="I539" i="2"/>
  <c r="M539" i="2" s="1"/>
  <c r="I540" i="2"/>
  <c r="M540" i="2" s="1"/>
  <c r="I541" i="2"/>
  <c r="M541" i="2" s="1"/>
  <c r="I542" i="2"/>
  <c r="M542" i="2" s="1"/>
  <c r="I543" i="2"/>
  <c r="M543" i="2" s="1"/>
  <c r="I544" i="2"/>
  <c r="M544" i="2" s="1"/>
  <c r="I545" i="2"/>
  <c r="M545" i="2" s="1"/>
  <c r="I546" i="2"/>
  <c r="M546" i="2" s="1"/>
  <c r="I547" i="2"/>
  <c r="M547" i="2" s="1"/>
  <c r="I548" i="2"/>
  <c r="M548" i="2" s="1"/>
  <c r="I549" i="2"/>
  <c r="M549" i="2" s="1"/>
  <c r="I550" i="2"/>
  <c r="M550" i="2" s="1"/>
  <c r="I551" i="2"/>
  <c r="M551" i="2" s="1"/>
  <c r="I552" i="2"/>
  <c r="M552" i="2" s="1"/>
  <c r="I553" i="2"/>
  <c r="I554" i="2"/>
  <c r="M554" i="2" s="1"/>
  <c r="I555" i="2"/>
  <c r="M555" i="2" s="1"/>
  <c r="I556" i="2"/>
  <c r="M556" i="2" s="1"/>
  <c r="I557" i="2"/>
  <c r="M557" i="2" s="1"/>
  <c r="I558" i="2"/>
  <c r="M558" i="2" s="1"/>
  <c r="I559" i="2"/>
  <c r="M559" i="2" s="1"/>
  <c r="I560" i="2"/>
  <c r="M560" i="2" s="1"/>
  <c r="I561" i="2"/>
  <c r="M561" i="2" s="1"/>
  <c r="I562" i="2"/>
  <c r="M562" i="2" s="1"/>
  <c r="I563" i="2"/>
  <c r="M563" i="2" s="1"/>
  <c r="I564" i="2"/>
  <c r="M564" i="2" s="1"/>
  <c r="I565" i="2"/>
  <c r="M565" i="2" s="1"/>
  <c r="I566" i="2"/>
  <c r="M566" i="2" s="1"/>
  <c r="I567" i="2"/>
  <c r="M567" i="2" s="1"/>
  <c r="I568" i="2"/>
  <c r="M568" i="2" s="1"/>
  <c r="I569" i="2"/>
  <c r="M569" i="2" s="1"/>
  <c r="I570" i="2"/>
  <c r="M570" i="2" s="1"/>
  <c r="I571" i="2"/>
  <c r="M571" i="2" s="1"/>
  <c r="I572" i="2"/>
  <c r="M572" i="2" s="1"/>
  <c r="I573" i="2"/>
  <c r="M573" i="2" s="1"/>
  <c r="I574" i="2"/>
  <c r="M574" i="2" s="1"/>
  <c r="I575" i="2"/>
  <c r="M575" i="2" s="1"/>
  <c r="I576" i="2"/>
  <c r="M576" i="2" s="1"/>
  <c r="I577" i="2"/>
  <c r="M577" i="2" s="1"/>
  <c r="I578" i="2"/>
  <c r="M578" i="2" s="1"/>
  <c r="I579" i="2"/>
  <c r="M579" i="2" s="1"/>
  <c r="I580" i="2"/>
  <c r="M580" i="2" s="1"/>
  <c r="I581" i="2"/>
  <c r="M581" i="2" s="1"/>
  <c r="I582" i="2"/>
  <c r="M582" i="2" s="1"/>
  <c r="I583" i="2"/>
  <c r="M583" i="2" s="1"/>
  <c r="I584" i="2"/>
  <c r="M584" i="2" s="1"/>
  <c r="I585" i="2"/>
  <c r="I586" i="2"/>
  <c r="M586" i="2" s="1"/>
  <c r="I587" i="2"/>
  <c r="M587" i="2" s="1"/>
  <c r="I588" i="2"/>
  <c r="M588" i="2" s="1"/>
  <c r="I589" i="2"/>
  <c r="M589" i="2" s="1"/>
  <c r="I590" i="2"/>
  <c r="M590" i="2" s="1"/>
  <c r="I591" i="2"/>
  <c r="M591" i="2" s="1"/>
  <c r="I592" i="2"/>
  <c r="M592" i="2" s="1"/>
  <c r="I593" i="2"/>
  <c r="M593" i="2" s="1"/>
  <c r="I594" i="2"/>
  <c r="M594" i="2" s="1"/>
  <c r="I595" i="2"/>
  <c r="M595" i="2" s="1"/>
  <c r="I596" i="2"/>
  <c r="M596" i="2" s="1"/>
  <c r="I597" i="2"/>
  <c r="M597" i="2" s="1"/>
  <c r="I598" i="2"/>
  <c r="M598" i="2" s="1"/>
  <c r="I599" i="2"/>
  <c r="M599" i="2" s="1"/>
  <c r="I600" i="2"/>
  <c r="M600" i="2" s="1"/>
  <c r="I601" i="2"/>
  <c r="M601" i="2" s="1"/>
  <c r="I602" i="2"/>
  <c r="M602" i="2" s="1"/>
  <c r="I603" i="2"/>
  <c r="M603" i="2" s="1"/>
  <c r="I604" i="2"/>
  <c r="M604" i="2" s="1"/>
  <c r="I605" i="2"/>
  <c r="M605" i="2" s="1"/>
  <c r="I606" i="2"/>
  <c r="M606" i="2" s="1"/>
  <c r="I607" i="2"/>
  <c r="M607" i="2" s="1"/>
  <c r="I608" i="2"/>
  <c r="M608" i="2" s="1"/>
  <c r="I609" i="2"/>
  <c r="M609" i="2" s="1"/>
  <c r="I610" i="2"/>
  <c r="M610" i="2" s="1"/>
  <c r="I611" i="2"/>
  <c r="M611" i="2" s="1"/>
  <c r="I612" i="2"/>
  <c r="M612" i="2" s="1"/>
  <c r="I613" i="2"/>
  <c r="M613" i="2" s="1"/>
  <c r="I614" i="2"/>
  <c r="M614" i="2" s="1"/>
  <c r="I615" i="2"/>
  <c r="M615" i="2" s="1"/>
  <c r="I616" i="2"/>
  <c r="M616" i="2" s="1"/>
  <c r="I617" i="2"/>
  <c r="I618" i="2"/>
  <c r="M618" i="2" s="1"/>
  <c r="I619" i="2"/>
  <c r="M619" i="2" s="1"/>
  <c r="I620" i="2"/>
  <c r="M620" i="2" s="1"/>
  <c r="I621" i="2"/>
  <c r="M621" i="2" s="1"/>
  <c r="I622" i="2"/>
  <c r="M622" i="2" s="1"/>
  <c r="I623" i="2"/>
  <c r="M623" i="2" s="1"/>
  <c r="I624" i="2"/>
  <c r="M624" i="2" s="1"/>
  <c r="I625" i="2"/>
  <c r="M625" i="2" s="1"/>
  <c r="I626" i="2"/>
  <c r="M626" i="2" s="1"/>
  <c r="I627" i="2"/>
  <c r="M627" i="2" s="1"/>
  <c r="I628" i="2"/>
  <c r="M628" i="2" s="1"/>
  <c r="I629" i="2"/>
  <c r="M629" i="2" s="1"/>
  <c r="I630" i="2"/>
  <c r="M630" i="2" s="1"/>
  <c r="I631" i="2"/>
  <c r="M631" i="2" s="1"/>
  <c r="I632" i="2"/>
  <c r="M632" i="2" s="1"/>
  <c r="I633" i="2"/>
  <c r="M633" i="2" s="1"/>
  <c r="I634" i="2"/>
  <c r="M634" i="2" s="1"/>
  <c r="I635" i="2"/>
  <c r="M635" i="2" s="1"/>
  <c r="I636" i="2"/>
  <c r="M636" i="2" s="1"/>
  <c r="I637" i="2"/>
  <c r="M637" i="2" s="1"/>
  <c r="I638" i="2"/>
  <c r="M638" i="2" s="1"/>
  <c r="I639" i="2"/>
  <c r="M639" i="2" s="1"/>
  <c r="I640" i="2"/>
  <c r="M640" i="2" s="1"/>
  <c r="I641" i="2"/>
  <c r="M641" i="2" s="1"/>
  <c r="I642" i="2"/>
  <c r="M642" i="2" s="1"/>
  <c r="I643" i="2"/>
  <c r="M643" i="2" s="1"/>
  <c r="I644" i="2"/>
  <c r="M644" i="2" s="1"/>
  <c r="I645" i="2"/>
  <c r="M645" i="2" s="1"/>
  <c r="I646" i="2"/>
  <c r="M646" i="2" s="1"/>
  <c r="I647" i="2"/>
  <c r="M647" i="2" s="1"/>
  <c r="I648" i="2"/>
  <c r="M648" i="2" s="1"/>
  <c r="I649" i="2"/>
  <c r="I650" i="2"/>
  <c r="M650" i="2" s="1"/>
  <c r="I651" i="2"/>
  <c r="M651" i="2" s="1"/>
  <c r="I652" i="2"/>
  <c r="M652" i="2" s="1"/>
  <c r="I653" i="2"/>
  <c r="M653" i="2" s="1"/>
  <c r="I654" i="2"/>
  <c r="M654" i="2" s="1"/>
  <c r="I655" i="2"/>
  <c r="M655" i="2" s="1"/>
  <c r="I656" i="2"/>
  <c r="M656" i="2" s="1"/>
  <c r="I657" i="2"/>
  <c r="M657" i="2" s="1"/>
  <c r="I658" i="2"/>
  <c r="M658" i="2" s="1"/>
  <c r="I659" i="2"/>
  <c r="M659" i="2" s="1"/>
  <c r="I660" i="2"/>
  <c r="M660" i="2" s="1"/>
  <c r="I661" i="2"/>
  <c r="M661" i="2" s="1"/>
  <c r="I662" i="2"/>
  <c r="M662" i="2" s="1"/>
  <c r="I663" i="2"/>
  <c r="M663" i="2" s="1"/>
  <c r="I664" i="2"/>
  <c r="M664" i="2" s="1"/>
  <c r="I665" i="2"/>
  <c r="M665" i="2" s="1"/>
  <c r="I666" i="2"/>
  <c r="M666" i="2" s="1"/>
  <c r="I667" i="2"/>
  <c r="M667" i="2" s="1"/>
  <c r="I668" i="2"/>
  <c r="M668" i="2" s="1"/>
  <c r="I669" i="2"/>
  <c r="M669" i="2" s="1"/>
  <c r="I670" i="2"/>
  <c r="M670" i="2" s="1"/>
  <c r="I671" i="2"/>
  <c r="M671" i="2" s="1"/>
  <c r="I672" i="2"/>
  <c r="M672" i="2" s="1"/>
  <c r="I673" i="2"/>
  <c r="M673" i="2" s="1"/>
  <c r="I674" i="2"/>
  <c r="M674" i="2" s="1"/>
  <c r="I675" i="2"/>
  <c r="M675" i="2" s="1"/>
  <c r="I676" i="2"/>
  <c r="M676" i="2" s="1"/>
  <c r="I677" i="2"/>
  <c r="M677" i="2" s="1"/>
  <c r="I678" i="2"/>
  <c r="M678" i="2" s="1"/>
  <c r="I679" i="2"/>
  <c r="M679" i="2" s="1"/>
  <c r="I680" i="2"/>
  <c r="M680" i="2" s="1"/>
  <c r="I681" i="2"/>
  <c r="I682" i="2"/>
  <c r="M682" i="2" s="1"/>
  <c r="I683" i="2"/>
  <c r="M683" i="2" s="1"/>
  <c r="I684" i="2"/>
  <c r="M684" i="2" s="1"/>
  <c r="I685" i="2"/>
  <c r="M685" i="2" s="1"/>
  <c r="I686" i="2"/>
  <c r="M686" i="2" s="1"/>
  <c r="I687" i="2"/>
  <c r="M687" i="2" s="1"/>
  <c r="I688" i="2"/>
  <c r="M688" i="2" s="1"/>
  <c r="I689" i="2"/>
  <c r="M689" i="2" s="1"/>
  <c r="I690" i="2"/>
  <c r="M690" i="2" s="1"/>
  <c r="I691" i="2"/>
  <c r="M691" i="2" s="1"/>
  <c r="I692" i="2"/>
  <c r="M692" i="2" s="1"/>
  <c r="I693" i="2"/>
  <c r="M693" i="2" s="1"/>
  <c r="I694" i="2"/>
  <c r="M694" i="2" s="1"/>
  <c r="I695" i="2"/>
  <c r="M695" i="2" s="1"/>
  <c r="I696" i="2"/>
  <c r="M696" i="2" s="1"/>
  <c r="I697" i="2"/>
  <c r="M697" i="2" s="1"/>
  <c r="I698" i="2"/>
  <c r="M698" i="2" s="1"/>
  <c r="I699" i="2"/>
  <c r="M699" i="2" s="1"/>
  <c r="I700" i="2"/>
  <c r="M700" i="2" s="1"/>
  <c r="I701" i="2"/>
  <c r="M701" i="2" s="1"/>
  <c r="I702" i="2"/>
  <c r="M702" i="2" s="1"/>
  <c r="I703" i="2"/>
  <c r="M703" i="2" s="1"/>
  <c r="I704" i="2"/>
  <c r="M704" i="2" s="1"/>
  <c r="I705" i="2"/>
  <c r="M705" i="2" s="1"/>
  <c r="I706" i="2"/>
  <c r="M706" i="2" s="1"/>
  <c r="I707" i="2"/>
  <c r="M707" i="2" s="1"/>
  <c r="I708" i="2"/>
  <c r="M708" i="2" s="1"/>
  <c r="I709" i="2"/>
  <c r="M709" i="2" s="1"/>
  <c r="I710" i="2"/>
  <c r="M710" i="2" s="1"/>
  <c r="I711" i="2"/>
  <c r="M711" i="2" s="1"/>
  <c r="I712" i="2"/>
  <c r="M712" i="2" s="1"/>
  <c r="I713" i="2"/>
  <c r="I714" i="2"/>
  <c r="M714" i="2" s="1"/>
  <c r="I715" i="2"/>
  <c r="M715" i="2" s="1"/>
  <c r="I716" i="2"/>
  <c r="M716" i="2" s="1"/>
  <c r="I717" i="2"/>
  <c r="M717" i="2" s="1"/>
  <c r="I718" i="2"/>
  <c r="M718" i="2" s="1"/>
  <c r="I719" i="2"/>
  <c r="M719" i="2" s="1"/>
  <c r="I720" i="2"/>
  <c r="M720" i="2" s="1"/>
  <c r="I721" i="2"/>
  <c r="M721" i="2" s="1"/>
  <c r="I722" i="2"/>
  <c r="M722" i="2" s="1"/>
  <c r="I723" i="2"/>
  <c r="M723" i="2" s="1"/>
  <c r="I724" i="2"/>
  <c r="M724" i="2" s="1"/>
  <c r="I725" i="2"/>
  <c r="M725" i="2" s="1"/>
  <c r="I726" i="2"/>
  <c r="M726" i="2" s="1"/>
  <c r="I727" i="2"/>
  <c r="M727" i="2" s="1"/>
  <c r="I728" i="2"/>
  <c r="M728" i="2" s="1"/>
  <c r="I729" i="2"/>
  <c r="M729" i="2" s="1"/>
  <c r="I730" i="2"/>
  <c r="M730" i="2" s="1"/>
  <c r="I731" i="2"/>
  <c r="M731" i="2" s="1"/>
  <c r="I732" i="2"/>
  <c r="M732" i="2" s="1"/>
  <c r="I733" i="2"/>
  <c r="M733" i="2" s="1"/>
  <c r="I734" i="2"/>
  <c r="M734" i="2" s="1"/>
  <c r="I735" i="2"/>
  <c r="M735" i="2" s="1"/>
  <c r="I736" i="2"/>
  <c r="M736" i="2" s="1"/>
  <c r="I737" i="2"/>
  <c r="M737" i="2" s="1"/>
  <c r="I738" i="2"/>
  <c r="M738" i="2" s="1"/>
  <c r="I739" i="2"/>
  <c r="M739" i="2" s="1"/>
  <c r="I740" i="2"/>
  <c r="M740" i="2" s="1"/>
  <c r="I741" i="2"/>
  <c r="M741" i="2" s="1"/>
  <c r="I742" i="2"/>
  <c r="M742" i="2" s="1"/>
  <c r="I743" i="2"/>
  <c r="M743" i="2" s="1"/>
  <c r="I744" i="2"/>
  <c r="M744" i="2" s="1"/>
  <c r="I745" i="2"/>
  <c r="I746" i="2"/>
  <c r="M746" i="2" s="1"/>
  <c r="I747" i="2"/>
  <c r="M747" i="2" s="1"/>
  <c r="I748" i="2"/>
  <c r="M748" i="2" s="1"/>
  <c r="I749" i="2"/>
  <c r="M749" i="2" s="1"/>
  <c r="I750" i="2"/>
  <c r="M750" i="2" s="1"/>
  <c r="I751" i="2"/>
  <c r="M751" i="2" s="1"/>
  <c r="I752" i="2"/>
  <c r="M752" i="2" s="1"/>
  <c r="I753" i="2"/>
  <c r="M753" i="2" s="1"/>
  <c r="I754" i="2"/>
  <c r="M754" i="2" s="1"/>
  <c r="I755" i="2"/>
  <c r="M755" i="2" s="1"/>
  <c r="I756" i="2"/>
  <c r="M756" i="2" s="1"/>
  <c r="I757" i="2"/>
  <c r="M757" i="2" s="1"/>
  <c r="I758" i="2"/>
  <c r="M758" i="2" s="1"/>
  <c r="I759" i="2"/>
  <c r="M759" i="2" s="1"/>
  <c r="I760" i="2"/>
  <c r="M760" i="2" s="1"/>
  <c r="I761" i="2"/>
  <c r="M761" i="2" s="1"/>
  <c r="I762" i="2"/>
  <c r="M762" i="2" s="1"/>
  <c r="I763" i="2"/>
  <c r="M763" i="2" s="1"/>
  <c r="I764" i="2"/>
  <c r="M764" i="2" s="1"/>
  <c r="I765" i="2"/>
  <c r="M765" i="2" s="1"/>
  <c r="I766" i="2"/>
  <c r="M766" i="2" s="1"/>
  <c r="I767" i="2"/>
  <c r="M767" i="2" s="1"/>
  <c r="I768" i="2"/>
  <c r="M768" i="2" s="1"/>
  <c r="I769" i="2"/>
  <c r="M769" i="2" s="1"/>
  <c r="I770" i="2"/>
  <c r="M770" i="2" s="1"/>
  <c r="I771" i="2"/>
  <c r="M771" i="2" s="1"/>
  <c r="I772" i="2"/>
  <c r="M772" i="2" s="1"/>
  <c r="I773" i="2"/>
  <c r="M773" i="2" s="1"/>
  <c r="I774" i="2"/>
  <c r="M774" i="2" s="1"/>
  <c r="I775" i="2"/>
  <c r="M775" i="2" s="1"/>
  <c r="I776" i="2"/>
  <c r="M776" i="2" s="1"/>
  <c r="I777" i="2"/>
  <c r="I778" i="2"/>
  <c r="M778" i="2" s="1"/>
  <c r="I779" i="2"/>
  <c r="M779" i="2" s="1"/>
  <c r="I780" i="2"/>
  <c r="M780" i="2" s="1"/>
  <c r="I781" i="2"/>
  <c r="M781" i="2" s="1"/>
  <c r="I782" i="2"/>
  <c r="M782" i="2" s="1"/>
  <c r="I783" i="2"/>
  <c r="M783" i="2" s="1"/>
  <c r="I784" i="2"/>
  <c r="M784" i="2" s="1"/>
  <c r="I785" i="2"/>
  <c r="M785" i="2" s="1"/>
  <c r="I786" i="2"/>
  <c r="M786" i="2" s="1"/>
  <c r="I787" i="2"/>
  <c r="M787" i="2" s="1"/>
  <c r="I788" i="2"/>
  <c r="M788" i="2" s="1"/>
  <c r="I789" i="2"/>
  <c r="M789" i="2" s="1"/>
  <c r="I790" i="2"/>
  <c r="M790" i="2" s="1"/>
  <c r="I791" i="2"/>
  <c r="M791" i="2" s="1"/>
  <c r="I792" i="2"/>
  <c r="M792" i="2" s="1"/>
  <c r="I793" i="2"/>
  <c r="M793" i="2" s="1"/>
  <c r="I794" i="2"/>
  <c r="M794" i="2" s="1"/>
  <c r="I795" i="2"/>
  <c r="M795" i="2" s="1"/>
  <c r="I796" i="2"/>
  <c r="M796" i="2" s="1"/>
  <c r="I797" i="2"/>
  <c r="M797" i="2" s="1"/>
  <c r="I798" i="2"/>
  <c r="M798" i="2" s="1"/>
  <c r="I799" i="2"/>
  <c r="M799" i="2" s="1"/>
  <c r="I800" i="2"/>
  <c r="M800" i="2" s="1"/>
  <c r="I801" i="2"/>
  <c r="M801" i="2" s="1"/>
  <c r="I802" i="2"/>
  <c r="M802" i="2" s="1"/>
  <c r="I803" i="2"/>
  <c r="M803" i="2" s="1"/>
  <c r="I804" i="2"/>
  <c r="M804" i="2" s="1"/>
  <c r="I805" i="2"/>
  <c r="M805" i="2" s="1"/>
  <c r="I806" i="2"/>
  <c r="M806" i="2" s="1"/>
  <c r="I807" i="2"/>
  <c r="M807" i="2" s="1"/>
  <c r="I808" i="2"/>
  <c r="M808" i="2" s="1"/>
  <c r="I809" i="2"/>
  <c r="I810" i="2"/>
  <c r="M810" i="2" s="1"/>
  <c r="I811" i="2"/>
  <c r="M811" i="2" s="1"/>
  <c r="I812" i="2"/>
  <c r="M812" i="2" s="1"/>
  <c r="I813" i="2"/>
  <c r="M813" i="2" s="1"/>
  <c r="I814" i="2"/>
  <c r="M814" i="2" s="1"/>
  <c r="I815" i="2"/>
  <c r="M815" i="2" s="1"/>
  <c r="I816" i="2"/>
  <c r="M816" i="2" s="1"/>
  <c r="I817" i="2"/>
  <c r="M817" i="2" s="1"/>
  <c r="I818" i="2"/>
  <c r="M818" i="2" s="1"/>
  <c r="I819" i="2"/>
  <c r="M819" i="2" s="1"/>
  <c r="I820" i="2"/>
  <c r="M820" i="2" s="1"/>
  <c r="I821" i="2"/>
  <c r="M821" i="2" s="1"/>
  <c r="I822" i="2"/>
  <c r="M822" i="2" s="1"/>
  <c r="I823" i="2"/>
  <c r="M823" i="2" s="1"/>
  <c r="I824" i="2"/>
  <c r="M824" i="2" s="1"/>
  <c r="I825" i="2"/>
  <c r="M825" i="2" s="1"/>
  <c r="I826" i="2"/>
  <c r="M826" i="2" s="1"/>
  <c r="I827" i="2"/>
  <c r="M827" i="2" s="1"/>
  <c r="I828" i="2"/>
  <c r="M828" i="2" s="1"/>
  <c r="I829" i="2"/>
  <c r="M829" i="2" s="1"/>
  <c r="I830" i="2"/>
  <c r="M830" i="2" s="1"/>
  <c r="I831" i="2"/>
  <c r="M831" i="2" s="1"/>
  <c r="I832" i="2"/>
  <c r="M832" i="2" s="1"/>
  <c r="I833" i="2"/>
  <c r="M833" i="2" s="1"/>
  <c r="I834" i="2"/>
  <c r="M834" i="2" s="1"/>
  <c r="I835" i="2"/>
  <c r="M835" i="2" s="1"/>
  <c r="I836" i="2"/>
  <c r="M836" i="2" s="1"/>
  <c r="I837" i="2"/>
  <c r="M837" i="2" s="1"/>
  <c r="I838" i="2"/>
  <c r="M838" i="2" s="1"/>
  <c r="I839" i="2"/>
  <c r="M839" i="2" s="1"/>
  <c r="I840" i="2"/>
  <c r="M840" i="2" s="1"/>
  <c r="I841" i="2"/>
  <c r="I842" i="2"/>
  <c r="M842" i="2" s="1"/>
  <c r="I843" i="2"/>
  <c r="M843" i="2" s="1"/>
  <c r="I844" i="2"/>
  <c r="M844" i="2" s="1"/>
  <c r="I845" i="2"/>
  <c r="M845" i="2" s="1"/>
  <c r="I846" i="2"/>
  <c r="M846" i="2" s="1"/>
  <c r="I847" i="2"/>
  <c r="M847" i="2" s="1"/>
  <c r="I848" i="2"/>
  <c r="M848" i="2" s="1"/>
  <c r="I849" i="2"/>
  <c r="M849" i="2" s="1"/>
  <c r="I850" i="2"/>
  <c r="M850" i="2" s="1"/>
  <c r="I851" i="2"/>
  <c r="M851" i="2" s="1"/>
  <c r="I852" i="2"/>
  <c r="M852" i="2" s="1"/>
  <c r="I853" i="2"/>
  <c r="M853" i="2" s="1"/>
  <c r="I854" i="2"/>
  <c r="M854" i="2" s="1"/>
  <c r="I855" i="2"/>
  <c r="M855" i="2" s="1"/>
  <c r="I856" i="2"/>
  <c r="M856" i="2" s="1"/>
  <c r="I857" i="2"/>
  <c r="M857" i="2" s="1"/>
  <c r="I858" i="2"/>
  <c r="M858" i="2" s="1"/>
  <c r="I859" i="2"/>
  <c r="M859" i="2" s="1"/>
  <c r="I860" i="2"/>
  <c r="M860" i="2" s="1"/>
  <c r="I861" i="2"/>
  <c r="M861" i="2" s="1"/>
  <c r="I862" i="2"/>
  <c r="M862" i="2" s="1"/>
  <c r="I863" i="2"/>
  <c r="M863" i="2" s="1"/>
  <c r="I864" i="2"/>
  <c r="M864" i="2" s="1"/>
  <c r="I865" i="2"/>
  <c r="M865" i="2" s="1"/>
  <c r="I866" i="2"/>
  <c r="M866" i="2" s="1"/>
  <c r="I867" i="2"/>
  <c r="M867" i="2" s="1"/>
  <c r="I868" i="2"/>
  <c r="M868" i="2" s="1"/>
  <c r="I869" i="2"/>
  <c r="M869" i="2" s="1"/>
  <c r="I870" i="2"/>
  <c r="M870" i="2" s="1"/>
  <c r="I871" i="2"/>
  <c r="M871" i="2" s="1"/>
  <c r="I872" i="2"/>
  <c r="M872" i="2" s="1"/>
  <c r="I873" i="2"/>
  <c r="I874" i="2"/>
  <c r="M874" i="2" s="1"/>
  <c r="I875" i="2"/>
  <c r="M875" i="2" s="1"/>
  <c r="I876" i="2"/>
  <c r="M876" i="2" s="1"/>
  <c r="I877" i="2"/>
  <c r="M877" i="2" s="1"/>
  <c r="I878" i="2"/>
  <c r="M878" i="2" s="1"/>
  <c r="I879" i="2"/>
  <c r="M879" i="2" s="1"/>
  <c r="I880" i="2"/>
  <c r="M880" i="2" s="1"/>
  <c r="I881" i="2"/>
  <c r="M881" i="2" s="1"/>
  <c r="I882" i="2"/>
  <c r="M882" i="2" s="1"/>
  <c r="I883" i="2"/>
  <c r="M883" i="2" s="1"/>
  <c r="I884" i="2"/>
  <c r="M884" i="2" s="1"/>
  <c r="I885" i="2"/>
  <c r="M885" i="2" s="1"/>
  <c r="I886" i="2"/>
  <c r="M886" i="2" s="1"/>
  <c r="I887" i="2"/>
  <c r="M887" i="2" s="1"/>
  <c r="I888" i="2"/>
  <c r="M888" i="2" s="1"/>
  <c r="I889" i="2"/>
  <c r="M889" i="2" s="1"/>
  <c r="I890" i="2"/>
  <c r="M890" i="2" s="1"/>
  <c r="I891" i="2"/>
  <c r="M891" i="2" s="1"/>
  <c r="I892" i="2"/>
  <c r="M892" i="2" s="1"/>
  <c r="I893" i="2"/>
  <c r="M893" i="2" s="1"/>
  <c r="I894" i="2"/>
  <c r="M894" i="2" s="1"/>
  <c r="I895" i="2"/>
  <c r="M895" i="2" s="1"/>
  <c r="I896" i="2"/>
  <c r="M896" i="2" s="1"/>
  <c r="I897" i="2"/>
  <c r="M897" i="2" s="1"/>
  <c r="I898" i="2"/>
  <c r="M898" i="2" s="1"/>
  <c r="I899" i="2"/>
  <c r="M899" i="2" s="1"/>
  <c r="I900" i="2"/>
  <c r="M900" i="2" s="1"/>
  <c r="I901" i="2"/>
  <c r="M901" i="2" s="1"/>
  <c r="I902" i="2"/>
  <c r="M902" i="2" s="1"/>
  <c r="I903" i="2"/>
  <c r="M903" i="2" s="1"/>
  <c r="I904" i="2"/>
  <c r="M904" i="2" s="1"/>
  <c r="I905" i="2"/>
  <c r="I906" i="2"/>
  <c r="M906" i="2" s="1"/>
  <c r="I907" i="2"/>
  <c r="M907" i="2" s="1"/>
  <c r="I908" i="2"/>
  <c r="M908" i="2" s="1"/>
  <c r="I909" i="2"/>
  <c r="M909" i="2" s="1"/>
  <c r="I910" i="2"/>
  <c r="M910" i="2" s="1"/>
  <c r="I911" i="2"/>
  <c r="M911" i="2" s="1"/>
  <c r="I912" i="2"/>
  <c r="M912" i="2" s="1"/>
  <c r="I913" i="2"/>
  <c r="M913" i="2" s="1"/>
  <c r="I914" i="2"/>
  <c r="M914" i="2" s="1"/>
  <c r="I915" i="2"/>
  <c r="M915" i="2" s="1"/>
  <c r="I916" i="2"/>
  <c r="M916" i="2" s="1"/>
  <c r="I917" i="2"/>
  <c r="M917" i="2" s="1"/>
  <c r="I918" i="2"/>
  <c r="M918" i="2" s="1"/>
  <c r="I919" i="2"/>
  <c r="M919" i="2" s="1"/>
  <c r="I920" i="2"/>
  <c r="M920" i="2" s="1"/>
  <c r="I921" i="2"/>
  <c r="M921" i="2" s="1"/>
  <c r="I922" i="2"/>
  <c r="M922" i="2" s="1"/>
  <c r="I923" i="2"/>
  <c r="M923" i="2" s="1"/>
  <c r="I924" i="2"/>
  <c r="M924" i="2" s="1"/>
  <c r="I925" i="2"/>
  <c r="M925" i="2" s="1"/>
  <c r="I926" i="2"/>
  <c r="M926" i="2" s="1"/>
  <c r="I927" i="2"/>
  <c r="M927" i="2" s="1"/>
  <c r="I928" i="2"/>
  <c r="M928" i="2" s="1"/>
  <c r="I929" i="2"/>
  <c r="M929" i="2" s="1"/>
  <c r="I930" i="2"/>
  <c r="M930" i="2" s="1"/>
  <c r="I931" i="2"/>
  <c r="M931" i="2" s="1"/>
  <c r="I932" i="2"/>
  <c r="M932" i="2" s="1"/>
  <c r="I933" i="2"/>
  <c r="M933" i="2" s="1"/>
  <c r="I934" i="2"/>
  <c r="M934" i="2" s="1"/>
  <c r="I935" i="2"/>
  <c r="M935" i="2" s="1"/>
  <c r="I936" i="2"/>
  <c r="M936" i="2" s="1"/>
  <c r="I937" i="2"/>
  <c r="I938" i="2"/>
  <c r="M938" i="2" s="1"/>
  <c r="I939" i="2"/>
  <c r="M939" i="2" s="1"/>
  <c r="I940" i="2"/>
  <c r="M940" i="2" s="1"/>
  <c r="I941" i="2"/>
  <c r="M941" i="2" s="1"/>
  <c r="I942" i="2"/>
  <c r="M942" i="2" s="1"/>
  <c r="I943" i="2"/>
  <c r="M943" i="2" s="1"/>
  <c r="I944" i="2"/>
  <c r="M944" i="2" s="1"/>
  <c r="I945" i="2"/>
  <c r="M945" i="2" s="1"/>
  <c r="I946" i="2"/>
  <c r="M946" i="2" s="1"/>
  <c r="I947" i="2"/>
  <c r="M947" i="2" s="1"/>
  <c r="I948" i="2"/>
  <c r="M948" i="2" s="1"/>
  <c r="I949" i="2"/>
  <c r="M949" i="2" s="1"/>
  <c r="I950" i="2"/>
  <c r="M950" i="2" s="1"/>
  <c r="I951" i="2"/>
  <c r="M951" i="2" s="1"/>
  <c r="I952" i="2"/>
  <c r="M952" i="2" s="1"/>
  <c r="I953" i="2"/>
  <c r="M953" i="2" s="1"/>
  <c r="I954" i="2"/>
  <c r="M954" i="2" s="1"/>
  <c r="I955" i="2"/>
  <c r="M955" i="2" s="1"/>
  <c r="I956" i="2"/>
  <c r="M956" i="2" s="1"/>
  <c r="I957" i="2"/>
  <c r="M957" i="2" s="1"/>
  <c r="I958" i="2"/>
  <c r="M958" i="2" s="1"/>
  <c r="I959" i="2"/>
  <c r="M959" i="2" s="1"/>
  <c r="I960" i="2"/>
  <c r="M960" i="2" s="1"/>
  <c r="I961" i="2"/>
  <c r="M961" i="2" s="1"/>
  <c r="I962" i="2"/>
  <c r="M962" i="2" s="1"/>
  <c r="I963" i="2"/>
  <c r="M963" i="2" s="1"/>
  <c r="I964" i="2"/>
  <c r="M964" i="2" s="1"/>
  <c r="I965" i="2"/>
  <c r="M965" i="2" s="1"/>
  <c r="I966" i="2"/>
  <c r="M966" i="2" s="1"/>
  <c r="I967" i="2"/>
  <c r="M967" i="2" s="1"/>
  <c r="I968" i="2"/>
  <c r="M968" i="2" s="1"/>
  <c r="I969" i="2"/>
  <c r="M969" i="2" s="1"/>
  <c r="I970" i="2"/>
  <c r="M970" i="2" s="1"/>
  <c r="I971" i="2"/>
  <c r="M971" i="2" s="1"/>
  <c r="I972" i="2"/>
  <c r="M972" i="2" s="1"/>
  <c r="I973" i="2"/>
  <c r="M973" i="2" s="1"/>
  <c r="I974" i="2"/>
  <c r="M974" i="2" s="1"/>
  <c r="I975" i="2"/>
  <c r="M975" i="2" s="1"/>
  <c r="I976" i="2"/>
  <c r="M976" i="2" s="1"/>
  <c r="I977" i="2"/>
  <c r="M977" i="2" s="1"/>
  <c r="I978" i="2"/>
  <c r="M978" i="2" s="1"/>
  <c r="I979" i="2"/>
  <c r="M979" i="2" s="1"/>
  <c r="I980" i="2"/>
  <c r="M980" i="2" s="1"/>
  <c r="I981" i="2"/>
  <c r="M981" i="2" s="1"/>
  <c r="I982" i="2"/>
  <c r="M982" i="2" s="1"/>
  <c r="I983" i="2"/>
  <c r="M983" i="2" s="1"/>
  <c r="I984" i="2"/>
  <c r="M984" i="2" s="1"/>
  <c r="I985" i="2"/>
  <c r="M985" i="2" s="1"/>
  <c r="I986" i="2"/>
  <c r="M986" i="2" s="1"/>
  <c r="I987" i="2"/>
  <c r="M987" i="2" s="1"/>
  <c r="I988" i="2"/>
  <c r="M988" i="2" s="1"/>
  <c r="I989" i="2"/>
  <c r="M989" i="2" s="1"/>
  <c r="I990" i="2"/>
  <c r="M990" i="2" s="1"/>
  <c r="I991" i="2"/>
  <c r="M991" i="2" s="1"/>
  <c r="I992" i="2"/>
  <c r="M992" i="2" s="1"/>
  <c r="I993" i="2"/>
  <c r="M993" i="2" s="1"/>
  <c r="I994" i="2"/>
  <c r="M994" i="2" s="1"/>
  <c r="I995" i="2"/>
  <c r="M995" i="2" s="1"/>
  <c r="I996" i="2"/>
  <c r="M996" i="2" s="1"/>
  <c r="I997" i="2"/>
  <c r="M997" i="2" s="1"/>
  <c r="I998" i="2"/>
  <c r="M998" i="2" s="1"/>
  <c r="I999" i="2"/>
  <c r="M999" i="2" s="1"/>
  <c r="I1000" i="2"/>
  <c r="M1000" i="2" s="1"/>
  <c r="I1001" i="2"/>
  <c r="M1001" i="2" s="1"/>
  <c r="I1002" i="2"/>
  <c r="M1002" i="2" s="1"/>
  <c r="I1003" i="2"/>
  <c r="M1003" i="2" s="1"/>
  <c r="I1004" i="2"/>
  <c r="M1004" i="2" s="1"/>
  <c r="I1005" i="2"/>
  <c r="M1005" i="2" s="1"/>
  <c r="I1006" i="2"/>
  <c r="M1006" i="2" s="1"/>
  <c r="I1007" i="2"/>
  <c r="M1007" i="2" s="1"/>
  <c r="I1008" i="2"/>
  <c r="M1008" i="2" s="1"/>
  <c r="I1009" i="2"/>
  <c r="M1009" i="2" s="1"/>
  <c r="I1010" i="2"/>
  <c r="M1010" i="2" s="1"/>
  <c r="I1011" i="2"/>
  <c r="M1011" i="2" s="1"/>
  <c r="I1012" i="2"/>
  <c r="M1012" i="2" s="1"/>
  <c r="I1013" i="2"/>
  <c r="M1013" i="2" s="1"/>
  <c r="I1014" i="2"/>
  <c r="M1014" i="2" s="1"/>
  <c r="I1015" i="2"/>
  <c r="M1015" i="2" s="1"/>
  <c r="I1016" i="2"/>
  <c r="M1016" i="2" s="1"/>
  <c r="I1017" i="2"/>
  <c r="M1017" i="2" s="1"/>
  <c r="I1018" i="2"/>
  <c r="M1018" i="2" s="1"/>
  <c r="I1019" i="2"/>
  <c r="M1019" i="2" s="1"/>
  <c r="I1020" i="2"/>
  <c r="M1020" i="2" s="1"/>
  <c r="I1021" i="2"/>
  <c r="M1021" i="2" s="1"/>
  <c r="I1022" i="2"/>
  <c r="M1022" i="2" s="1"/>
  <c r="I1023" i="2"/>
  <c r="M1023" i="2" s="1"/>
  <c r="I1024" i="2"/>
  <c r="M1024" i="2" s="1"/>
  <c r="I1025" i="2"/>
  <c r="M1025" i="2" s="1"/>
  <c r="I1026" i="2"/>
  <c r="M1026" i="2" s="1"/>
  <c r="I1027" i="2"/>
  <c r="M1027" i="2" s="1"/>
  <c r="I1028" i="2"/>
  <c r="M1028" i="2" s="1"/>
  <c r="I1029" i="2"/>
  <c r="M1029" i="2" s="1"/>
  <c r="I1030" i="2"/>
  <c r="M1030" i="2" s="1"/>
  <c r="I1031" i="2"/>
  <c r="M1031" i="2" s="1"/>
  <c r="I1032" i="2"/>
  <c r="M1032" i="2" s="1"/>
  <c r="I1033" i="2"/>
  <c r="M1033" i="2" s="1"/>
  <c r="I1034" i="2"/>
  <c r="M1034" i="2" s="1"/>
  <c r="I1035" i="2"/>
  <c r="M1035" i="2" s="1"/>
  <c r="I1036" i="2"/>
  <c r="M1036" i="2" s="1"/>
  <c r="I1037" i="2"/>
  <c r="M1037" i="2" s="1"/>
  <c r="I1038" i="2"/>
  <c r="M1038" i="2" s="1"/>
  <c r="I1039" i="2"/>
  <c r="M1039" i="2" s="1"/>
  <c r="I1040" i="2"/>
  <c r="M1040" i="2" s="1"/>
  <c r="I1041" i="2"/>
  <c r="M1041" i="2" s="1"/>
  <c r="I1042" i="2"/>
  <c r="M1042" i="2" s="1"/>
  <c r="I1043" i="2"/>
  <c r="M1043" i="2" s="1"/>
  <c r="I1044" i="2"/>
  <c r="M1044" i="2" s="1"/>
  <c r="I1045" i="2"/>
  <c r="M1045" i="2" s="1"/>
  <c r="I1046" i="2"/>
  <c r="M1046" i="2" s="1"/>
  <c r="I1047" i="2"/>
  <c r="M1047" i="2" s="1"/>
  <c r="I1048" i="2"/>
  <c r="M1048" i="2" s="1"/>
  <c r="I1049" i="2"/>
  <c r="M1049" i="2" s="1"/>
  <c r="I1050" i="2"/>
  <c r="M1050" i="2" s="1"/>
  <c r="I1051" i="2"/>
  <c r="M1051" i="2" s="1"/>
  <c r="I1052" i="2"/>
  <c r="M1052" i="2" s="1"/>
  <c r="I1053" i="2"/>
  <c r="M1053" i="2" s="1"/>
  <c r="I1054" i="2"/>
  <c r="M1054" i="2" s="1"/>
  <c r="I1055" i="2"/>
  <c r="M1055" i="2" s="1"/>
  <c r="I1056" i="2"/>
  <c r="M1056" i="2" s="1"/>
  <c r="I1057" i="2"/>
  <c r="M1057" i="2" s="1"/>
  <c r="I1058" i="2"/>
  <c r="M1058" i="2" s="1"/>
  <c r="I1059" i="2"/>
  <c r="M1059" i="2" s="1"/>
  <c r="I1060" i="2"/>
  <c r="M1060" i="2" s="1"/>
  <c r="I1061" i="2"/>
  <c r="M1061" i="2" s="1"/>
  <c r="I1062" i="2"/>
  <c r="M1062" i="2" s="1"/>
  <c r="I1063" i="2"/>
  <c r="M1063" i="2" s="1"/>
  <c r="I1064" i="2"/>
  <c r="M1064" i="2" s="1"/>
  <c r="I1065" i="2"/>
  <c r="M1065" i="2" s="1"/>
  <c r="I1066" i="2"/>
  <c r="M1066" i="2" s="1"/>
  <c r="I1067" i="2"/>
  <c r="M1067" i="2" s="1"/>
  <c r="I1068" i="2"/>
  <c r="M1068" i="2" s="1"/>
  <c r="I1069" i="2"/>
  <c r="M1069" i="2" s="1"/>
  <c r="I1070" i="2"/>
  <c r="M1070" i="2" s="1"/>
  <c r="I1071" i="2"/>
  <c r="M1071" i="2" s="1"/>
  <c r="I1072" i="2"/>
  <c r="M1072" i="2" s="1"/>
  <c r="I1073" i="2"/>
  <c r="M1073" i="2" s="1"/>
  <c r="I1074" i="2"/>
  <c r="M1074" i="2" s="1"/>
  <c r="I1075" i="2"/>
  <c r="M1075" i="2" s="1"/>
  <c r="I1076" i="2"/>
  <c r="M1076" i="2" s="1"/>
  <c r="I1077" i="2"/>
  <c r="M1077" i="2" s="1"/>
  <c r="I1078" i="2"/>
  <c r="M1078" i="2" s="1"/>
  <c r="I1079" i="2"/>
  <c r="M1079" i="2" s="1"/>
  <c r="I1080" i="2"/>
  <c r="M1080" i="2" s="1"/>
  <c r="I1081" i="2"/>
  <c r="M1081" i="2" s="1"/>
  <c r="I1082" i="2"/>
  <c r="M1082" i="2" s="1"/>
  <c r="I1083" i="2"/>
  <c r="M1083" i="2" s="1"/>
  <c r="I1084" i="2"/>
  <c r="M1084" i="2" s="1"/>
  <c r="I1085" i="2"/>
  <c r="M1085" i="2" s="1"/>
  <c r="I1086" i="2"/>
  <c r="M1086" i="2" s="1"/>
  <c r="I1087" i="2"/>
  <c r="M1087" i="2" s="1"/>
  <c r="I1088" i="2"/>
  <c r="M1088" i="2" s="1"/>
  <c r="I1089" i="2"/>
  <c r="M1089" i="2" s="1"/>
  <c r="I1090" i="2"/>
  <c r="M1090" i="2" s="1"/>
  <c r="I1091" i="2"/>
  <c r="M1091" i="2" s="1"/>
  <c r="I1092" i="2"/>
  <c r="M1092" i="2" s="1"/>
  <c r="I1093" i="2"/>
  <c r="M1093" i="2" s="1"/>
  <c r="I1094" i="2"/>
  <c r="M1094" i="2" s="1"/>
  <c r="I1095" i="2"/>
  <c r="M1095" i="2" s="1"/>
  <c r="I1096" i="2"/>
  <c r="M1096" i="2" s="1"/>
  <c r="I1097" i="2"/>
  <c r="M1097" i="2" s="1"/>
  <c r="I1098" i="2"/>
  <c r="M1098" i="2" s="1"/>
  <c r="I1099" i="2"/>
  <c r="M1099" i="2" s="1"/>
  <c r="I1100" i="2"/>
  <c r="M1100" i="2" s="1"/>
  <c r="I1101" i="2"/>
  <c r="M1101" i="2" s="1"/>
  <c r="I1102" i="2"/>
  <c r="M1102" i="2" s="1"/>
  <c r="I1103" i="2"/>
  <c r="M1103" i="2" s="1"/>
  <c r="I1104" i="2"/>
  <c r="M1104" i="2" s="1"/>
  <c r="I1105" i="2"/>
  <c r="M1105" i="2" s="1"/>
  <c r="I1106" i="2"/>
  <c r="M1106" i="2" s="1"/>
  <c r="I1107" i="2"/>
  <c r="M1107" i="2" s="1"/>
  <c r="I1108" i="2"/>
  <c r="M1108" i="2" s="1"/>
  <c r="I1109" i="2"/>
  <c r="M1109" i="2" s="1"/>
  <c r="I1110" i="2"/>
  <c r="M1110" i="2" s="1"/>
  <c r="I1111" i="2"/>
  <c r="M1111" i="2" s="1"/>
  <c r="I1112" i="2"/>
  <c r="M1112" i="2" s="1"/>
  <c r="I1113" i="2"/>
  <c r="M1113" i="2" s="1"/>
  <c r="I1114" i="2"/>
  <c r="M1114" i="2" s="1"/>
  <c r="I1115" i="2"/>
  <c r="M1115" i="2" s="1"/>
  <c r="I1116" i="2"/>
  <c r="M1116" i="2" s="1"/>
  <c r="I1117" i="2"/>
  <c r="M1117" i="2" s="1"/>
  <c r="I1118" i="2"/>
  <c r="M1118" i="2" s="1"/>
  <c r="I1119" i="2"/>
  <c r="M1119" i="2" s="1"/>
  <c r="I1120" i="2"/>
  <c r="M1120" i="2" s="1"/>
  <c r="I1121" i="2"/>
  <c r="M1121" i="2" s="1"/>
  <c r="I1122" i="2"/>
  <c r="M1122" i="2" s="1"/>
  <c r="I1123" i="2"/>
  <c r="M1123" i="2" s="1"/>
  <c r="I1124" i="2"/>
  <c r="M1124" i="2" s="1"/>
  <c r="I1125" i="2"/>
  <c r="M1125" i="2" s="1"/>
  <c r="I1126" i="2"/>
  <c r="M1126" i="2" s="1"/>
  <c r="I1127" i="2"/>
  <c r="M1127" i="2" s="1"/>
  <c r="I1128" i="2"/>
  <c r="M1128" i="2" s="1"/>
  <c r="I1129" i="2"/>
  <c r="M1129" i="2" s="1"/>
  <c r="I1130" i="2"/>
  <c r="M1130" i="2" s="1"/>
  <c r="I1131" i="2"/>
  <c r="M1131" i="2" s="1"/>
  <c r="I1132" i="2"/>
  <c r="M1132" i="2" s="1"/>
  <c r="I1133" i="2"/>
  <c r="M1133" i="2" s="1"/>
  <c r="I1134" i="2"/>
  <c r="M1134" i="2" s="1"/>
  <c r="I1135" i="2"/>
  <c r="M1135" i="2" s="1"/>
  <c r="I1136" i="2"/>
  <c r="M1136" i="2" s="1"/>
  <c r="I1137" i="2"/>
  <c r="M1137" i="2" s="1"/>
  <c r="I1138" i="2"/>
  <c r="M1138" i="2" s="1"/>
  <c r="I1139" i="2"/>
  <c r="M1139" i="2" s="1"/>
  <c r="I1140" i="2"/>
  <c r="M1140" i="2" s="1"/>
  <c r="I1141" i="2"/>
  <c r="M1141" i="2" s="1"/>
  <c r="I1142" i="2"/>
  <c r="M1142" i="2" s="1"/>
  <c r="I1143" i="2"/>
  <c r="M1143" i="2" s="1"/>
  <c r="I1144" i="2"/>
  <c r="M1144" i="2" s="1"/>
  <c r="I1145" i="2"/>
  <c r="M1145" i="2" s="1"/>
  <c r="I1146" i="2"/>
  <c r="M1146" i="2" s="1"/>
  <c r="I1147" i="2"/>
  <c r="M1147" i="2" s="1"/>
  <c r="I1148" i="2"/>
  <c r="M1148" i="2" s="1"/>
  <c r="I1149" i="2"/>
  <c r="M1149" i="2" s="1"/>
  <c r="I1150" i="2"/>
  <c r="M1150" i="2" s="1"/>
  <c r="I1151" i="2"/>
  <c r="M1151" i="2" s="1"/>
  <c r="I1152" i="2"/>
  <c r="M1152" i="2" s="1"/>
  <c r="I1153" i="2"/>
  <c r="M1153" i="2" s="1"/>
  <c r="I1154" i="2"/>
  <c r="M1154" i="2" s="1"/>
  <c r="I1155" i="2"/>
  <c r="M1155" i="2" s="1"/>
  <c r="I1156" i="2"/>
  <c r="M1156" i="2" s="1"/>
  <c r="I1157" i="2"/>
  <c r="M1157" i="2" s="1"/>
  <c r="I1158" i="2"/>
  <c r="M1158" i="2" s="1"/>
  <c r="I1159" i="2"/>
  <c r="M1159" i="2" s="1"/>
  <c r="I1160" i="2"/>
  <c r="M1160" i="2" s="1"/>
  <c r="I1161" i="2"/>
  <c r="M1161" i="2" s="1"/>
  <c r="I1162" i="2"/>
  <c r="M1162" i="2" s="1"/>
  <c r="I1163" i="2"/>
  <c r="M1163" i="2" s="1"/>
  <c r="I1164" i="2"/>
  <c r="M1164" i="2" s="1"/>
  <c r="I1165" i="2"/>
  <c r="M1165" i="2" s="1"/>
  <c r="I1166" i="2"/>
  <c r="M1166" i="2" s="1"/>
  <c r="I1167" i="2"/>
  <c r="M1167" i="2" s="1"/>
  <c r="I1168" i="2"/>
  <c r="M1168" i="2" s="1"/>
  <c r="I1169" i="2"/>
  <c r="M1169" i="2" s="1"/>
  <c r="I1170" i="2"/>
  <c r="M1170" i="2" s="1"/>
  <c r="I1171" i="2"/>
  <c r="M1171" i="2" s="1"/>
  <c r="I1172" i="2"/>
  <c r="M1172" i="2" s="1"/>
  <c r="I1173" i="2"/>
  <c r="M1173" i="2" s="1"/>
  <c r="I1174" i="2"/>
  <c r="M1174" i="2" s="1"/>
  <c r="I1175" i="2"/>
  <c r="M1175" i="2" s="1"/>
  <c r="I1176" i="2"/>
  <c r="M1176" i="2" s="1"/>
  <c r="I1177" i="2"/>
  <c r="M1177" i="2" s="1"/>
  <c r="I1178" i="2"/>
  <c r="M1178" i="2" s="1"/>
  <c r="I1179" i="2"/>
  <c r="M1179" i="2" s="1"/>
  <c r="I1180" i="2"/>
  <c r="M1180" i="2" s="1"/>
  <c r="I1181" i="2"/>
  <c r="M1181" i="2" s="1"/>
  <c r="I1182" i="2"/>
  <c r="M1182" i="2" s="1"/>
  <c r="I1183" i="2"/>
  <c r="M1183" i="2" s="1"/>
  <c r="I1184" i="2"/>
  <c r="M1184" i="2" s="1"/>
  <c r="I1185" i="2"/>
  <c r="M1185" i="2" s="1"/>
  <c r="I1186" i="2"/>
  <c r="M1186" i="2" s="1"/>
  <c r="I1187" i="2"/>
  <c r="M1187" i="2" s="1"/>
  <c r="I1188" i="2"/>
  <c r="M1188" i="2" s="1"/>
  <c r="I1189" i="2"/>
  <c r="M1189" i="2" s="1"/>
  <c r="I1190" i="2"/>
  <c r="M1190" i="2" s="1"/>
  <c r="I1191" i="2"/>
  <c r="M1191" i="2" s="1"/>
  <c r="I1192" i="2"/>
  <c r="M1192" i="2" s="1"/>
  <c r="I1193" i="2"/>
  <c r="M1193" i="2" s="1"/>
  <c r="I1194" i="2"/>
  <c r="M1194" i="2" s="1"/>
  <c r="I1195" i="2"/>
  <c r="M1195" i="2" s="1"/>
  <c r="I1196" i="2"/>
  <c r="M1196" i="2" s="1"/>
  <c r="I1197" i="2"/>
  <c r="M1197" i="2" s="1"/>
  <c r="I1198" i="2"/>
  <c r="M1198" i="2" s="1"/>
  <c r="I1199" i="2"/>
  <c r="M1199" i="2" s="1"/>
  <c r="I1200" i="2"/>
  <c r="M1200" i="2" s="1"/>
  <c r="I1201" i="2"/>
  <c r="M1201" i="2" s="1"/>
  <c r="I1202" i="2"/>
  <c r="M1202" i="2" s="1"/>
  <c r="I1203" i="2"/>
  <c r="M1203" i="2" s="1"/>
  <c r="I1204" i="2"/>
  <c r="M1204" i="2" s="1"/>
  <c r="I1205" i="2"/>
  <c r="M1205" i="2" s="1"/>
  <c r="I1206" i="2"/>
  <c r="M1206" i="2" s="1"/>
  <c r="I1207" i="2"/>
  <c r="M1207" i="2" s="1"/>
  <c r="I1208" i="2"/>
  <c r="M1208" i="2" s="1"/>
  <c r="I1209" i="2"/>
  <c r="M1209" i="2" s="1"/>
  <c r="I1210" i="2"/>
  <c r="M1210" i="2" s="1"/>
  <c r="I1211" i="2"/>
  <c r="M1211" i="2" s="1"/>
  <c r="I1212" i="2"/>
  <c r="M1212" i="2" s="1"/>
  <c r="I1213" i="2"/>
  <c r="M1213" i="2" s="1"/>
  <c r="I1214" i="2"/>
  <c r="M1214" i="2" s="1"/>
  <c r="I1215" i="2"/>
  <c r="M1215" i="2" s="1"/>
  <c r="I1216" i="2"/>
  <c r="M1216" i="2" s="1"/>
  <c r="I1217" i="2"/>
  <c r="M1217" i="2" s="1"/>
  <c r="I1218" i="2"/>
  <c r="M1218" i="2" s="1"/>
  <c r="I1219" i="2"/>
  <c r="M1219" i="2" s="1"/>
  <c r="I1220" i="2"/>
  <c r="M1220" i="2" s="1"/>
  <c r="I1221" i="2"/>
  <c r="M1221" i="2" s="1"/>
  <c r="I1222" i="2"/>
  <c r="M1222" i="2" s="1"/>
  <c r="I1223" i="2"/>
  <c r="M1223" i="2" s="1"/>
  <c r="I1224" i="2"/>
  <c r="M1224" i="2" s="1"/>
  <c r="I1225" i="2"/>
  <c r="M1225" i="2" s="1"/>
  <c r="I1226" i="2"/>
  <c r="M1226" i="2" s="1"/>
  <c r="I1227" i="2"/>
  <c r="M1227" i="2" s="1"/>
  <c r="I1228" i="2"/>
  <c r="M1228" i="2" s="1"/>
  <c r="I1229" i="2"/>
  <c r="M1229" i="2" s="1"/>
  <c r="I1230" i="2"/>
  <c r="M1230" i="2" s="1"/>
  <c r="I1231" i="2"/>
  <c r="M1231" i="2" s="1"/>
  <c r="I1232" i="2"/>
  <c r="M1232" i="2" s="1"/>
  <c r="I1233" i="2"/>
  <c r="M1233" i="2" s="1"/>
  <c r="I1234" i="2"/>
  <c r="M1234" i="2" s="1"/>
  <c r="I1235" i="2"/>
  <c r="M1235" i="2" s="1"/>
  <c r="I1236" i="2"/>
  <c r="M1236" i="2" s="1"/>
  <c r="I1237" i="2"/>
  <c r="M1237" i="2" s="1"/>
  <c r="I1238" i="2"/>
  <c r="M1238" i="2" s="1"/>
  <c r="I1239" i="2"/>
  <c r="M1239" i="2" s="1"/>
  <c r="I1240" i="2"/>
  <c r="M1240" i="2" s="1"/>
  <c r="I1241" i="2"/>
  <c r="M1241" i="2" s="1"/>
  <c r="I1242" i="2"/>
  <c r="M1242" i="2" s="1"/>
  <c r="I1243" i="2"/>
  <c r="M1243" i="2" s="1"/>
  <c r="I1244" i="2"/>
  <c r="M1244" i="2" s="1"/>
  <c r="I1245" i="2"/>
  <c r="M1245" i="2" s="1"/>
  <c r="I1246" i="2"/>
  <c r="M1246" i="2" s="1"/>
  <c r="I1247" i="2"/>
  <c r="M1247" i="2" s="1"/>
  <c r="I1248" i="2"/>
  <c r="M1248" i="2" s="1"/>
  <c r="I1249" i="2"/>
  <c r="M1249" i="2" s="1"/>
  <c r="I1250" i="2"/>
  <c r="M1250" i="2" s="1"/>
  <c r="I1251" i="2"/>
  <c r="M1251" i="2" s="1"/>
  <c r="I1252" i="2"/>
  <c r="M1252" i="2" s="1"/>
  <c r="I1253" i="2"/>
  <c r="M1253" i="2" s="1"/>
  <c r="I1254" i="2"/>
  <c r="M1254" i="2" s="1"/>
  <c r="I1255" i="2"/>
  <c r="M1255" i="2" s="1"/>
  <c r="I1256" i="2"/>
  <c r="M1256" i="2" s="1"/>
  <c r="I1257" i="2"/>
  <c r="M1257" i="2" s="1"/>
  <c r="I1258" i="2"/>
  <c r="M1258" i="2" s="1"/>
  <c r="I1259" i="2"/>
  <c r="M1259" i="2" s="1"/>
  <c r="I1260" i="2"/>
  <c r="M1260" i="2" s="1"/>
  <c r="I1261" i="2"/>
  <c r="M1261" i="2" s="1"/>
  <c r="I1262" i="2"/>
  <c r="M1262" i="2" s="1"/>
  <c r="I1263" i="2"/>
  <c r="M1263" i="2" s="1"/>
  <c r="I1264" i="2"/>
  <c r="M1264" i="2" s="1"/>
  <c r="I1265" i="2"/>
  <c r="M1265" i="2" s="1"/>
  <c r="I1266" i="2"/>
  <c r="M1266" i="2" s="1"/>
  <c r="I1267" i="2"/>
  <c r="M1267" i="2" s="1"/>
  <c r="I1268" i="2"/>
  <c r="M1268" i="2" s="1"/>
  <c r="I1269" i="2"/>
  <c r="M1269" i="2" s="1"/>
  <c r="I1270" i="2"/>
  <c r="M1270" i="2" s="1"/>
  <c r="I1271" i="2"/>
  <c r="M1271" i="2" s="1"/>
  <c r="I1272" i="2"/>
  <c r="M1272" i="2" s="1"/>
  <c r="I1273" i="2"/>
  <c r="M1273" i="2" s="1"/>
  <c r="I1274" i="2"/>
  <c r="M1274" i="2" s="1"/>
  <c r="I1275" i="2"/>
  <c r="M1275" i="2" s="1"/>
  <c r="I1276" i="2"/>
  <c r="M1276" i="2" s="1"/>
  <c r="I1277" i="2"/>
  <c r="M1277" i="2" s="1"/>
  <c r="I1278" i="2"/>
  <c r="M1278" i="2" s="1"/>
  <c r="I1279" i="2"/>
  <c r="M1279" i="2" s="1"/>
  <c r="I1280" i="2"/>
  <c r="M1280" i="2" s="1"/>
  <c r="I1281" i="2"/>
  <c r="M1281" i="2" s="1"/>
  <c r="I1282" i="2"/>
  <c r="M1282" i="2" s="1"/>
  <c r="I1283" i="2"/>
  <c r="M1283" i="2" s="1"/>
  <c r="I1284" i="2"/>
  <c r="M1284" i="2" s="1"/>
  <c r="I1285" i="2"/>
  <c r="M1285" i="2" s="1"/>
  <c r="I1286" i="2"/>
  <c r="M1286" i="2" s="1"/>
  <c r="I1287" i="2"/>
  <c r="M1287" i="2" s="1"/>
  <c r="I1288" i="2"/>
  <c r="M1288" i="2" s="1"/>
  <c r="I1289" i="2"/>
  <c r="M1289" i="2" s="1"/>
  <c r="I1290" i="2"/>
  <c r="M1290" i="2" s="1"/>
  <c r="I1291" i="2"/>
  <c r="M1291" i="2" s="1"/>
  <c r="I1292" i="2"/>
  <c r="M1292" i="2" s="1"/>
  <c r="I1293" i="2"/>
  <c r="M1293" i="2" s="1"/>
  <c r="I1294" i="2"/>
  <c r="M1294" i="2" s="1"/>
  <c r="I1295" i="2"/>
  <c r="M1295" i="2" s="1"/>
  <c r="I1296" i="2"/>
  <c r="M1296" i="2" s="1"/>
  <c r="I1297" i="2"/>
  <c r="M1297" i="2" s="1"/>
  <c r="I1298" i="2"/>
  <c r="M1298" i="2" s="1"/>
  <c r="I1299" i="2"/>
  <c r="M1299" i="2" s="1"/>
  <c r="I1300" i="2"/>
  <c r="M1300" i="2" s="1"/>
  <c r="I1301" i="2"/>
  <c r="M1301" i="2" s="1"/>
  <c r="I1302" i="2"/>
  <c r="M1302" i="2" s="1"/>
  <c r="I1303" i="2"/>
  <c r="M1303" i="2" s="1"/>
  <c r="I1304" i="2"/>
  <c r="M1304" i="2" s="1"/>
  <c r="I1305" i="2"/>
  <c r="M1305" i="2" s="1"/>
  <c r="I1306" i="2"/>
  <c r="M1306" i="2" s="1"/>
  <c r="I1307" i="2"/>
  <c r="M1307" i="2" s="1"/>
  <c r="I1308" i="2"/>
  <c r="M1308" i="2" s="1"/>
  <c r="I1309" i="2"/>
  <c r="M1309" i="2" s="1"/>
  <c r="I1310" i="2"/>
  <c r="M1310" i="2" s="1"/>
  <c r="I1311" i="2"/>
  <c r="M1311" i="2" s="1"/>
  <c r="I1312" i="2"/>
  <c r="M1312" i="2" s="1"/>
  <c r="I1313" i="2"/>
  <c r="M1313" i="2" s="1"/>
  <c r="I1314" i="2"/>
  <c r="M1314" i="2" s="1"/>
  <c r="I1315" i="2"/>
  <c r="M1315" i="2" s="1"/>
  <c r="I1316" i="2"/>
  <c r="M1316" i="2" s="1"/>
  <c r="I1317" i="2"/>
  <c r="M1317" i="2" s="1"/>
  <c r="I1318" i="2"/>
  <c r="M1318" i="2" s="1"/>
  <c r="I1319" i="2"/>
  <c r="M1319" i="2" s="1"/>
  <c r="I1320" i="2"/>
  <c r="M1320" i="2" s="1"/>
  <c r="I1321" i="2"/>
  <c r="M1321" i="2" s="1"/>
  <c r="I1322" i="2"/>
  <c r="M1322" i="2" s="1"/>
  <c r="I1323" i="2"/>
  <c r="M1323" i="2" s="1"/>
  <c r="I1324" i="2"/>
  <c r="M1324" i="2" s="1"/>
  <c r="I1325" i="2"/>
  <c r="M1325" i="2" s="1"/>
  <c r="I1326" i="2"/>
  <c r="M1326" i="2" s="1"/>
  <c r="I1327" i="2"/>
  <c r="M1327" i="2" s="1"/>
  <c r="I1328" i="2"/>
  <c r="M1328" i="2" s="1"/>
  <c r="I1329" i="2"/>
  <c r="M1329" i="2" s="1"/>
  <c r="I1330" i="2"/>
  <c r="M1330" i="2" s="1"/>
  <c r="I1331" i="2"/>
  <c r="M1331" i="2" s="1"/>
  <c r="I1332" i="2"/>
  <c r="M1332" i="2" s="1"/>
  <c r="I1333" i="2"/>
  <c r="M1333" i="2" s="1"/>
  <c r="I1334" i="2"/>
  <c r="M1334" i="2" s="1"/>
  <c r="I1335" i="2"/>
  <c r="M1335" i="2" s="1"/>
  <c r="I1336" i="2"/>
  <c r="M1336" i="2" s="1"/>
  <c r="I1337" i="2"/>
  <c r="M1337" i="2" s="1"/>
  <c r="I1338" i="2"/>
  <c r="M1338" i="2" s="1"/>
  <c r="I1339" i="2"/>
  <c r="M1339" i="2" s="1"/>
  <c r="I1340" i="2"/>
  <c r="M1340" i="2" s="1"/>
  <c r="I1341" i="2"/>
  <c r="M1341" i="2" s="1"/>
  <c r="I1342" i="2"/>
  <c r="M1342" i="2" s="1"/>
  <c r="I1343" i="2"/>
  <c r="M1343" i="2" s="1"/>
  <c r="I1344" i="2"/>
  <c r="M1344" i="2" s="1"/>
  <c r="I1345" i="2"/>
  <c r="M1345" i="2" s="1"/>
  <c r="I1346" i="2"/>
  <c r="M1346" i="2" s="1"/>
  <c r="I1347" i="2"/>
  <c r="M1347" i="2" s="1"/>
  <c r="I1348" i="2"/>
  <c r="M1348" i="2" s="1"/>
  <c r="I1349" i="2"/>
  <c r="M1349" i="2" s="1"/>
  <c r="I1350" i="2"/>
  <c r="M1350" i="2" s="1"/>
  <c r="I1351" i="2"/>
  <c r="M1351" i="2" s="1"/>
  <c r="I1352" i="2"/>
  <c r="M1352" i="2" s="1"/>
  <c r="I1353" i="2"/>
  <c r="M1353" i="2" s="1"/>
  <c r="I1354" i="2"/>
  <c r="M1354" i="2" s="1"/>
  <c r="I1355" i="2"/>
  <c r="M1355" i="2" s="1"/>
  <c r="I1356" i="2"/>
  <c r="M1356" i="2" s="1"/>
  <c r="I1357" i="2"/>
  <c r="M1357" i="2" s="1"/>
  <c r="I1358" i="2"/>
  <c r="M1358" i="2" s="1"/>
  <c r="I1359" i="2"/>
  <c r="M1359" i="2" s="1"/>
  <c r="I1360" i="2"/>
  <c r="M1360" i="2" s="1"/>
  <c r="I1361" i="2"/>
  <c r="M1361" i="2" s="1"/>
  <c r="I1362" i="2"/>
  <c r="M1362" i="2" s="1"/>
  <c r="I1363" i="2"/>
  <c r="M1363" i="2" s="1"/>
  <c r="I1364" i="2"/>
  <c r="M1364" i="2" s="1"/>
  <c r="I1365" i="2"/>
  <c r="M1365" i="2" s="1"/>
  <c r="I1366" i="2"/>
  <c r="M1366" i="2" s="1"/>
  <c r="I1367" i="2"/>
  <c r="M1367" i="2" s="1"/>
  <c r="I1368" i="2"/>
  <c r="M1368" i="2" s="1"/>
  <c r="I1369" i="2"/>
  <c r="M1369" i="2" s="1"/>
  <c r="I1370" i="2"/>
  <c r="M1370" i="2" s="1"/>
  <c r="I1371" i="2"/>
  <c r="M1371" i="2" s="1"/>
  <c r="I1372" i="2"/>
  <c r="M1372" i="2" s="1"/>
  <c r="I1373" i="2"/>
  <c r="M1373" i="2" s="1"/>
  <c r="I1374" i="2"/>
  <c r="M1374" i="2" s="1"/>
  <c r="I1375" i="2"/>
  <c r="M1375" i="2" s="1"/>
  <c r="I1376" i="2"/>
  <c r="M1376" i="2" s="1"/>
  <c r="I1377" i="2"/>
  <c r="M1377" i="2" s="1"/>
  <c r="I1378" i="2"/>
  <c r="M1378" i="2" s="1"/>
  <c r="I1379" i="2"/>
  <c r="M1379" i="2" s="1"/>
  <c r="I1380" i="2"/>
  <c r="M1380" i="2" s="1"/>
  <c r="I1381" i="2"/>
  <c r="M1381" i="2" s="1"/>
  <c r="I1382" i="2"/>
  <c r="M1382" i="2" s="1"/>
  <c r="I1383" i="2"/>
  <c r="M1383" i="2" s="1"/>
  <c r="I1384" i="2"/>
  <c r="M1384" i="2" s="1"/>
  <c r="I1385" i="2"/>
  <c r="M1385" i="2" s="1"/>
  <c r="I1386" i="2"/>
  <c r="M1386" i="2" s="1"/>
  <c r="I1387" i="2"/>
  <c r="M1387" i="2" s="1"/>
  <c r="I1388" i="2"/>
  <c r="M1388" i="2" s="1"/>
  <c r="I1389" i="2"/>
  <c r="M1389" i="2" s="1"/>
  <c r="I1390" i="2"/>
  <c r="M1390" i="2" s="1"/>
  <c r="I1391" i="2"/>
  <c r="M1391" i="2" s="1"/>
  <c r="I1392" i="2"/>
  <c r="M1392" i="2" s="1"/>
  <c r="I1393" i="2"/>
  <c r="M1393" i="2" s="1"/>
  <c r="I1394" i="2"/>
  <c r="M1394" i="2" s="1"/>
  <c r="I1395" i="2"/>
  <c r="M1395" i="2" s="1"/>
  <c r="I1396" i="2"/>
  <c r="M1396" i="2" s="1"/>
  <c r="I1397" i="2"/>
  <c r="M1397" i="2" s="1"/>
  <c r="I1398" i="2"/>
  <c r="M1398" i="2" s="1"/>
  <c r="I1399" i="2"/>
  <c r="M1399" i="2" s="1"/>
  <c r="I1400" i="2"/>
  <c r="M1400" i="2" s="1"/>
  <c r="I1401" i="2"/>
  <c r="M1401" i="2" s="1"/>
  <c r="I1402" i="2"/>
  <c r="M1402" i="2" s="1"/>
  <c r="I1403" i="2"/>
  <c r="M1403" i="2" s="1"/>
  <c r="I1404" i="2"/>
  <c r="M1404" i="2" s="1"/>
  <c r="I1405" i="2"/>
  <c r="M1405" i="2" s="1"/>
  <c r="I1406" i="2"/>
  <c r="M1406" i="2" s="1"/>
  <c r="I1407" i="2"/>
  <c r="M1407" i="2" s="1"/>
  <c r="I1408" i="2"/>
  <c r="M1408" i="2" s="1"/>
  <c r="I1409" i="2"/>
  <c r="M1409" i="2" s="1"/>
  <c r="I1410" i="2"/>
  <c r="M1410" i="2" s="1"/>
  <c r="I1411" i="2"/>
  <c r="M1411" i="2" s="1"/>
  <c r="I1412" i="2"/>
  <c r="M1412" i="2" s="1"/>
  <c r="I1413" i="2"/>
  <c r="M1413" i="2" s="1"/>
  <c r="I1414" i="2"/>
  <c r="M1414" i="2" s="1"/>
  <c r="I1415" i="2"/>
  <c r="M1415" i="2" s="1"/>
  <c r="I1416" i="2"/>
  <c r="M1416" i="2" s="1"/>
  <c r="I1417" i="2"/>
  <c r="M1417" i="2" s="1"/>
  <c r="I1418" i="2"/>
  <c r="M1418" i="2" s="1"/>
  <c r="I1419" i="2"/>
  <c r="M1419" i="2" s="1"/>
  <c r="I1420" i="2"/>
  <c r="M1420" i="2" s="1"/>
  <c r="I1421" i="2"/>
  <c r="M1421" i="2" s="1"/>
  <c r="I1422" i="2"/>
  <c r="M1422" i="2" s="1"/>
  <c r="I1423" i="2"/>
  <c r="M1423" i="2" s="1"/>
  <c r="I1424" i="2"/>
  <c r="M1424" i="2" s="1"/>
  <c r="I1425" i="2"/>
  <c r="M1425" i="2" s="1"/>
  <c r="I1426" i="2"/>
  <c r="M1426" i="2" s="1"/>
  <c r="I1427" i="2"/>
  <c r="M1427" i="2" s="1"/>
  <c r="I1428" i="2"/>
  <c r="M1428" i="2" s="1"/>
  <c r="I1429" i="2"/>
  <c r="M1429" i="2" s="1"/>
  <c r="I1430" i="2"/>
  <c r="M1430" i="2" s="1"/>
  <c r="I1431" i="2"/>
  <c r="M1431" i="2" s="1"/>
  <c r="I1432" i="2"/>
  <c r="M1432" i="2" s="1"/>
  <c r="I1433" i="2"/>
  <c r="M1433" i="2" s="1"/>
  <c r="I1434" i="2"/>
  <c r="M1434" i="2" s="1"/>
  <c r="I1435" i="2"/>
  <c r="M1435" i="2" s="1"/>
  <c r="I1436" i="2"/>
  <c r="M1436" i="2" s="1"/>
  <c r="I1437" i="2"/>
  <c r="M1437" i="2" s="1"/>
  <c r="I1438" i="2"/>
  <c r="M1438" i="2" s="1"/>
  <c r="I1439" i="2"/>
  <c r="M1439" i="2" s="1"/>
  <c r="I1440" i="2"/>
  <c r="M1440" i="2" s="1"/>
  <c r="I1441" i="2"/>
  <c r="M1441" i="2" s="1"/>
  <c r="I1442" i="2"/>
  <c r="M1442" i="2" s="1"/>
  <c r="I1443" i="2"/>
  <c r="M1443" i="2" s="1"/>
  <c r="I1444" i="2"/>
  <c r="M1444" i="2" s="1"/>
  <c r="I1445" i="2"/>
  <c r="M1445" i="2" s="1"/>
  <c r="I1446" i="2"/>
  <c r="M1446" i="2" s="1"/>
  <c r="I1447" i="2"/>
  <c r="M1447" i="2" s="1"/>
  <c r="I1448" i="2"/>
  <c r="M1448" i="2" s="1"/>
  <c r="I1449" i="2"/>
  <c r="M1449" i="2" s="1"/>
  <c r="I1450" i="2"/>
  <c r="M1450" i="2" s="1"/>
  <c r="I1451" i="2"/>
  <c r="M1451" i="2" s="1"/>
  <c r="I1452" i="2"/>
  <c r="M1452" i="2" s="1"/>
  <c r="I1453" i="2"/>
  <c r="M1453" i="2" s="1"/>
  <c r="I1454" i="2"/>
  <c r="M1454" i="2" s="1"/>
  <c r="I1455" i="2"/>
  <c r="M1455" i="2" s="1"/>
  <c r="I1456" i="2"/>
  <c r="M1456" i="2" s="1"/>
  <c r="I1457" i="2"/>
  <c r="M1457" i="2" s="1"/>
  <c r="I1458" i="2"/>
  <c r="M1458" i="2" s="1"/>
  <c r="I1459" i="2"/>
  <c r="M1459" i="2" s="1"/>
  <c r="I1460" i="2"/>
  <c r="M1460" i="2" s="1"/>
  <c r="I1461" i="2"/>
  <c r="M1461" i="2" s="1"/>
  <c r="I1462" i="2"/>
  <c r="M1462" i="2" s="1"/>
  <c r="I1463" i="2"/>
  <c r="M1463" i="2" s="1"/>
  <c r="I1464" i="2"/>
  <c r="M1464" i="2" s="1"/>
  <c r="I1465" i="2"/>
  <c r="M1465" i="2" s="1"/>
  <c r="I1466" i="2"/>
  <c r="M1466" i="2" s="1"/>
  <c r="I1467" i="2"/>
  <c r="M1467" i="2" s="1"/>
  <c r="I1468" i="2"/>
  <c r="M1468" i="2" s="1"/>
  <c r="I1469" i="2"/>
  <c r="M1469" i="2" s="1"/>
  <c r="I1470" i="2"/>
  <c r="M1470" i="2" s="1"/>
  <c r="I1471" i="2"/>
  <c r="M1471" i="2" s="1"/>
  <c r="I1472" i="2"/>
  <c r="M1472" i="2" s="1"/>
  <c r="I1473" i="2"/>
  <c r="M1473" i="2" s="1"/>
  <c r="I1474" i="2"/>
  <c r="M1474" i="2" s="1"/>
  <c r="I1475" i="2"/>
  <c r="M1475" i="2" s="1"/>
  <c r="I1476" i="2"/>
  <c r="M1476" i="2" s="1"/>
  <c r="I1477" i="2"/>
  <c r="M1477" i="2" s="1"/>
  <c r="I1478" i="2"/>
  <c r="M1478" i="2" s="1"/>
  <c r="I1479" i="2"/>
  <c r="M1479" i="2" s="1"/>
  <c r="I1480" i="2"/>
  <c r="M1480" i="2" s="1"/>
  <c r="I1481" i="2"/>
  <c r="M1481" i="2" s="1"/>
  <c r="I1482" i="2"/>
  <c r="M1482" i="2" s="1"/>
  <c r="I1483" i="2"/>
  <c r="M1483" i="2" s="1"/>
  <c r="I1484" i="2"/>
  <c r="M1484" i="2" s="1"/>
  <c r="I1485" i="2"/>
  <c r="M1485" i="2" s="1"/>
  <c r="I1486" i="2"/>
  <c r="M1486" i="2" s="1"/>
  <c r="I1487" i="2"/>
  <c r="M1487" i="2" s="1"/>
  <c r="I1488" i="2"/>
  <c r="M1488" i="2" s="1"/>
  <c r="I1489" i="2"/>
  <c r="M1489" i="2" s="1"/>
  <c r="I1490" i="2"/>
  <c r="M1490" i="2" s="1"/>
  <c r="I1491" i="2"/>
  <c r="M1491" i="2" s="1"/>
  <c r="I1492" i="2"/>
  <c r="M1492" i="2" s="1"/>
  <c r="I1493" i="2"/>
  <c r="M1493" i="2" s="1"/>
  <c r="I1494" i="2"/>
  <c r="M1494" i="2" s="1"/>
  <c r="I1495" i="2"/>
  <c r="M1495" i="2" s="1"/>
  <c r="I1496" i="2"/>
  <c r="M1496" i="2" s="1"/>
  <c r="I1497" i="2"/>
  <c r="M1497" i="2" s="1"/>
  <c r="I1498" i="2"/>
  <c r="M1498" i="2" s="1"/>
  <c r="I1499" i="2"/>
  <c r="M1499" i="2" s="1"/>
  <c r="I1500" i="2"/>
  <c r="M1500" i="2" s="1"/>
  <c r="I1501" i="2"/>
  <c r="M1501" i="2" s="1"/>
  <c r="I1502" i="2"/>
  <c r="M1502" i="2" s="1"/>
  <c r="I1503" i="2"/>
  <c r="M1503" i="2" s="1"/>
  <c r="I1504" i="2"/>
  <c r="M1504" i="2" s="1"/>
  <c r="I1505" i="2"/>
  <c r="M1505" i="2" s="1"/>
  <c r="I1506" i="2"/>
  <c r="M1506" i="2" s="1"/>
  <c r="I1507" i="2"/>
  <c r="M1507" i="2" s="1"/>
  <c r="I1508" i="2"/>
  <c r="M1508" i="2" s="1"/>
  <c r="I1509" i="2"/>
  <c r="M1509" i="2" s="1"/>
  <c r="I1510" i="2"/>
  <c r="M1510" i="2" s="1"/>
  <c r="I1511" i="2"/>
  <c r="M1511" i="2" s="1"/>
  <c r="I1512" i="2"/>
  <c r="M1512" i="2" s="1"/>
  <c r="I1513" i="2"/>
  <c r="M1513" i="2" s="1"/>
  <c r="I1514" i="2"/>
  <c r="M1514" i="2" s="1"/>
  <c r="I1515" i="2"/>
  <c r="M1515" i="2" s="1"/>
  <c r="I1516" i="2"/>
  <c r="M1516" i="2" s="1"/>
  <c r="I1517" i="2"/>
  <c r="M1517" i="2" s="1"/>
  <c r="I1518" i="2"/>
  <c r="M1518" i="2" s="1"/>
  <c r="I1519" i="2"/>
  <c r="M1519" i="2" s="1"/>
  <c r="I1520" i="2"/>
  <c r="M1520" i="2" s="1"/>
  <c r="I1521" i="2"/>
  <c r="M1521" i="2" s="1"/>
  <c r="I1522" i="2"/>
  <c r="M1522" i="2" s="1"/>
  <c r="I1523" i="2"/>
  <c r="M1523" i="2" s="1"/>
  <c r="I1524" i="2"/>
  <c r="M1524" i="2" s="1"/>
  <c r="I1525" i="2"/>
  <c r="M1525" i="2" s="1"/>
  <c r="I1526" i="2"/>
  <c r="M1526" i="2" s="1"/>
  <c r="I1527" i="2"/>
  <c r="M1527" i="2" s="1"/>
  <c r="I1528" i="2"/>
  <c r="M1528" i="2" s="1"/>
  <c r="I1529" i="2"/>
  <c r="M1529" i="2" s="1"/>
  <c r="I1530" i="2"/>
  <c r="M1530" i="2" s="1"/>
  <c r="I1531" i="2"/>
  <c r="M1531" i="2" s="1"/>
  <c r="I1532" i="2"/>
  <c r="M1532" i="2" s="1"/>
  <c r="I1533" i="2"/>
  <c r="M1533" i="2" s="1"/>
  <c r="I1534" i="2"/>
  <c r="M1534" i="2" s="1"/>
  <c r="I1535" i="2"/>
  <c r="M1535" i="2" s="1"/>
  <c r="I1536" i="2"/>
  <c r="M1536" i="2" s="1"/>
  <c r="I1537" i="2"/>
  <c r="M1537" i="2" s="1"/>
  <c r="I1538" i="2"/>
  <c r="M1538" i="2" s="1"/>
  <c r="I1539" i="2"/>
  <c r="M1539" i="2" s="1"/>
  <c r="I1540" i="2"/>
  <c r="M1540" i="2" s="1"/>
  <c r="I1541" i="2"/>
  <c r="M1541" i="2" s="1"/>
  <c r="I1542" i="2"/>
  <c r="M1542" i="2" s="1"/>
  <c r="I1543" i="2"/>
  <c r="M1543" i="2" s="1"/>
  <c r="I1544" i="2"/>
  <c r="M1544" i="2" s="1"/>
  <c r="I1545" i="2"/>
  <c r="M1545" i="2" s="1"/>
  <c r="I1546" i="2"/>
  <c r="M1546" i="2" s="1"/>
  <c r="I1547" i="2"/>
  <c r="M1547" i="2" s="1"/>
  <c r="I1548" i="2"/>
  <c r="M1548" i="2" s="1"/>
  <c r="I1549" i="2"/>
  <c r="M1549" i="2" s="1"/>
  <c r="I1550" i="2"/>
  <c r="M1550" i="2" s="1"/>
  <c r="I1551" i="2"/>
  <c r="M1551" i="2" s="1"/>
  <c r="I1552" i="2"/>
  <c r="M1552" i="2" s="1"/>
  <c r="I1553" i="2"/>
  <c r="M1553" i="2" s="1"/>
  <c r="I1554" i="2"/>
  <c r="M1554" i="2" s="1"/>
  <c r="I1555" i="2"/>
  <c r="M1555" i="2" s="1"/>
  <c r="I1556" i="2"/>
  <c r="M1556" i="2" s="1"/>
  <c r="I1557" i="2"/>
  <c r="M1557" i="2" s="1"/>
  <c r="I1558" i="2"/>
  <c r="M1558" i="2" s="1"/>
  <c r="I1559" i="2"/>
  <c r="M1559" i="2" s="1"/>
  <c r="I1560" i="2"/>
  <c r="M1560" i="2" s="1"/>
  <c r="I1561" i="2"/>
  <c r="M1561" i="2" s="1"/>
  <c r="I1562" i="2"/>
  <c r="M1562" i="2" s="1"/>
  <c r="I1563" i="2"/>
  <c r="M1563" i="2" s="1"/>
  <c r="I1564" i="2"/>
  <c r="M1564" i="2" s="1"/>
  <c r="I1565" i="2"/>
  <c r="M1565" i="2" s="1"/>
  <c r="I1566" i="2"/>
  <c r="M1566" i="2" s="1"/>
  <c r="I1567" i="2"/>
  <c r="M1567" i="2" s="1"/>
  <c r="I1568" i="2"/>
  <c r="M1568" i="2" s="1"/>
  <c r="I1569" i="2"/>
  <c r="M1569" i="2" s="1"/>
  <c r="I1570" i="2"/>
  <c r="M1570" i="2" s="1"/>
  <c r="I1571" i="2"/>
  <c r="M1571" i="2" s="1"/>
  <c r="I1572" i="2"/>
  <c r="M1572" i="2" s="1"/>
  <c r="I1573" i="2"/>
  <c r="M1573" i="2" s="1"/>
  <c r="I1574" i="2"/>
  <c r="M1574" i="2" s="1"/>
  <c r="I1575" i="2"/>
  <c r="M1575" i="2" s="1"/>
  <c r="I1576" i="2"/>
  <c r="M1576" i="2" s="1"/>
  <c r="I1577" i="2"/>
  <c r="M1577" i="2" s="1"/>
  <c r="I1578" i="2"/>
  <c r="M1578" i="2" s="1"/>
  <c r="I1579" i="2"/>
  <c r="M1579" i="2" s="1"/>
  <c r="I1580" i="2"/>
  <c r="M1580" i="2" s="1"/>
  <c r="I1581" i="2"/>
  <c r="M1581" i="2" s="1"/>
  <c r="I1582" i="2"/>
  <c r="M1582" i="2" s="1"/>
  <c r="I1583" i="2"/>
  <c r="M1583" i="2" s="1"/>
  <c r="I1584" i="2"/>
  <c r="M1584" i="2" s="1"/>
  <c r="I1585" i="2"/>
  <c r="M1585" i="2" s="1"/>
  <c r="I1586" i="2"/>
  <c r="M1586" i="2" s="1"/>
  <c r="I1587" i="2"/>
  <c r="M1587" i="2" s="1"/>
  <c r="I1588" i="2"/>
  <c r="M1588" i="2" s="1"/>
  <c r="I1589" i="2"/>
  <c r="M1589" i="2" s="1"/>
  <c r="I1590" i="2"/>
  <c r="M1590" i="2" s="1"/>
  <c r="I1591" i="2"/>
  <c r="M1591" i="2" s="1"/>
  <c r="I1592" i="2"/>
  <c r="M1592" i="2" s="1"/>
  <c r="I1593" i="2"/>
  <c r="M1593" i="2" s="1"/>
  <c r="I1594" i="2"/>
  <c r="M1594" i="2" s="1"/>
  <c r="I1595" i="2"/>
  <c r="M1595" i="2" s="1"/>
  <c r="I1596" i="2"/>
  <c r="M1596" i="2" s="1"/>
  <c r="I1597" i="2"/>
  <c r="M1597" i="2" s="1"/>
  <c r="I1598" i="2"/>
  <c r="M1598" i="2" s="1"/>
  <c r="I1599" i="2"/>
  <c r="M1599" i="2" s="1"/>
  <c r="I1600" i="2"/>
  <c r="M1600" i="2" s="1"/>
  <c r="I1601" i="2"/>
  <c r="M1601" i="2" s="1"/>
  <c r="I1602" i="2"/>
  <c r="M1602" i="2" s="1"/>
  <c r="I1603" i="2"/>
  <c r="M1603" i="2" s="1"/>
  <c r="I1604" i="2"/>
  <c r="M1604" i="2" s="1"/>
  <c r="I1605" i="2"/>
  <c r="M1605" i="2" s="1"/>
  <c r="I1606" i="2"/>
  <c r="M1606" i="2" s="1"/>
  <c r="I1607" i="2"/>
  <c r="M1607" i="2" s="1"/>
  <c r="I1608" i="2"/>
  <c r="M1608" i="2" s="1"/>
  <c r="I1609" i="2"/>
  <c r="M1609" i="2" s="1"/>
  <c r="I1610" i="2"/>
  <c r="M1610" i="2" s="1"/>
  <c r="I1611" i="2"/>
  <c r="M1611" i="2" s="1"/>
  <c r="I1612" i="2"/>
  <c r="M1612" i="2" s="1"/>
  <c r="I1613" i="2"/>
  <c r="M1613" i="2" s="1"/>
  <c r="I1614" i="2"/>
  <c r="M1614" i="2" s="1"/>
  <c r="I1615" i="2"/>
  <c r="M1615" i="2" s="1"/>
  <c r="I1616" i="2"/>
  <c r="M1616" i="2" s="1"/>
  <c r="I1617" i="2"/>
  <c r="M1617" i="2" s="1"/>
  <c r="I1618" i="2"/>
  <c r="M1618" i="2" s="1"/>
  <c r="I1619" i="2"/>
  <c r="M1619" i="2" s="1"/>
  <c r="I1620" i="2"/>
  <c r="M1620" i="2" s="1"/>
  <c r="I1621" i="2"/>
  <c r="M1621" i="2" s="1"/>
  <c r="I1622" i="2"/>
  <c r="M1622" i="2" s="1"/>
  <c r="I1623" i="2"/>
  <c r="M1623" i="2" s="1"/>
  <c r="I1624" i="2"/>
  <c r="M1624" i="2" s="1"/>
  <c r="I1625" i="2"/>
  <c r="M1625" i="2" s="1"/>
  <c r="I1626" i="2"/>
  <c r="M1626" i="2" s="1"/>
  <c r="I1627" i="2"/>
  <c r="M1627" i="2" s="1"/>
  <c r="I1628" i="2"/>
  <c r="M1628" i="2" s="1"/>
  <c r="I1629" i="2"/>
  <c r="M1629" i="2" s="1"/>
  <c r="I1630" i="2"/>
  <c r="M1630" i="2" s="1"/>
  <c r="I1631" i="2"/>
  <c r="M1631" i="2" s="1"/>
  <c r="I1632" i="2"/>
  <c r="M1632" i="2" s="1"/>
  <c r="I1633" i="2"/>
  <c r="M1633" i="2" s="1"/>
  <c r="I1634" i="2"/>
  <c r="M1634" i="2" s="1"/>
  <c r="I1635" i="2"/>
  <c r="M1635" i="2" s="1"/>
  <c r="I1636" i="2"/>
  <c r="M1636" i="2" s="1"/>
  <c r="I1637" i="2"/>
  <c r="M1637" i="2" s="1"/>
  <c r="I1638" i="2"/>
  <c r="M1638" i="2" s="1"/>
  <c r="I1639" i="2"/>
  <c r="M1639" i="2" s="1"/>
  <c r="I1640" i="2"/>
  <c r="M1640" i="2" s="1"/>
  <c r="I1641" i="2"/>
  <c r="M1641" i="2" s="1"/>
  <c r="I1642" i="2"/>
  <c r="M1642" i="2" s="1"/>
  <c r="I1643" i="2"/>
  <c r="M1643" i="2" s="1"/>
  <c r="I1644" i="2"/>
  <c r="M1644" i="2" s="1"/>
  <c r="I1645" i="2"/>
  <c r="M1645" i="2" s="1"/>
  <c r="I1646" i="2"/>
  <c r="M1646" i="2" s="1"/>
  <c r="I1647" i="2"/>
  <c r="M1647" i="2" s="1"/>
  <c r="I1648" i="2"/>
  <c r="M1648" i="2" s="1"/>
  <c r="I1649" i="2"/>
  <c r="M1649" i="2" s="1"/>
  <c r="I1650" i="2"/>
  <c r="M1650" i="2" s="1"/>
  <c r="I1651" i="2"/>
  <c r="M1651" i="2" s="1"/>
  <c r="I1652" i="2"/>
  <c r="M1652" i="2" s="1"/>
  <c r="I1653" i="2"/>
  <c r="M1653" i="2" s="1"/>
  <c r="I1654" i="2"/>
  <c r="M1654" i="2" s="1"/>
  <c r="I1655" i="2"/>
  <c r="M1655" i="2" s="1"/>
  <c r="I1656" i="2"/>
  <c r="M1656" i="2" s="1"/>
  <c r="I1657" i="2"/>
  <c r="M1657" i="2" s="1"/>
  <c r="I1658" i="2"/>
  <c r="M1658" i="2" s="1"/>
  <c r="I1659" i="2"/>
  <c r="M1659" i="2" s="1"/>
  <c r="I1660" i="2"/>
  <c r="M1660" i="2" s="1"/>
  <c r="I1661" i="2"/>
  <c r="M1661" i="2" s="1"/>
  <c r="I1662" i="2"/>
  <c r="M1662" i="2" s="1"/>
  <c r="I1663" i="2"/>
  <c r="M1663" i="2" s="1"/>
  <c r="I1664" i="2"/>
  <c r="M1664" i="2" s="1"/>
  <c r="I1665" i="2"/>
  <c r="M1665" i="2" s="1"/>
  <c r="I1666" i="2"/>
  <c r="M1666" i="2" s="1"/>
  <c r="I1667" i="2"/>
  <c r="M1667" i="2" s="1"/>
  <c r="I1668" i="2"/>
  <c r="M1668" i="2" s="1"/>
  <c r="I1669" i="2"/>
  <c r="M1669" i="2" s="1"/>
  <c r="I1670" i="2"/>
  <c r="M1670" i="2" s="1"/>
  <c r="I1671" i="2"/>
  <c r="M1671" i="2" s="1"/>
  <c r="I1672" i="2"/>
  <c r="M1672" i="2" s="1"/>
  <c r="I1673" i="2"/>
  <c r="M1673" i="2" s="1"/>
  <c r="I1674" i="2"/>
  <c r="M1674" i="2" s="1"/>
  <c r="I1675" i="2"/>
  <c r="M1675" i="2" s="1"/>
  <c r="I1676" i="2"/>
  <c r="M1676" i="2" s="1"/>
  <c r="I1677" i="2"/>
  <c r="M1677" i="2" s="1"/>
  <c r="I1678" i="2"/>
  <c r="M1678" i="2" s="1"/>
  <c r="I1679" i="2"/>
  <c r="M1679" i="2" s="1"/>
  <c r="I1680" i="2"/>
  <c r="M1680" i="2" s="1"/>
  <c r="I1681" i="2"/>
  <c r="M1681" i="2" s="1"/>
  <c r="I1682" i="2"/>
  <c r="M1682" i="2" s="1"/>
  <c r="I1683" i="2"/>
  <c r="M1683" i="2" s="1"/>
  <c r="I1684" i="2"/>
  <c r="M1684" i="2" s="1"/>
  <c r="I1685" i="2"/>
  <c r="M1685" i="2" s="1"/>
  <c r="I1686" i="2"/>
  <c r="M1686" i="2" s="1"/>
  <c r="I1687" i="2"/>
  <c r="M1687" i="2" s="1"/>
  <c r="I1688" i="2"/>
  <c r="M1688" i="2" s="1"/>
  <c r="I1689" i="2"/>
  <c r="M1689" i="2" s="1"/>
  <c r="I1690" i="2"/>
  <c r="M1690" i="2" s="1"/>
  <c r="I1691" i="2"/>
  <c r="M1691" i="2" s="1"/>
  <c r="I1692" i="2"/>
  <c r="M1692" i="2" s="1"/>
  <c r="I1693" i="2"/>
  <c r="M1693" i="2" s="1"/>
  <c r="I1694" i="2"/>
  <c r="M1694" i="2" s="1"/>
  <c r="I1695" i="2"/>
  <c r="M1695" i="2" s="1"/>
  <c r="I1696" i="2"/>
  <c r="M1696" i="2" s="1"/>
  <c r="I1697" i="2"/>
  <c r="M1697" i="2" s="1"/>
  <c r="I1698" i="2"/>
  <c r="M1698" i="2" s="1"/>
  <c r="I1699" i="2"/>
  <c r="M1699" i="2" s="1"/>
  <c r="I1700" i="2"/>
  <c r="M1700" i="2" s="1"/>
  <c r="I1701" i="2"/>
  <c r="M1701" i="2" s="1"/>
  <c r="I1702" i="2"/>
  <c r="M1702" i="2" s="1"/>
  <c r="I1703" i="2"/>
  <c r="M1703" i="2" s="1"/>
  <c r="I1704" i="2"/>
  <c r="M1704" i="2" s="1"/>
  <c r="I1705" i="2"/>
  <c r="M1705" i="2" s="1"/>
  <c r="I1706" i="2"/>
  <c r="M1706" i="2" s="1"/>
  <c r="I2" i="2"/>
  <c r="M2" i="2" s="1"/>
  <c r="M146" i="2" l="1"/>
  <c r="M114" i="2"/>
  <c r="M82" i="2"/>
  <c r="M50" i="2"/>
  <c r="M18" i="2"/>
  <c r="K305" i="2"/>
  <c r="M305" i="2"/>
  <c r="K289" i="2"/>
  <c r="M289" i="2"/>
  <c r="K273" i="2"/>
  <c r="M273" i="2"/>
  <c r="K257" i="2"/>
  <c r="M257" i="2"/>
  <c r="K225" i="2"/>
  <c r="M225" i="2"/>
  <c r="K193" i="2"/>
  <c r="M193" i="2"/>
  <c r="K161" i="2"/>
  <c r="M161" i="2"/>
  <c r="K129" i="2"/>
  <c r="M129" i="2"/>
  <c r="K97" i="2"/>
  <c r="M97" i="2"/>
  <c r="K33" i="2"/>
  <c r="M33" i="2"/>
  <c r="M403" i="2"/>
  <c r="M395" i="2"/>
  <c r="M387" i="2"/>
  <c r="M379" i="2"/>
  <c r="M371" i="2"/>
  <c r="M363" i="2"/>
  <c r="M355" i="2"/>
  <c r="M347" i="2"/>
  <c r="M339" i="2"/>
  <c r="M331" i="2"/>
  <c r="M323" i="2"/>
  <c r="M315" i="2"/>
  <c r="K1482" i="2"/>
  <c r="K1454" i="2"/>
  <c r="K1342" i="2"/>
  <c r="K1338" i="2"/>
  <c r="K1050" i="2"/>
  <c r="L98" i="2"/>
  <c r="L66" i="2"/>
  <c r="L34" i="2"/>
  <c r="L1695" i="2"/>
  <c r="L1687" i="2"/>
  <c r="L1683" i="2"/>
  <c r="L1671" i="2"/>
  <c r="L1667" i="2"/>
  <c r="L1655" i="2"/>
  <c r="L1647" i="2"/>
  <c r="L1635" i="2"/>
  <c r="L1607" i="2"/>
  <c r="L1603" i="2"/>
  <c r="L1591" i="2"/>
  <c r="L1587" i="2"/>
  <c r="L1571" i="2"/>
  <c r="L1567" i="2"/>
  <c r="L1555" i="2"/>
  <c r="L1535" i="2"/>
  <c r="L1531" i="2"/>
  <c r="L1519" i="2"/>
  <c r="L1515" i="2"/>
  <c r="L1511" i="2"/>
  <c r="L1507" i="2"/>
  <c r="L1499" i="2"/>
  <c r="L1495" i="2"/>
  <c r="L1491" i="2"/>
  <c r="L1479" i="2"/>
  <c r="L1475" i="2"/>
  <c r="L1471" i="2"/>
  <c r="L1467" i="2"/>
  <c r="L1455" i="2"/>
  <c r="L1451" i="2"/>
  <c r="L1447" i="2"/>
  <c r="L1443" i="2"/>
  <c r="L1439" i="2"/>
  <c r="L1423" i="2"/>
  <c r="L1419" i="2"/>
  <c r="L1407" i="2"/>
  <c r="L1403" i="2"/>
  <c r="L1391" i="2"/>
  <c r="L1379" i="2"/>
  <c r="L1371" i="2"/>
  <c r="L1359" i="2"/>
  <c r="L1355" i="2"/>
  <c r="L1351" i="2"/>
  <c r="L1339" i="2"/>
  <c r="L1335" i="2"/>
  <c r="L1331" i="2"/>
  <c r="L1327" i="2"/>
  <c r="L1311" i="2"/>
  <c r="L1307" i="2"/>
  <c r="L1303" i="2"/>
  <c r="L1291" i="2"/>
  <c r="L1287" i="2"/>
  <c r="L1283" i="2"/>
  <c r="L1279" i="2"/>
  <c r="L1275" i="2"/>
  <c r="L1271" i="2"/>
  <c r="L1267" i="2"/>
  <c r="L2" i="2"/>
  <c r="L1703" i="2"/>
  <c r="L1699" i="2"/>
  <c r="L1691" i="2"/>
  <c r="L1679" i="2"/>
  <c r="L1675" i="2"/>
  <c r="L1663" i="2"/>
  <c r="L1659" i="2"/>
  <c r="L1651" i="2"/>
  <c r="L1643" i="2"/>
  <c r="L1639" i="2"/>
  <c r="L1631" i="2"/>
  <c r="L1627" i="2"/>
  <c r="L1623" i="2"/>
  <c r="L1619" i="2"/>
  <c r="L1615" i="2"/>
  <c r="L1611" i="2"/>
  <c r="L1599" i="2"/>
  <c r="L1595" i="2"/>
  <c r="L1583" i="2"/>
  <c r="L1579" i="2"/>
  <c r="L1575" i="2"/>
  <c r="L1563" i="2"/>
  <c r="L1559" i="2"/>
  <c r="L1551" i="2"/>
  <c r="L1547" i="2"/>
  <c r="L1543" i="2"/>
  <c r="L1539" i="2"/>
  <c r="L1527" i="2"/>
  <c r="L1523" i="2"/>
  <c r="L1503" i="2"/>
  <c r="L1487" i="2"/>
  <c r="L1483" i="2"/>
  <c r="L1463" i="2"/>
  <c r="L1459" i="2"/>
  <c r="L1435" i="2"/>
  <c r="L1431" i="2"/>
  <c r="L1427" i="2"/>
  <c r="L1415" i="2"/>
  <c r="L1411" i="2"/>
  <c r="L1399" i="2"/>
  <c r="L1395" i="2"/>
  <c r="L1387" i="2"/>
  <c r="L1383" i="2"/>
  <c r="L1375" i="2"/>
  <c r="L1367" i="2"/>
  <c r="L1363" i="2"/>
  <c r="L1347" i="2"/>
  <c r="L1343" i="2"/>
  <c r="L1323" i="2"/>
  <c r="L1319" i="2"/>
  <c r="L1315" i="2"/>
  <c r="L1299" i="2"/>
  <c r="L1295" i="2"/>
  <c r="L1263" i="2"/>
  <c r="L1259" i="2"/>
  <c r="L1255" i="2"/>
  <c r="L1251" i="2"/>
  <c r="L1247" i="2"/>
  <c r="L1243" i="2"/>
  <c r="L1239" i="2"/>
  <c r="L1235" i="2"/>
  <c r="L1231" i="2"/>
  <c r="L1227" i="2"/>
  <c r="L1223" i="2"/>
  <c r="L1219" i="2"/>
  <c r="L1215" i="2"/>
  <c r="L1211" i="2"/>
  <c r="L1207" i="2"/>
  <c r="L1203" i="2"/>
  <c r="L1199" i="2"/>
  <c r="L1195" i="2"/>
  <c r="L1191" i="2"/>
  <c r="L1187" i="2"/>
  <c r="L1183" i="2"/>
  <c r="L1179" i="2"/>
  <c r="L1175" i="2"/>
  <c r="L1171" i="2"/>
  <c r="L1167" i="2"/>
  <c r="L1163" i="2"/>
  <c r="L1159" i="2"/>
  <c r="L1155" i="2"/>
  <c r="L1151" i="2"/>
  <c r="L1147" i="2"/>
  <c r="L1143" i="2"/>
  <c r="L1139" i="2"/>
  <c r="L1135" i="2"/>
  <c r="L1131" i="2"/>
  <c r="L1127" i="2"/>
  <c r="L1123" i="2"/>
  <c r="L1119" i="2"/>
  <c r="L1115" i="2"/>
  <c r="L1111" i="2"/>
  <c r="L1107" i="2"/>
  <c r="L1103" i="2"/>
  <c r="L1099" i="2"/>
  <c r="L1095" i="2"/>
  <c r="L1091" i="2"/>
  <c r="L1087" i="2"/>
  <c r="L1083" i="2"/>
  <c r="L1079" i="2"/>
  <c r="L1075" i="2"/>
  <c r="L1071" i="2"/>
  <c r="L1067" i="2"/>
  <c r="L1063" i="2"/>
  <c r="L1059" i="2"/>
  <c r="L1055" i="2"/>
  <c r="L1051" i="2"/>
  <c r="L1047" i="2"/>
  <c r="L1043" i="2"/>
  <c r="L1039" i="2"/>
  <c r="L1035" i="2"/>
  <c r="L1031" i="2"/>
  <c r="L1027" i="2"/>
  <c r="L1023" i="2"/>
  <c r="L1019" i="2"/>
  <c r="L1015" i="2"/>
  <c r="L1011" i="2"/>
  <c r="L1007" i="2"/>
  <c r="L1003" i="2"/>
  <c r="L999" i="2"/>
  <c r="L995" i="2"/>
  <c r="L991" i="2"/>
  <c r="L987" i="2"/>
  <c r="L983" i="2"/>
  <c r="L979" i="2"/>
  <c r="L975" i="2"/>
  <c r="L971" i="2"/>
  <c r="L967" i="2"/>
  <c r="L963" i="2"/>
  <c r="L959" i="2"/>
  <c r="L955" i="2"/>
  <c r="L951" i="2"/>
  <c r="L947" i="2"/>
  <c r="L943" i="2"/>
  <c r="L939" i="2"/>
  <c r="L935" i="2"/>
  <c r="L931" i="2"/>
  <c r="L927" i="2"/>
  <c r="L923" i="2"/>
  <c r="L919" i="2"/>
  <c r="L915" i="2"/>
  <c r="L911" i="2"/>
  <c r="L907" i="2"/>
  <c r="L903" i="2"/>
  <c r="L899" i="2"/>
  <c r="L895" i="2"/>
  <c r="L891" i="2"/>
  <c r="L887" i="2"/>
  <c r="L883" i="2"/>
  <c r="L879" i="2"/>
  <c r="L875" i="2"/>
  <c r="L871" i="2"/>
  <c r="L867" i="2"/>
  <c r="L863" i="2"/>
  <c r="L859" i="2"/>
  <c r="L855" i="2"/>
  <c r="L851" i="2"/>
  <c r="L847" i="2"/>
  <c r="L843" i="2"/>
  <c r="L839" i="2"/>
  <c r="L835" i="2"/>
  <c r="L831" i="2"/>
  <c r="L827" i="2"/>
  <c r="L823" i="2"/>
  <c r="L819" i="2"/>
  <c r="L811" i="2"/>
  <c r="L803" i="2"/>
  <c r="L795" i="2"/>
  <c r="L787" i="2"/>
  <c r="L779" i="2"/>
  <c r="L771" i="2"/>
  <c r="L763" i="2"/>
  <c r="L755" i="2"/>
  <c r="L747" i="2"/>
  <c r="L739" i="2"/>
  <c r="L731" i="2"/>
  <c r="L723" i="2"/>
  <c r="L715" i="2"/>
  <c r="L707" i="2"/>
  <c r="L699" i="2"/>
  <c r="L691" i="2"/>
  <c r="L683" i="2"/>
  <c r="L675" i="2"/>
  <c r="L667" i="2"/>
  <c r="L659" i="2"/>
  <c r="L651" i="2"/>
  <c r="L643" i="2"/>
  <c r="L635" i="2"/>
  <c r="L627" i="2"/>
  <c r="L619" i="2"/>
  <c r="L611" i="2"/>
  <c r="L603" i="2"/>
  <c r="L595" i="2"/>
  <c r="L587" i="2"/>
  <c r="L579" i="2"/>
  <c r="L571" i="2"/>
  <c r="L563" i="2"/>
  <c r="L555" i="2"/>
  <c r="L547" i="2"/>
  <c r="L539" i="2"/>
  <c r="L531" i="2"/>
  <c r="L523" i="2"/>
  <c r="L515" i="2"/>
  <c r="L507" i="2"/>
  <c r="L499" i="2"/>
  <c r="L491" i="2"/>
  <c r="L483" i="2"/>
  <c r="L475" i="2"/>
  <c r="L467" i="2"/>
  <c r="L459" i="2"/>
  <c r="L451" i="2"/>
  <c r="L443" i="2"/>
  <c r="L435" i="2"/>
  <c r="L427" i="2"/>
  <c r="L419" i="2"/>
  <c r="L411" i="2"/>
  <c r="L403" i="2"/>
  <c r="L395" i="2"/>
  <c r="L387" i="2"/>
  <c r="L379" i="2"/>
  <c r="L371" i="2"/>
  <c r="L363" i="2"/>
  <c r="L355" i="2"/>
  <c r="L347" i="2"/>
  <c r="L339" i="2"/>
  <c r="L331" i="2"/>
  <c r="L323" i="2"/>
  <c r="L315" i="2"/>
  <c r="L305" i="2"/>
  <c r="L297" i="2"/>
  <c r="L289" i="2"/>
  <c r="L281" i="2"/>
  <c r="L273" i="2"/>
  <c r="L265" i="2"/>
  <c r="L257" i="2"/>
  <c r="L251" i="2"/>
  <c r="L243" i="2"/>
  <c r="L241" i="2"/>
  <c r="L235" i="2"/>
  <c r="L227" i="2"/>
  <c r="L225" i="2"/>
  <c r="L219" i="2"/>
  <c r="L211" i="2"/>
  <c r="L209" i="2"/>
  <c r="L203" i="2"/>
  <c r="L195" i="2"/>
  <c r="L193" i="2"/>
  <c r="L187" i="2"/>
  <c r="L179" i="2"/>
  <c r="L177" i="2"/>
  <c r="L171" i="2"/>
  <c r="L167" i="2"/>
  <c r="L163" i="2"/>
  <c r="L161" i="2"/>
  <c r="L159" i="2"/>
  <c r="L155" i="2"/>
  <c r="L151" i="2"/>
  <c r="L147" i="2"/>
  <c r="L145" i="2"/>
  <c r="L143" i="2"/>
  <c r="L139" i="2"/>
  <c r="L135" i="2"/>
  <c r="L131" i="2"/>
  <c r="L129" i="2"/>
  <c r="L127" i="2"/>
  <c r="L123" i="2"/>
  <c r="L119" i="2"/>
  <c r="L115" i="2"/>
  <c r="L113" i="2"/>
  <c r="L111" i="2"/>
  <c r="L107" i="2"/>
  <c r="L103" i="2"/>
  <c r="L99" i="2"/>
  <c r="L97" i="2"/>
  <c r="L95" i="2"/>
  <c r="L91" i="2"/>
  <c r="L87" i="2"/>
  <c r="L83" i="2"/>
  <c r="L81" i="2"/>
  <c r="L79" i="2"/>
  <c r="L75" i="2"/>
  <c r="L71" i="2"/>
  <c r="L67" i="2"/>
  <c r="L65" i="2"/>
  <c r="K65" i="2"/>
  <c r="L63" i="2"/>
  <c r="L59" i="2"/>
  <c r="L55" i="2"/>
  <c r="L51" i="2"/>
  <c r="L49" i="2"/>
  <c r="L47" i="2"/>
  <c r="L43" i="2"/>
  <c r="L39" i="2"/>
  <c r="L35" i="2"/>
  <c r="L33" i="2"/>
  <c r="L31" i="2"/>
  <c r="L27" i="2"/>
  <c r="L23" i="2"/>
  <c r="L19" i="2"/>
  <c r="L17" i="2"/>
  <c r="L15" i="2"/>
  <c r="L11" i="2"/>
  <c r="L7" i="2"/>
  <c r="L3" i="2"/>
  <c r="L938" i="2"/>
  <c r="L936" i="2"/>
  <c r="L934" i="2"/>
  <c r="L932" i="2"/>
  <c r="L930" i="2"/>
  <c r="L928" i="2"/>
  <c r="L926" i="2"/>
  <c r="L924" i="2"/>
  <c r="L922" i="2"/>
  <c r="L920" i="2"/>
  <c r="L918" i="2"/>
  <c r="L916" i="2"/>
  <c r="L914" i="2"/>
  <c r="L912" i="2"/>
  <c r="L910" i="2"/>
  <c r="L908" i="2"/>
  <c r="L906" i="2"/>
  <c r="L904" i="2"/>
  <c r="L902" i="2"/>
  <c r="L900" i="2"/>
  <c r="L898" i="2"/>
  <c r="L896" i="2"/>
  <c r="L894" i="2"/>
  <c r="L892" i="2"/>
  <c r="L890" i="2"/>
  <c r="L888" i="2"/>
  <c r="L886" i="2"/>
  <c r="L884" i="2"/>
  <c r="L882" i="2"/>
  <c r="L880" i="2"/>
  <c r="L878" i="2"/>
  <c r="L876" i="2"/>
  <c r="L874" i="2"/>
  <c r="L872" i="2"/>
  <c r="L870" i="2"/>
  <c r="L868" i="2"/>
  <c r="L866" i="2"/>
  <c r="L864" i="2"/>
  <c r="L862" i="2"/>
  <c r="L860" i="2"/>
  <c r="L858" i="2"/>
  <c r="L856" i="2"/>
  <c r="L854" i="2"/>
  <c r="L852" i="2"/>
  <c r="L850" i="2"/>
  <c r="L848" i="2"/>
  <c r="L846" i="2"/>
  <c r="L844" i="2"/>
  <c r="L842" i="2"/>
  <c r="L840" i="2"/>
  <c r="L838" i="2"/>
  <c r="L836" i="2"/>
  <c r="L834" i="2"/>
  <c r="L832" i="2"/>
  <c r="L830" i="2"/>
  <c r="L828" i="2"/>
  <c r="L826" i="2"/>
  <c r="L824" i="2"/>
  <c r="L822" i="2"/>
  <c r="L820" i="2"/>
  <c r="L818" i="2"/>
  <c r="L816" i="2"/>
  <c r="L814" i="2"/>
  <c r="L812" i="2"/>
  <c r="L810" i="2"/>
  <c r="L808" i="2"/>
  <c r="L806" i="2"/>
  <c r="L804" i="2"/>
  <c r="L802" i="2"/>
  <c r="L800" i="2"/>
  <c r="L798" i="2"/>
  <c r="L796" i="2"/>
  <c r="L794" i="2"/>
  <c r="L792" i="2"/>
  <c r="L790" i="2"/>
  <c r="L788" i="2"/>
  <c r="L786" i="2"/>
  <c r="L784" i="2"/>
  <c r="L782" i="2"/>
  <c r="L780" i="2"/>
  <c r="L778" i="2"/>
  <c r="L776" i="2"/>
  <c r="L774" i="2"/>
  <c r="L772" i="2"/>
  <c r="L770" i="2"/>
  <c r="L768" i="2"/>
  <c r="L766" i="2"/>
  <c r="L764" i="2"/>
  <c r="L762" i="2"/>
  <c r="L760" i="2"/>
  <c r="L758" i="2"/>
  <c r="L756" i="2"/>
  <c r="L754" i="2"/>
  <c r="L752" i="2"/>
  <c r="L750" i="2"/>
  <c r="L748" i="2"/>
  <c r="L746" i="2"/>
  <c r="L744" i="2"/>
  <c r="L742" i="2"/>
  <c r="L740" i="2"/>
  <c r="L738" i="2"/>
  <c r="L736" i="2"/>
  <c r="L734" i="2"/>
  <c r="L732" i="2"/>
  <c r="L730" i="2"/>
  <c r="L728" i="2"/>
  <c r="L726" i="2"/>
  <c r="L724" i="2"/>
  <c r="L722" i="2"/>
  <c r="L720" i="2"/>
  <c r="L718" i="2"/>
  <c r="L716" i="2"/>
  <c r="L714" i="2"/>
  <c r="L712" i="2"/>
  <c r="L710" i="2"/>
  <c r="L708" i="2"/>
  <c r="L706" i="2"/>
  <c r="L704" i="2"/>
  <c r="L702" i="2"/>
  <c r="L700" i="2"/>
  <c r="L698" i="2"/>
  <c r="L696" i="2"/>
  <c r="L694" i="2"/>
  <c r="L692" i="2"/>
  <c r="L690" i="2"/>
  <c r="L688" i="2"/>
  <c r="L686" i="2"/>
  <c r="L684" i="2"/>
  <c r="L682" i="2"/>
  <c r="L680" i="2"/>
  <c r="L678" i="2"/>
  <c r="L676" i="2"/>
  <c r="L674" i="2"/>
  <c r="L672" i="2"/>
  <c r="L670" i="2"/>
  <c r="L668" i="2"/>
  <c r="L666" i="2"/>
  <c r="L664" i="2"/>
  <c r="L662" i="2"/>
  <c r="L660" i="2"/>
  <c r="L658" i="2"/>
  <c r="L656" i="2"/>
  <c r="L654" i="2"/>
  <c r="L652" i="2"/>
  <c r="L650" i="2"/>
  <c r="L648" i="2"/>
  <c r="L646" i="2"/>
  <c r="L644" i="2"/>
  <c r="L642" i="2"/>
  <c r="L640" i="2"/>
  <c r="L638" i="2"/>
  <c r="L636" i="2"/>
  <c r="L634" i="2"/>
  <c r="L632" i="2"/>
  <c r="L630" i="2"/>
  <c r="L628" i="2"/>
  <c r="L626" i="2"/>
  <c r="L624" i="2"/>
  <c r="L622" i="2"/>
  <c r="L620" i="2"/>
  <c r="L618" i="2"/>
  <c r="L616" i="2"/>
  <c r="L614" i="2"/>
  <c r="L612" i="2"/>
  <c r="L610" i="2"/>
  <c r="L608" i="2"/>
  <c r="L606" i="2"/>
  <c r="L604" i="2"/>
  <c r="L602" i="2"/>
  <c r="L600" i="2"/>
  <c r="L598" i="2"/>
  <c r="L596" i="2"/>
  <c r="L594" i="2"/>
  <c r="L592" i="2"/>
  <c r="L590" i="2"/>
  <c r="L588" i="2"/>
  <c r="L586" i="2"/>
  <c r="L584" i="2"/>
  <c r="L582" i="2"/>
  <c r="L580" i="2"/>
  <c r="L578" i="2"/>
  <c r="L576" i="2"/>
  <c r="L574" i="2"/>
  <c r="L572" i="2"/>
  <c r="L570" i="2"/>
  <c r="L568" i="2"/>
  <c r="L566" i="2"/>
  <c r="L564" i="2"/>
  <c r="L562" i="2"/>
  <c r="L560" i="2"/>
  <c r="L558" i="2"/>
  <c r="L556" i="2"/>
  <c r="L554" i="2"/>
  <c r="L552" i="2"/>
  <c r="L550" i="2"/>
  <c r="L548" i="2"/>
  <c r="L546" i="2"/>
  <c r="L544" i="2"/>
  <c r="L542" i="2"/>
  <c r="L540" i="2"/>
  <c r="L538" i="2"/>
  <c r="L536" i="2"/>
  <c r="L534" i="2"/>
  <c r="L532" i="2"/>
  <c r="L530" i="2"/>
  <c r="L528" i="2"/>
  <c r="L526" i="2"/>
  <c r="L524" i="2"/>
  <c r="L522" i="2"/>
  <c r="L520" i="2"/>
  <c r="L518" i="2"/>
  <c r="L516" i="2"/>
  <c r="L514" i="2"/>
  <c r="L512" i="2"/>
  <c r="L510" i="2"/>
  <c r="L508" i="2"/>
  <c r="L506" i="2"/>
  <c r="L504" i="2"/>
  <c r="L502" i="2"/>
  <c r="L500" i="2"/>
  <c r="L498" i="2"/>
  <c r="L496" i="2"/>
  <c r="L494" i="2"/>
  <c r="L492" i="2"/>
  <c r="L490" i="2"/>
  <c r="L488" i="2"/>
  <c r="L486" i="2"/>
  <c r="L484" i="2"/>
  <c r="L482" i="2"/>
  <c r="L480" i="2"/>
  <c r="L478" i="2"/>
  <c r="L476" i="2"/>
  <c r="L474" i="2"/>
  <c r="L472" i="2"/>
  <c r="L470" i="2"/>
  <c r="L468" i="2"/>
  <c r="L466" i="2"/>
  <c r="L464" i="2"/>
  <c r="L462" i="2"/>
  <c r="L460" i="2"/>
  <c r="L458" i="2"/>
  <c r="L456" i="2"/>
  <c r="L454" i="2"/>
  <c r="L452" i="2"/>
  <c r="L450" i="2"/>
  <c r="L448" i="2"/>
  <c r="L446" i="2"/>
  <c r="L444" i="2"/>
  <c r="L442" i="2"/>
  <c r="L440" i="2"/>
  <c r="L438" i="2"/>
  <c r="L436" i="2"/>
  <c r="L434" i="2"/>
  <c r="L432" i="2"/>
  <c r="L430" i="2"/>
  <c r="L428" i="2"/>
  <c r="L426" i="2"/>
  <c r="L424" i="2"/>
  <c r="L422" i="2"/>
  <c r="L420" i="2"/>
  <c r="L418" i="2"/>
  <c r="L416" i="2"/>
  <c r="L414" i="2"/>
  <c r="L412" i="2"/>
  <c r="L410" i="2"/>
  <c r="L408" i="2"/>
  <c r="L406" i="2"/>
  <c r="L404" i="2"/>
  <c r="L402" i="2"/>
  <c r="L400" i="2"/>
  <c r="L398" i="2"/>
  <c r="L396" i="2"/>
  <c r="L394" i="2"/>
  <c r="L392" i="2"/>
  <c r="L390" i="2"/>
  <c r="L388" i="2"/>
  <c r="L386" i="2"/>
  <c r="L384" i="2"/>
  <c r="L382" i="2"/>
  <c r="L380" i="2"/>
  <c r="L378" i="2"/>
  <c r="L376" i="2"/>
  <c r="L374" i="2"/>
  <c r="L372" i="2"/>
  <c r="L370" i="2"/>
  <c r="L368" i="2"/>
  <c r="L366" i="2"/>
  <c r="L364" i="2"/>
  <c r="L362" i="2"/>
  <c r="L360" i="2"/>
  <c r="L358" i="2"/>
  <c r="L356" i="2"/>
  <c r="L354" i="2"/>
  <c r="L352" i="2"/>
  <c r="L350" i="2"/>
  <c r="L348" i="2"/>
  <c r="L346" i="2"/>
  <c r="L344" i="2"/>
  <c r="L342" i="2"/>
  <c r="L340" i="2"/>
  <c r="L338" i="2"/>
  <c r="L336" i="2"/>
  <c r="L334" i="2"/>
  <c r="L332" i="2"/>
  <c r="L330" i="2"/>
  <c r="L328" i="2"/>
  <c r="L326" i="2"/>
  <c r="L324" i="2"/>
  <c r="L322" i="2"/>
  <c r="L320" i="2"/>
  <c r="L318" i="2"/>
  <c r="L316" i="2"/>
  <c r="L314" i="2"/>
  <c r="L312" i="2"/>
  <c r="L310" i="2"/>
  <c r="L308" i="2"/>
  <c r="L306" i="2"/>
  <c r="L304" i="2"/>
  <c r="L302" i="2"/>
  <c r="L300" i="2"/>
  <c r="L298" i="2"/>
  <c r="L296" i="2"/>
  <c r="L294" i="2"/>
  <c r="L292" i="2"/>
  <c r="L290" i="2"/>
  <c r="L288" i="2"/>
  <c r="L286" i="2"/>
  <c r="L284" i="2"/>
  <c r="L282" i="2"/>
  <c r="L280" i="2"/>
  <c r="L278" i="2"/>
  <c r="L276" i="2"/>
  <c r="L274" i="2"/>
  <c r="L272" i="2"/>
  <c r="L270" i="2"/>
  <c r="L268" i="2"/>
  <c r="L266" i="2"/>
  <c r="L264" i="2"/>
  <c r="L262" i="2"/>
  <c r="L260" i="2"/>
  <c r="L258" i="2"/>
  <c r="L1705" i="2"/>
  <c r="K1705" i="2"/>
  <c r="L1701" i="2"/>
  <c r="K1701" i="2"/>
  <c r="L1697" i="2"/>
  <c r="K1697" i="2"/>
  <c r="L1693" i="2"/>
  <c r="K1693" i="2"/>
  <c r="L1689" i="2"/>
  <c r="K1689" i="2"/>
  <c r="L1685" i="2"/>
  <c r="K1685" i="2"/>
  <c r="L1681" i="2"/>
  <c r="K1681" i="2"/>
  <c r="L1677" i="2"/>
  <c r="K1677" i="2"/>
  <c r="L1673" i="2"/>
  <c r="K1673" i="2"/>
  <c r="L1669" i="2"/>
  <c r="K1669" i="2"/>
  <c r="L1665" i="2"/>
  <c r="K1665" i="2"/>
  <c r="L1661" i="2"/>
  <c r="K1661" i="2"/>
  <c r="L1657" i="2"/>
  <c r="K1657" i="2"/>
  <c r="L1653" i="2"/>
  <c r="K1653" i="2"/>
  <c r="L1649" i="2"/>
  <c r="K1649" i="2"/>
  <c r="L1645" i="2"/>
  <c r="K1645" i="2"/>
  <c r="L1641" i="2"/>
  <c r="K1641" i="2"/>
  <c r="L1637" i="2"/>
  <c r="K1637" i="2"/>
  <c r="L1633" i="2"/>
  <c r="K1633" i="2"/>
  <c r="L1629" i="2"/>
  <c r="K1629" i="2"/>
  <c r="L1625" i="2"/>
  <c r="K1625" i="2"/>
  <c r="L1621" i="2"/>
  <c r="K1621" i="2"/>
  <c r="L1617" i="2"/>
  <c r="K1617" i="2"/>
  <c r="L1613" i="2"/>
  <c r="K1613" i="2"/>
  <c r="L1609" i="2"/>
  <c r="K1609" i="2"/>
  <c r="L1605" i="2"/>
  <c r="K1605" i="2"/>
  <c r="L1601" i="2"/>
  <c r="K1601" i="2"/>
  <c r="L1597" i="2"/>
  <c r="K1597" i="2"/>
  <c r="L1593" i="2"/>
  <c r="K1593" i="2"/>
  <c r="L1589" i="2"/>
  <c r="K1589" i="2"/>
  <c r="L1585" i="2"/>
  <c r="K1585" i="2"/>
  <c r="L1581" i="2"/>
  <c r="K1581" i="2"/>
  <c r="L1577" i="2"/>
  <c r="K1577" i="2"/>
  <c r="L1573" i="2"/>
  <c r="K1573" i="2"/>
  <c r="L1569" i="2"/>
  <c r="K1569" i="2"/>
  <c r="L1565" i="2"/>
  <c r="K1565" i="2"/>
  <c r="L1561" i="2"/>
  <c r="K1561" i="2"/>
  <c r="L1557" i="2"/>
  <c r="K1557" i="2"/>
  <c r="L1553" i="2"/>
  <c r="K1553" i="2"/>
  <c r="L1549" i="2"/>
  <c r="K1549" i="2"/>
  <c r="L1545" i="2"/>
  <c r="K1545" i="2"/>
  <c r="L1541" i="2"/>
  <c r="K1541" i="2"/>
  <c r="L1537" i="2"/>
  <c r="K1537" i="2"/>
  <c r="L1533" i="2"/>
  <c r="K1533" i="2"/>
  <c r="L1529" i="2"/>
  <c r="K1529" i="2"/>
  <c r="L1525" i="2"/>
  <c r="K1525" i="2"/>
  <c r="L1521" i="2"/>
  <c r="K1521" i="2"/>
  <c r="L1517" i="2"/>
  <c r="K1517" i="2"/>
  <c r="L1513" i="2"/>
  <c r="K1513" i="2"/>
  <c r="L1509" i="2"/>
  <c r="K1509" i="2"/>
  <c r="L1505" i="2"/>
  <c r="K1505" i="2"/>
  <c r="L1501" i="2"/>
  <c r="K1501" i="2"/>
  <c r="L1497" i="2"/>
  <c r="K1497" i="2"/>
  <c r="L1493" i="2"/>
  <c r="K1493" i="2"/>
  <c r="L1489" i="2"/>
  <c r="K1489" i="2"/>
  <c r="L1485" i="2"/>
  <c r="K1485" i="2"/>
  <c r="L1481" i="2"/>
  <c r="K1481" i="2"/>
  <c r="L1477" i="2"/>
  <c r="K1477" i="2"/>
  <c r="L1473" i="2"/>
  <c r="K1473" i="2"/>
  <c r="L1469" i="2"/>
  <c r="K1469" i="2"/>
  <c r="L1465" i="2"/>
  <c r="K1465" i="2"/>
  <c r="L1461" i="2"/>
  <c r="K1461" i="2"/>
  <c r="L1457" i="2"/>
  <c r="K1457" i="2"/>
  <c r="L1453" i="2"/>
  <c r="K1453" i="2"/>
  <c r="L1449" i="2"/>
  <c r="K1449" i="2"/>
  <c r="L1445" i="2"/>
  <c r="K1445" i="2"/>
  <c r="L1441" i="2"/>
  <c r="K1441" i="2"/>
  <c r="L1437" i="2"/>
  <c r="K1437" i="2"/>
  <c r="L1433" i="2"/>
  <c r="K1433" i="2"/>
  <c r="L1429" i="2"/>
  <c r="K1429" i="2"/>
  <c r="L1425" i="2"/>
  <c r="K1425" i="2"/>
  <c r="L1421" i="2"/>
  <c r="K1421" i="2"/>
  <c r="L1417" i="2"/>
  <c r="K1417" i="2"/>
  <c r="L1413" i="2"/>
  <c r="K1413" i="2"/>
  <c r="L1409" i="2"/>
  <c r="K1409" i="2"/>
  <c r="L1405" i="2"/>
  <c r="K1405" i="2"/>
  <c r="L1401" i="2"/>
  <c r="K1401" i="2"/>
  <c r="L1397" i="2"/>
  <c r="K1397" i="2"/>
  <c r="L1393" i="2"/>
  <c r="K1393" i="2"/>
  <c r="L1389" i="2"/>
  <c r="K1389" i="2"/>
  <c r="L1385" i="2"/>
  <c r="K1385" i="2"/>
  <c r="L1381" i="2"/>
  <c r="K1381" i="2"/>
  <c r="L1377" i="2"/>
  <c r="K1377" i="2"/>
  <c r="L1373" i="2"/>
  <c r="K1373" i="2"/>
  <c r="L1369" i="2"/>
  <c r="K1369" i="2"/>
  <c r="L1365" i="2"/>
  <c r="K1365" i="2"/>
  <c r="L1361" i="2"/>
  <c r="K1361" i="2"/>
  <c r="L1357" i="2"/>
  <c r="K1357" i="2"/>
  <c r="L1353" i="2"/>
  <c r="K1353" i="2"/>
  <c r="L1349" i="2"/>
  <c r="K1349" i="2"/>
  <c r="L1345" i="2"/>
  <c r="K1345" i="2"/>
  <c r="L1341" i="2"/>
  <c r="K1341" i="2"/>
  <c r="L1337" i="2"/>
  <c r="K1337" i="2"/>
  <c r="L1333" i="2"/>
  <c r="K1333" i="2"/>
  <c r="L1329" i="2"/>
  <c r="K1329" i="2"/>
  <c r="L1325" i="2"/>
  <c r="K1325" i="2"/>
  <c r="L1321" i="2"/>
  <c r="K1321" i="2"/>
  <c r="L1317" i="2"/>
  <c r="K1317" i="2"/>
  <c r="L1313" i="2"/>
  <c r="K1313" i="2"/>
  <c r="L1309" i="2"/>
  <c r="K1309" i="2"/>
  <c r="L1305" i="2"/>
  <c r="K1305" i="2"/>
  <c r="L1301" i="2"/>
  <c r="K1301" i="2"/>
  <c r="L1297" i="2"/>
  <c r="K1297" i="2"/>
  <c r="L1293" i="2"/>
  <c r="K1293" i="2"/>
  <c r="L1289" i="2"/>
  <c r="K1289" i="2"/>
  <c r="L1285" i="2"/>
  <c r="K1285" i="2"/>
  <c r="L1281" i="2"/>
  <c r="K1281" i="2"/>
  <c r="L1277" i="2"/>
  <c r="K1277" i="2"/>
  <c r="L1273" i="2"/>
  <c r="K1273" i="2"/>
  <c r="L1269" i="2"/>
  <c r="K1269" i="2"/>
  <c r="L1265" i="2"/>
  <c r="K1265" i="2"/>
  <c r="L1261" i="2"/>
  <c r="K1261" i="2"/>
  <c r="L1257" i="2"/>
  <c r="K1257" i="2"/>
  <c r="L1253" i="2"/>
  <c r="K1253" i="2"/>
  <c r="L1249" i="2"/>
  <c r="K1249" i="2"/>
  <c r="L1245" i="2"/>
  <c r="K1245" i="2"/>
  <c r="L1241" i="2"/>
  <c r="K1241" i="2"/>
  <c r="L1237" i="2"/>
  <c r="K1237" i="2"/>
  <c r="L1233" i="2"/>
  <c r="K1233" i="2"/>
  <c r="L1229" i="2"/>
  <c r="K1229" i="2"/>
  <c r="L1225" i="2"/>
  <c r="K1225" i="2"/>
  <c r="L1221" i="2"/>
  <c r="K1221" i="2"/>
  <c r="L1217" i="2"/>
  <c r="K1217" i="2"/>
  <c r="L1213" i="2"/>
  <c r="K1213" i="2"/>
  <c r="L1209" i="2"/>
  <c r="K1209" i="2"/>
  <c r="L1205" i="2"/>
  <c r="K1205" i="2"/>
  <c r="L1201" i="2"/>
  <c r="K1201" i="2"/>
  <c r="L1197" i="2"/>
  <c r="K1197" i="2"/>
  <c r="L1193" i="2"/>
  <c r="K1193" i="2"/>
  <c r="L1189" i="2"/>
  <c r="K1189" i="2"/>
  <c r="L1185" i="2"/>
  <c r="K1185" i="2"/>
  <c r="L1181" i="2"/>
  <c r="K1181" i="2"/>
  <c r="L1177" i="2"/>
  <c r="K1177" i="2"/>
  <c r="L1173" i="2"/>
  <c r="K1173" i="2"/>
  <c r="L1169" i="2"/>
  <c r="K1169" i="2"/>
  <c r="L1165" i="2"/>
  <c r="K1165" i="2"/>
  <c r="L1161" i="2"/>
  <c r="K1161" i="2"/>
  <c r="L1157" i="2"/>
  <c r="K1157" i="2"/>
  <c r="L1153" i="2"/>
  <c r="K1153" i="2"/>
  <c r="L1149" i="2"/>
  <c r="K1149" i="2"/>
  <c r="L1145" i="2"/>
  <c r="K1145" i="2"/>
  <c r="L1141" i="2"/>
  <c r="K1141" i="2"/>
  <c r="L1137" i="2"/>
  <c r="K1137" i="2"/>
  <c r="L1133" i="2"/>
  <c r="K1133" i="2"/>
  <c r="L1129" i="2"/>
  <c r="K1129" i="2"/>
  <c r="L1125" i="2"/>
  <c r="K1125" i="2"/>
  <c r="L1121" i="2"/>
  <c r="K1121" i="2"/>
  <c r="L1117" i="2"/>
  <c r="K1117" i="2"/>
  <c r="L1113" i="2"/>
  <c r="K1113" i="2"/>
  <c r="L1109" i="2"/>
  <c r="K1109" i="2"/>
  <c r="L1105" i="2"/>
  <c r="K1105" i="2"/>
  <c r="L1101" i="2"/>
  <c r="K1101" i="2"/>
  <c r="L1097" i="2"/>
  <c r="K1097" i="2"/>
  <c r="L1093" i="2"/>
  <c r="K1093" i="2"/>
  <c r="L1089" i="2"/>
  <c r="K1089" i="2"/>
  <c r="L1085" i="2"/>
  <c r="K1085" i="2"/>
  <c r="L1081" i="2"/>
  <c r="K1081" i="2"/>
  <c r="L1077" i="2"/>
  <c r="K1077" i="2"/>
  <c r="L1073" i="2"/>
  <c r="K1073" i="2"/>
  <c r="L1069" i="2"/>
  <c r="K1069" i="2"/>
  <c r="L1065" i="2"/>
  <c r="K1065" i="2"/>
  <c r="L1061" i="2"/>
  <c r="K1061" i="2"/>
  <c r="L1057" i="2"/>
  <c r="K1057" i="2"/>
  <c r="L1053" i="2"/>
  <c r="K1053" i="2"/>
  <c r="L1049" i="2"/>
  <c r="K1049" i="2"/>
  <c r="L1045" i="2"/>
  <c r="K1045" i="2"/>
  <c r="L1041" i="2"/>
  <c r="K1041" i="2"/>
  <c r="L1037" i="2"/>
  <c r="K1037" i="2"/>
  <c r="L1033" i="2"/>
  <c r="K1033" i="2"/>
  <c r="L1029" i="2"/>
  <c r="K1029" i="2"/>
  <c r="L1025" i="2"/>
  <c r="K1025" i="2"/>
  <c r="L1021" i="2"/>
  <c r="K1021" i="2"/>
  <c r="L1017" i="2"/>
  <c r="K1017" i="2"/>
  <c r="L1013" i="2"/>
  <c r="K1013" i="2"/>
  <c r="L1009" i="2"/>
  <c r="K1009" i="2"/>
  <c r="L1005" i="2"/>
  <c r="K1005" i="2"/>
  <c r="L1001" i="2"/>
  <c r="K1001" i="2"/>
  <c r="L997" i="2"/>
  <c r="K997" i="2"/>
  <c r="L993" i="2"/>
  <c r="K993" i="2"/>
  <c r="L989" i="2"/>
  <c r="K989" i="2"/>
  <c r="L985" i="2"/>
  <c r="K985" i="2"/>
  <c r="L981" i="2"/>
  <c r="K981" i="2"/>
  <c r="L977" i="2"/>
  <c r="K977" i="2"/>
  <c r="L973" i="2"/>
  <c r="K973" i="2"/>
  <c r="L969" i="2"/>
  <c r="K969" i="2"/>
  <c r="L965" i="2"/>
  <c r="K965" i="2"/>
  <c r="L961" i="2"/>
  <c r="K961" i="2"/>
  <c r="L957" i="2"/>
  <c r="K957" i="2"/>
  <c r="L953" i="2"/>
  <c r="K953" i="2"/>
  <c r="L949" i="2"/>
  <c r="K949" i="2"/>
  <c r="L945" i="2"/>
  <c r="K945" i="2"/>
  <c r="L941" i="2"/>
  <c r="K941" i="2"/>
  <c r="K937" i="2"/>
  <c r="L933" i="2"/>
  <c r="K933" i="2"/>
  <c r="L929" i="2"/>
  <c r="K929" i="2"/>
  <c r="L925" i="2"/>
  <c r="K925" i="2"/>
  <c r="L921" i="2"/>
  <c r="K921" i="2"/>
  <c r="L917" i="2"/>
  <c r="K917" i="2"/>
  <c r="L913" i="2"/>
  <c r="K913" i="2"/>
  <c r="L909" i="2"/>
  <c r="K909" i="2"/>
  <c r="L905" i="2"/>
  <c r="K905" i="2"/>
  <c r="L901" i="2"/>
  <c r="K901" i="2"/>
  <c r="L897" i="2"/>
  <c r="K897" i="2"/>
  <c r="L893" i="2"/>
  <c r="K893" i="2"/>
  <c r="L889" i="2"/>
  <c r="K889" i="2"/>
  <c r="L885" i="2"/>
  <c r="K885" i="2"/>
  <c r="L881" i="2"/>
  <c r="K881" i="2"/>
  <c r="L877" i="2"/>
  <c r="K877" i="2"/>
  <c r="K873" i="2"/>
  <c r="L869" i="2"/>
  <c r="K869" i="2"/>
  <c r="L865" i="2"/>
  <c r="K865" i="2"/>
  <c r="L861" i="2"/>
  <c r="K861" i="2"/>
  <c r="L857" i="2"/>
  <c r="K857" i="2"/>
  <c r="L853" i="2"/>
  <c r="K853" i="2"/>
  <c r="L849" i="2"/>
  <c r="K849" i="2"/>
  <c r="L845" i="2"/>
  <c r="K845" i="2"/>
  <c r="L841" i="2"/>
  <c r="K841" i="2"/>
  <c r="L837" i="2"/>
  <c r="K837" i="2"/>
  <c r="L833" i="2"/>
  <c r="K833" i="2"/>
  <c r="L829" i="2"/>
  <c r="K829" i="2"/>
  <c r="L825" i="2"/>
  <c r="K825" i="2"/>
  <c r="L821" i="2"/>
  <c r="K821" i="2"/>
  <c r="L817" i="2"/>
  <c r="K817" i="2"/>
  <c r="L815" i="2"/>
  <c r="K815" i="2"/>
  <c r="L813" i="2"/>
  <c r="K813" i="2"/>
  <c r="K809" i="2"/>
  <c r="L807" i="2"/>
  <c r="K807" i="2"/>
  <c r="L805" i="2"/>
  <c r="K805" i="2"/>
  <c r="L801" i="2"/>
  <c r="K801" i="2"/>
  <c r="L799" i="2"/>
  <c r="K799" i="2"/>
  <c r="L797" i="2"/>
  <c r="K797" i="2"/>
  <c r="L793" i="2"/>
  <c r="K793" i="2"/>
  <c r="L791" i="2"/>
  <c r="K791" i="2"/>
  <c r="L789" i="2"/>
  <c r="K789" i="2"/>
  <c r="L785" i="2"/>
  <c r="K785" i="2"/>
  <c r="L783" i="2"/>
  <c r="K783" i="2"/>
  <c r="L781" i="2"/>
  <c r="K781" i="2"/>
  <c r="K777" i="2"/>
  <c r="L777" i="2"/>
  <c r="L775" i="2"/>
  <c r="K775" i="2"/>
  <c r="L773" i="2"/>
  <c r="K773" i="2"/>
  <c r="L769" i="2"/>
  <c r="K769" i="2"/>
  <c r="L767" i="2"/>
  <c r="K767" i="2"/>
  <c r="L765" i="2"/>
  <c r="K765" i="2"/>
  <c r="L761" i="2"/>
  <c r="K761" i="2"/>
  <c r="L759" i="2"/>
  <c r="K759" i="2"/>
  <c r="L757" i="2"/>
  <c r="K757" i="2"/>
  <c r="L753" i="2"/>
  <c r="K753" i="2"/>
  <c r="L751" i="2"/>
  <c r="K751" i="2"/>
  <c r="L749" i="2"/>
  <c r="K749" i="2"/>
  <c r="K745" i="2"/>
  <c r="L743" i="2"/>
  <c r="K743" i="2"/>
  <c r="L741" i="2"/>
  <c r="K741" i="2"/>
  <c r="L737" i="2"/>
  <c r="K737" i="2"/>
  <c r="L735" i="2"/>
  <c r="K735" i="2"/>
  <c r="L733" i="2"/>
  <c r="K733" i="2"/>
  <c r="L729" i="2"/>
  <c r="K729" i="2"/>
  <c r="L727" i="2"/>
  <c r="K727" i="2"/>
  <c r="L725" i="2"/>
  <c r="K725" i="2"/>
  <c r="L721" i="2"/>
  <c r="K721" i="2"/>
  <c r="L719" i="2"/>
  <c r="K719" i="2"/>
  <c r="L717" i="2"/>
  <c r="K717" i="2"/>
  <c r="K713" i="2"/>
  <c r="L713" i="2"/>
  <c r="L711" i="2"/>
  <c r="K711" i="2"/>
  <c r="L709" i="2"/>
  <c r="K709" i="2"/>
  <c r="L705" i="2"/>
  <c r="K705" i="2"/>
  <c r="L703" i="2"/>
  <c r="K703" i="2"/>
  <c r="L701" i="2"/>
  <c r="K701" i="2"/>
  <c r="L697" i="2"/>
  <c r="K697" i="2"/>
  <c r="L695" i="2"/>
  <c r="K695" i="2"/>
  <c r="L693" i="2"/>
  <c r="K693" i="2"/>
  <c r="L689" i="2"/>
  <c r="K689" i="2"/>
  <c r="L687" i="2"/>
  <c r="K687" i="2"/>
  <c r="L685" i="2"/>
  <c r="K685" i="2"/>
  <c r="K681" i="2"/>
  <c r="L679" i="2"/>
  <c r="K679" i="2"/>
  <c r="L677" i="2"/>
  <c r="K677" i="2"/>
  <c r="L673" i="2"/>
  <c r="K673" i="2"/>
  <c r="L671" i="2"/>
  <c r="K671" i="2"/>
  <c r="L669" i="2"/>
  <c r="K669" i="2"/>
  <c r="L665" i="2"/>
  <c r="K665" i="2"/>
  <c r="L663" i="2"/>
  <c r="K663" i="2"/>
  <c r="L661" i="2"/>
  <c r="K661" i="2"/>
  <c r="L657" i="2"/>
  <c r="K657" i="2"/>
  <c r="L655" i="2"/>
  <c r="K655" i="2"/>
  <c r="L653" i="2"/>
  <c r="K653" i="2"/>
  <c r="K649" i="2"/>
  <c r="L649" i="2"/>
  <c r="L647" i="2"/>
  <c r="K647" i="2"/>
  <c r="L645" i="2"/>
  <c r="K645" i="2"/>
  <c r="L641" i="2"/>
  <c r="K641" i="2"/>
  <c r="L639" i="2"/>
  <c r="K639" i="2"/>
  <c r="L637" i="2"/>
  <c r="K637" i="2"/>
  <c r="L633" i="2"/>
  <c r="K633" i="2"/>
  <c r="L631" i="2"/>
  <c r="K631" i="2"/>
  <c r="L629" i="2"/>
  <c r="K629" i="2"/>
  <c r="L625" i="2"/>
  <c r="K625" i="2"/>
  <c r="L623" i="2"/>
  <c r="K623" i="2"/>
  <c r="L621" i="2"/>
  <c r="K621" i="2"/>
  <c r="K617" i="2"/>
  <c r="L615" i="2"/>
  <c r="K615" i="2"/>
  <c r="L613" i="2"/>
  <c r="K613" i="2"/>
  <c r="L609" i="2"/>
  <c r="K609" i="2"/>
  <c r="L607" i="2"/>
  <c r="K607" i="2"/>
  <c r="L605" i="2"/>
  <c r="K605" i="2"/>
  <c r="L601" i="2"/>
  <c r="K601" i="2"/>
  <c r="L599" i="2"/>
  <c r="K599" i="2"/>
  <c r="L597" i="2"/>
  <c r="K597" i="2"/>
  <c r="L593" i="2"/>
  <c r="K593" i="2"/>
  <c r="L591" i="2"/>
  <c r="K591" i="2"/>
  <c r="L589" i="2"/>
  <c r="K589" i="2"/>
  <c r="K585" i="2"/>
  <c r="L585" i="2"/>
  <c r="L583" i="2"/>
  <c r="K583" i="2"/>
  <c r="L581" i="2"/>
  <c r="K581" i="2"/>
  <c r="L577" i="2"/>
  <c r="K577" i="2"/>
  <c r="L575" i="2"/>
  <c r="K575" i="2"/>
  <c r="L573" i="2"/>
  <c r="K573" i="2"/>
  <c r="L569" i="2"/>
  <c r="K569" i="2"/>
  <c r="L567" i="2"/>
  <c r="K567" i="2"/>
  <c r="L565" i="2"/>
  <c r="K565" i="2"/>
  <c r="L561" i="2"/>
  <c r="K561" i="2"/>
  <c r="L559" i="2"/>
  <c r="K559" i="2"/>
  <c r="L557" i="2"/>
  <c r="K557" i="2"/>
  <c r="K553" i="2"/>
  <c r="L551" i="2"/>
  <c r="K551" i="2"/>
  <c r="L549" i="2"/>
  <c r="K549" i="2"/>
  <c r="L545" i="2"/>
  <c r="K545" i="2"/>
  <c r="L543" i="2"/>
  <c r="K543" i="2"/>
  <c r="L541" i="2"/>
  <c r="K541" i="2"/>
  <c r="L537" i="2"/>
  <c r="K537" i="2"/>
  <c r="L535" i="2"/>
  <c r="K535" i="2"/>
  <c r="L533" i="2"/>
  <c r="K533" i="2"/>
  <c r="L529" i="2"/>
  <c r="K529" i="2"/>
  <c r="L527" i="2"/>
  <c r="K527" i="2"/>
  <c r="L525" i="2"/>
  <c r="K525" i="2"/>
  <c r="K521" i="2"/>
  <c r="L521" i="2"/>
  <c r="L519" i="2"/>
  <c r="K519" i="2"/>
  <c r="L517" i="2"/>
  <c r="K517" i="2"/>
  <c r="L513" i="2"/>
  <c r="K513" i="2"/>
  <c r="L511" i="2"/>
  <c r="K511" i="2"/>
  <c r="L509" i="2"/>
  <c r="K509" i="2"/>
  <c r="L505" i="2"/>
  <c r="K505" i="2"/>
  <c r="L503" i="2"/>
  <c r="K503" i="2"/>
  <c r="L501" i="2"/>
  <c r="K501" i="2"/>
  <c r="L497" i="2"/>
  <c r="K497" i="2"/>
  <c r="L495" i="2"/>
  <c r="K495" i="2"/>
  <c r="L493" i="2"/>
  <c r="K493" i="2"/>
  <c r="K489" i="2"/>
  <c r="L487" i="2"/>
  <c r="K487" i="2"/>
  <c r="L485" i="2"/>
  <c r="K485" i="2"/>
  <c r="L481" i="2"/>
  <c r="K481" i="2"/>
  <c r="L479" i="2"/>
  <c r="K479" i="2"/>
  <c r="L477" i="2"/>
  <c r="K477" i="2"/>
  <c r="L473" i="2"/>
  <c r="K473" i="2"/>
  <c r="L471" i="2"/>
  <c r="K471" i="2"/>
  <c r="L469" i="2"/>
  <c r="K469" i="2"/>
  <c r="L465" i="2"/>
  <c r="K465" i="2"/>
  <c r="L463" i="2"/>
  <c r="K463" i="2"/>
  <c r="L461" i="2"/>
  <c r="K461" i="2"/>
  <c r="K457" i="2"/>
  <c r="L457" i="2"/>
  <c r="L455" i="2"/>
  <c r="K455" i="2"/>
  <c r="L453" i="2"/>
  <c r="K453" i="2"/>
  <c r="L449" i="2"/>
  <c r="K449" i="2"/>
  <c r="L447" i="2"/>
  <c r="K447" i="2"/>
  <c r="L445" i="2"/>
  <c r="K445" i="2"/>
  <c r="L441" i="2"/>
  <c r="K441" i="2"/>
  <c r="L439" i="2"/>
  <c r="K439" i="2"/>
  <c r="L437" i="2"/>
  <c r="K437" i="2"/>
  <c r="L433" i="2"/>
  <c r="K433" i="2"/>
  <c r="L431" i="2"/>
  <c r="K431" i="2"/>
  <c r="L429" i="2"/>
  <c r="K429" i="2"/>
  <c r="L425" i="2"/>
  <c r="K425" i="2"/>
  <c r="K423" i="2"/>
  <c r="L421" i="2"/>
  <c r="K421" i="2"/>
  <c r="L417" i="2"/>
  <c r="K417" i="2"/>
  <c r="L415" i="2"/>
  <c r="K415" i="2"/>
  <c r="L413" i="2"/>
  <c r="K413" i="2"/>
  <c r="L409" i="2"/>
  <c r="K409" i="2"/>
  <c r="L407" i="2"/>
  <c r="K407" i="2"/>
  <c r="K1703" i="2"/>
  <c r="K1695" i="2"/>
  <c r="K1687" i="2"/>
  <c r="K1679" i="2"/>
  <c r="K1671" i="2"/>
  <c r="K1663" i="2"/>
  <c r="K1655" i="2"/>
  <c r="K1647" i="2"/>
  <c r="K1639" i="2"/>
  <c r="K1631" i="2"/>
  <c r="K1623" i="2"/>
  <c r="K1615" i="2"/>
  <c r="K1607" i="2"/>
  <c r="K1599" i="2"/>
  <c r="K1591" i="2"/>
  <c r="K1583" i="2"/>
  <c r="K1575" i="2"/>
  <c r="K1567" i="2"/>
  <c r="K1559" i="2"/>
  <c r="K1551" i="2"/>
  <c r="K1543" i="2"/>
  <c r="K1535" i="2"/>
  <c r="K1527" i="2"/>
  <c r="K1519" i="2"/>
  <c r="K1511" i="2"/>
  <c r="K1503" i="2"/>
  <c r="K1495" i="2"/>
  <c r="K1487" i="2"/>
  <c r="K1479" i="2"/>
  <c r="K1471" i="2"/>
  <c r="K1463" i="2"/>
  <c r="K1455" i="2"/>
  <c r="K1447" i="2"/>
  <c r="K1439" i="2"/>
  <c r="K1431" i="2"/>
  <c r="K1423" i="2"/>
  <c r="K1415" i="2"/>
  <c r="K1407" i="2"/>
  <c r="K1399" i="2"/>
  <c r="K1391" i="2"/>
  <c r="K1383" i="2"/>
  <c r="K1375" i="2"/>
  <c r="K1367" i="2"/>
  <c r="K1359" i="2"/>
  <c r="K1351" i="2"/>
  <c r="K1343" i="2"/>
  <c r="K1335" i="2"/>
  <c r="K1327" i="2"/>
  <c r="K1319" i="2"/>
  <c r="K1311" i="2"/>
  <c r="K1303" i="2"/>
  <c r="K1295" i="2"/>
  <c r="K1287" i="2"/>
  <c r="K1279" i="2"/>
  <c r="K1271" i="2"/>
  <c r="K1263" i="2"/>
  <c r="K1255" i="2"/>
  <c r="K1247" i="2"/>
  <c r="K1239" i="2"/>
  <c r="K1231" i="2"/>
  <c r="K1223" i="2"/>
  <c r="K1215" i="2"/>
  <c r="K1207" i="2"/>
  <c r="K1199" i="2"/>
  <c r="K1191" i="2"/>
  <c r="K1183" i="2"/>
  <c r="K1175" i="2"/>
  <c r="K1167" i="2"/>
  <c r="K1159" i="2"/>
  <c r="K1151" i="2"/>
  <c r="K1143" i="2"/>
  <c r="K1135" i="2"/>
  <c r="K1127" i="2"/>
  <c r="K1119" i="2"/>
  <c r="K1111" i="2"/>
  <c r="K1103" i="2"/>
  <c r="K1095" i="2"/>
  <c r="K1087" i="2"/>
  <c r="K1079" i="2"/>
  <c r="K1071" i="2"/>
  <c r="K1063" i="2"/>
  <c r="K1055" i="2"/>
  <c r="K1047" i="2"/>
  <c r="K1039" i="2"/>
  <c r="K1031" i="2"/>
  <c r="K1023" i="2"/>
  <c r="K1015" i="2"/>
  <c r="K1007" i="2"/>
  <c r="K999" i="2"/>
  <c r="K991" i="2"/>
  <c r="K983" i="2"/>
  <c r="K975" i="2"/>
  <c r="K967" i="2"/>
  <c r="K959" i="2"/>
  <c r="K951" i="2"/>
  <c r="K943" i="2"/>
  <c r="K935" i="2"/>
  <c r="K927" i="2"/>
  <c r="K919" i="2"/>
  <c r="K911" i="2"/>
  <c r="K903" i="2"/>
  <c r="K895" i="2"/>
  <c r="K887" i="2"/>
  <c r="K879" i="2"/>
  <c r="K871" i="2"/>
  <c r="K863" i="2"/>
  <c r="K855" i="2"/>
  <c r="K847" i="2"/>
  <c r="K839" i="2"/>
  <c r="K831" i="2"/>
  <c r="K823" i="2"/>
  <c r="K811" i="2"/>
  <c r="K795" i="2"/>
  <c r="K779" i="2"/>
  <c r="K763" i="2"/>
  <c r="K747" i="2"/>
  <c r="K731" i="2"/>
  <c r="K715" i="2"/>
  <c r="K699" i="2"/>
  <c r="K683" i="2"/>
  <c r="K667" i="2"/>
  <c r="K651" i="2"/>
  <c r="K635" i="2"/>
  <c r="K619" i="2"/>
  <c r="K603" i="2"/>
  <c r="K587" i="2"/>
  <c r="K571" i="2"/>
  <c r="K555" i="2"/>
  <c r="K539" i="2"/>
  <c r="K523" i="2"/>
  <c r="K507" i="2"/>
  <c r="K491" i="2"/>
  <c r="K475" i="2"/>
  <c r="K459" i="2"/>
  <c r="K443" i="2"/>
  <c r="K427" i="2"/>
  <c r="K411" i="2"/>
  <c r="L937" i="2"/>
  <c r="L809" i="2"/>
  <c r="L681" i="2"/>
  <c r="L553" i="2"/>
  <c r="L423" i="2"/>
  <c r="K1706" i="2"/>
  <c r="K1702" i="2"/>
  <c r="K1698" i="2"/>
  <c r="K1694" i="2"/>
  <c r="K1686" i="2"/>
  <c r="K1682" i="2"/>
  <c r="K1678" i="2"/>
  <c r="K1674" i="2"/>
  <c r="K1670" i="2"/>
  <c r="K1666" i="2"/>
  <c r="K1662" i="2"/>
  <c r="K1658" i="2"/>
  <c r="K1654" i="2"/>
  <c r="K1650" i="2"/>
  <c r="K1646" i="2"/>
  <c r="K1642" i="2"/>
  <c r="K1638" i="2"/>
  <c r="K1634" i="2"/>
  <c r="K1630" i="2"/>
  <c r="K1626" i="2"/>
  <c r="K1622" i="2"/>
  <c r="K1618" i="2"/>
  <c r="K1614" i="2"/>
  <c r="K1610" i="2"/>
  <c r="K1606" i="2"/>
  <c r="K1602" i="2"/>
  <c r="K1598" i="2"/>
  <c r="K1594" i="2"/>
  <c r="K1590" i="2"/>
  <c r="K1586" i="2"/>
  <c r="K1582" i="2"/>
  <c r="K1578" i="2"/>
  <c r="K1574" i="2"/>
  <c r="K1570" i="2"/>
  <c r="K1566" i="2"/>
  <c r="K1562" i="2"/>
  <c r="K1558" i="2"/>
  <c r="K1554" i="2"/>
  <c r="K1550" i="2"/>
  <c r="K1546" i="2"/>
  <c r="K1542" i="2"/>
  <c r="K1538" i="2"/>
  <c r="K1534" i="2"/>
  <c r="K1530" i="2"/>
  <c r="K1526" i="2"/>
  <c r="K1522" i="2"/>
  <c r="K1518" i="2"/>
  <c r="K1514" i="2"/>
  <c r="K1510" i="2"/>
  <c r="K1506" i="2"/>
  <c r="K1502" i="2"/>
  <c r="K1498" i="2"/>
  <c r="K1494" i="2"/>
  <c r="K1490" i="2"/>
  <c r="K1486" i="2"/>
  <c r="K1478" i="2"/>
  <c r="K1474" i="2"/>
  <c r="K1470" i="2"/>
  <c r="K1466" i="2"/>
  <c r="K1462" i="2"/>
  <c r="K1458" i="2"/>
  <c r="K1450" i="2"/>
  <c r="K1446" i="2"/>
  <c r="K1442" i="2"/>
  <c r="K1438" i="2"/>
  <c r="K1434" i="2"/>
  <c r="K1430" i="2"/>
  <c r="K1426" i="2"/>
  <c r="K1422" i="2"/>
  <c r="K1418" i="2"/>
  <c r="K1414" i="2"/>
  <c r="K1410" i="2"/>
  <c r="K1406" i="2"/>
  <c r="K1402" i="2"/>
  <c r="K1398" i="2"/>
  <c r="K1394" i="2"/>
  <c r="K1390" i="2"/>
  <c r="K1386" i="2"/>
  <c r="K1382" i="2"/>
  <c r="K1378" i="2"/>
  <c r="K1374" i="2"/>
  <c r="K1370" i="2"/>
  <c r="K1366" i="2"/>
  <c r="K1362" i="2"/>
  <c r="K1358" i="2"/>
  <c r="K1354" i="2"/>
  <c r="K1350" i="2"/>
  <c r="K1346" i="2"/>
  <c r="K1334" i="2"/>
  <c r="K1330" i="2"/>
  <c r="K1326" i="2"/>
  <c r="K1322" i="2"/>
  <c r="K1318" i="2"/>
  <c r="K1314" i="2"/>
  <c r="K1310" i="2"/>
  <c r="K1306" i="2"/>
  <c r="K1302" i="2"/>
  <c r="K1298" i="2"/>
  <c r="K1294" i="2"/>
  <c r="K1290" i="2"/>
  <c r="K1286" i="2"/>
  <c r="K1282" i="2"/>
  <c r="K1278" i="2"/>
  <c r="K1274" i="2"/>
  <c r="K1270" i="2"/>
  <c r="K1266" i="2"/>
  <c r="K1262" i="2"/>
  <c r="K1258" i="2"/>
  <c r="K1254" i="2"/>
  <c r="K1250" i="2"/>
  <c r="K1246" i="2"/>
  <c r="K1242" i="2"/>
  <c r="K1238" i="2"/>
  <c r="K1234" i="2"/>
  <c r="K1230" i="2"/>
  <c r="K1226" i="2"/>
  <c r="K1222" i="2"/>
  <c r="K1218" i="2"/>
  <c r="K1214" i="2"/>
  <c r="K1210" i="2"/>
  <c r="K1206" i="2"/>
  <c r="K1202" i="2"/>
  <c r="K1198" i="2"/>
  <c r="K1194" i="2"/>
  <c r="K1190" i="2"/>
  <c r="K1186" i="2"/>
  <c r="K1182" i="2"/>
  <c r="K1178" i="2"/>
  <c r="K1174" i="2"/>
  <c r="K1170" i="2"/>
  <c r="K1166" i="2"/>
  <c r="K1162" i="2"/>
  <c r="K1158" i="2"/>
  <c r="K1154" i="2"/>
  <c r="K1150" i="2"/>
  <c r="K1146" i="2"/>
  <c r="K1142" i="2"/>
  <c r="K1138" i="2"/>
  <c r="K1134" i="2"/>
  <c r="K1130" i="2"/>
  <c r="K1126" i="2"/>
  <c r="K1122" i="2"/>
  <c r="K1118" i="2"/>
  <c r="K1114" i="2"/>
  <c r="K1110" i="2"/>
  <c r="K1106" i="2"/>
  <c r="K1102" i="2"/>
  <c r="K1098" i="2"/>
  <c r="K1094" i="2"/>
  <c r="K1090" i="2"/>
  <c r="K1086" i="2"/>
  <c r="K1082" i="2"/>
  <c r="K1078" i="2"/>
  <c r="K1074" i="2"/>
  <c r="K1070" i="2"/>
  <c r="K1066" i="2"/>
  <c r="K1062" i="2"/>
  <c r="K1058" i="2"/>
  <c r="K1054" i="2"/>
  <c r="K1046" i="2"/>
  <c r="K1042" i="2"/>
  <c r="K1038" i="2"/>
  <c r="K1034" i="2"/>
  <c r="K1030" i="2"/>
  <c r="K1026" i="2"/>
  <c r="K1022" i="2"/>
  <c r="K1018" i="2"/>
  <c r="K1014" i="2"/>
  <c r="K1010" i="2"/>
  <c r="K1006" i="2"/>
  <c r="K1002" i="2"/>
  <c r="K998" i="2"/>
  <c r="K994" i="2"/>
  <c r="K990" i="2"/>
  <c r="K986" i="2"/>
  <c r="K982" i="2"/>
  <c r="K978" i="2"/>
  <c r="K974" i="2"/>
  <c r="K970" i="2"/>
  <c r="K966" i="2"/>
  <c r="K962" i="2"/>
  <c r="K958" i="2"/>
  <c r="K954" i="2"/>
  <c r="K950" i="2"/>
  <c r="K946" i="2"/>
  <c r="K942" i="2"/>
  <c r="K2" i="2"/>
  <c r="K1699" i="2"/>
  <c r="K1691" i="2"/>
  <c r="K1683" i="2"/>
  <c r="K1675" i="2"/>
  <c r="K1667" i="2"/>
  <c r="K1659" i="2"/>
  <c r="K1651" i="2"/>
  <c r="K1643" i="2"/>
  <c r="K1635" i="2"/>
  <c r="K1627" i="2"/>
  <c r="K1619" i="2"/>
  <c r="K1611" i="2"/>
  <c r="K1603" i="2"/>
  <c r="K1595" i="2"/>
  <c r="K1587" i="2"/>
  <c r="K1579" i="2"/>
  <c r="K1571" i="2"/>
  <c r="K1563" i="2"/>
  <c r="K1555" i="2"/>
  <c r="K1547" i="2"/>
  <c r="K1539" i="2"/>
  <c r="K1531" i="2"/>
  <c r="K1523" i="2"/>
  <c r="K1515" i="2"/>
  <c r="K1507" i="2"/>
  <c r="K1499" i="2"/>
  <c r="K1491" i="2"/>
  <c r="K1483" i="2"/>
  <c r="K1475" i="2"/>
  <c r="K1467" i="2"/>
  <c r="K1459" i="2"/>
  <c r="K1451" i="2"/>
  <c r="K1443" i="2"/>
  <c r="K1435" i="2"/>
  <c r="K1427" i="2"/>
  <c r="K1419" i="2"/>
  <c r="K1411" i="2"/>
  <c r="K1403" i="2"/>
  <c r="K1395" i="2"/>
  <c r="K1387" i="2"/>
  <c r="K1379" i="2"/>
  <c r="K1371" i="2"/>
  <c r="K1363" i="2"/>
  <c r="K1355" i="2"/>
  <c r="K1347" i="2"/>
  <c r="K1339" i="2"/>
  <c r="K1331" i="2"/>
  <c r="K1323" i="2"/>
  <c r="K1315" i="2"/>
  <c r="K1307" i="2"/>
  <c r="K1299" i="2"/>
  <c r="K1291" i="2"/>
  <c r="K1283" i="2"/>
  <c r="K1275" i="2"/>
  <c r="K1267" i="2"/>
  <c r="K1259" i="2"/>
  <c r="K1251" i="2"/>
  <c r="K1243" i="2"/>
  <c r="K1235" i="2"/>
  <c r="K1227" i="2"/>
  <c r="K1219" i="2"/>
  <c r="K1211" i="2"/>
  <c r="K1203" i="2"/>
  <c r="K1195" i="2"/>
  <c r="K1187" i="2"/>
  <c r="K1179" i="2"/>
  <c r="K1171" i="2"/>
  <c r="K1163" i="2"/>
  <c r="K1155" i="2"/>
  <c r="K1147" i="2"/>
  <c r="K1139" i="2"/>
  <c r="K1131" i="2"/>
  <c r="K1123" i="2"/>
  <c r="K1115" i="2"/>
  <c r="K1107" i="2"/>
  <c r="K1099" i="2"/>
  <c r="K1091" i="2"/>
  <c r="K1083" i="2"/>
  <c r="K1075" i="2"/>
  <c r="K1067" i="2"/>
  <c r="K1059" i="2"/>
  <c r="K1051" i="2"/>
  <c r="K1043" i="2"/>
  <c r="K1035" i="2"/>
  <c r="K1027" i="2"/>
  <c r="K1019" i="2"/>
  <c r="K1011" i="2"/>
  <c r="K1003" i="2"/>
  <c r="K995" i="2"/>
  <c r="K987" i="2"/>
  <c r="K979" i="2"/>
  <c r="K971" i="2"/>
  <c r="K963" i="2"/>
  <c r="K955" i="2"/>
  <c r="K947" i="2"/>
  <c r="K939" i="2"/>
  <c r="K931" i="2"/>
  <c r="K923" i="2"/>
  <c r="K915" i="2"/>
  <c r="K907" i="2"/>
  <c r="K899" i="2"/>
  <c r="K891" i="2"/>
  <c r="K883" i="2"/>
  <c r="K875" i="2"/>
  <c r="K867" i="2"/>
  <c r="K859" i="2"/>
  <c r="K851" i="2"/>
  <c r="K843" i="2"/>
  <c r="K835" i="2"/>
  <c r="K827" i="2"/>
  <c r="K819" i="2"/>
  <c r="K803" i="2"/>
  <c r="K787" i="2"/>
  <c r="K771" i="2"/>
  <c r="K755" i="2"/>
  <c r="K739" i="2"/>
  <c r="K723" i="2"/>
  <c r="K707" i="2"/>
  <c r="K691" i="2"/>
  <c r="K675" i="2"/>
  <c r="K659" i="2"/>
  <c r="K643" i="2"/>
  <c r="K627" i="2"/>
  <c r="K611" i="2"/>
  <c r="K595" i="2"/>
  <c r="K579" i="2"/>
  <c r="K563" i="2"/>
  <c r="K547" i="2"/>
  <c r="K531" i="2"/>
  <c r="K515" i="2"/>
  <c r="K499" i="2"/>
  <c r="K483" i="2"/>
  <c r="K467" i="2"/>
  <c r="K451" i="2"/>
  <c r="K435" i="2"/>
  <c r="K419" i="2"/>
  <c r="L873" i="2"/>
  <c r="L745" i="2"/>
  <c r="L617" i="2"/>
  <c r="L489" i="2"/>
  <c r="L405" i="2"/>
  <c r="K405" i="2"/>
  <c r="L401" i="2"/>
  <c r="K401" i="2"/>
  <c r="L397" i="2"/>
  <c r="K397" i="2"/>
  <c r="L393" i="2"/>
  <c r="K393" i="2"/>
  <c r="L389" i="2"/>
  <c r="K389" i="2"/>
  <c r="L385" i="2"/>
  <c r="K385" i="2"/>
  <c r="L381" i="2"/>
  <c r="K381" i="2"/>
  <c r="L377" i="2"/>
  <c r="K377" i="2"/>
  <c r="L373" i="2"/>
  <c r="K373" i="2"/>
  <c r="L369" i="2"/>
  <c r="K369" i="2"/>
  <c r="L365" i="2"/>
  <c r="K365" i="2"/>
  <c r="L361" i="2"/>
  <c r="K361" i="2"/>
  <c r="L357" i="2"/>
  <c r="K357" i="2"/>
  <c r="L353" i="2"/>
  <c r="K353" i="2"/>
  <c r="L349" i="2"/>
  <c r="K349" i="2"/>
  <c r="L345" i="2"/>
  <c r="K345" i="2"/>
  <c r="L341" i="2"/>
  <c r="K341" i="2"/>
  <c r="L337" i="2"/>
  <c r="K337" i="2"/>
  <c r="L333" i="2"/>
  <c r="K333" i="2"/>
  <c r="L329" i="2"/>
  <c r="K329" i="2"/>
  <c r="L325" i="2"/>
  <c r="K325" i="2"/>
  <c r="L321" i="2"/>
  <c r="K321" i="2"/>
  <c r="L317" i="2"/>
  <c r="K317" i="2"/>
  <c r="L313" i="2"/>
  <c r="K313" i="2"/>
  <c r="L309" i="2"/>
  <c r="K309" i="2"/>
  <c r="L307" i="2"/>
  <c r="K307" i="2"/>
  <c r="L303" i="2"/>
  <c r="K303" i="2"/>
  <c r="L301" i="2"/>
  <c r="K301" i="2"/>
  <c r="L299" i="2"/>
  <c r="K299" i="2"/>
  <c r="K295" i="2"/>
  <c r="L293" i="2"/>
  <c r="K293" i="2"/>
  <c r="L291" i="2"/>
  <c r="K291" i="2"/>
  <c r="L287" i="2"/>
  <c r="K287" i="2"/>
  <c r="L285" i="2"/>
  <c r="K285" i="2"/>
  <c r="L283" i="2"/>
  <c r="K283" i="2"/>
  <c r="L279" i="2"/>
  <c r="K279" i="2"/>
  <c r="L277" i="2"/>
  <c r="K277" i="2"/>
  <c r="L275" i="2"/>
  <c r="K275" i="2"/>
  <c r="L271" i="2"/>
  <c r="K271" i="2"/>
  <c r="L269" i="2"/>
  <c r="K269" i="2"/>
  <c r="L267" i="2"/>
  <c r="K267" i="2"/>
  <c r="K263" i="2"/>
  <c r="L263" i="2"/>
  <c r="L261" i="2"/>
  <c r="K261" i="2"/>
  <c r="L259" i="2"/>
  <c r="K259" i="2"/>
  <c r="L253" i="2"/>
  <c r="K253" i="2"/>
  <c r="L249" i="2"/>
  <c r="K249" i="2"/>
  <c r="K247" i="2"/>
  <c r="L247" i="2"/>
  <c r="L245" i="2"/>
  <c r="K245" i="2"/>
  <c r="L237" i="2"/>
  <c r="K237" i="2"/>
  <c r="L233" i="2"/>
  <c r="K233" i="2"/>
  <c r="K231" i="2"/>
  <c r="L229" i="2"/>
  <c r="K229" i="2"/>
  <c r="L221" i="2"/>
  <c r="K221" i="2"/>
  <c r="L217" i="2"/>
  <c r="K217" i="2"/>
  <c r="K215" i="2"/>
  <c r="L215" i="2"/>
  <c r="L213" i="2"/>
  <c r="K213" i="2"/>
  <c r="L205" i="2"/>
  <c r="K205" i="2"/>
  <c r="L201" i="2"/>
  <c r="K201" i="2"/>
  <c r="K199" i="2"/>
  <c r="L199" i="2"/>
  <c r="L197" i="2"/>
  <c r="K197" i="2"/>
  <c r="L189" i="2"/>
  <c r="K189" i="2"/>
  <c r="L185" i="2"/>
  <c r="K185" i="2"/>
  <c r="K183" i="2"/>
  <c r="L183" i="2"/>
  <c r="L181" i="2"/>
  <c r="K181" i="2"/>
  <c r="L173" i="2"/>
  <c r="K173" i="2"/>
  <c r="L169" i="2"/>
  <c r="K169" i="2"/>
  <c r="L165" i="2"/>
  <c r="K165" i="2"/>
  <c r="L157" i="2"/>
  <c r="K157" i="2"/>
  <c r="L153" i="2"/>
  <c r="K153" i="2"/>
  <c r="L149" i="2"/>
  <c r="K149" i="2"/>
  <c r="L141" i="2"/>
  <c r="K141" i="2"/>
  <c r="L137" i="2"/>
  <c r="K137" i="2"/>
  <c r="L133" i="2"/>
  <c r="K133" i="2"/>
  <c r="L125" i="2"/>
  <c r="K125" i="2"/>
  <c r="L121" i="2"/>
  <c r="K121" i="2"/>
  <c r="L117" i="2"/>
  <c r="K117" i="2"/>
  <c r="L109" i="2"/>
  <c r="K109" i="2"/>
  <c r="L105" i="2"/>
  <c r="K105" i="2"/>
  <c r="L101" i="2"/>
  <c r="K101" i="2"/>
  <c r="L93" i="2"/>
  <c r="K93" i="2"/>
  <c r="L89" i="2"/>
  <c r="K89" i="2"/>
  <c r="L85" i="2"/>
  <c r="K85" i="2"/>
  <c r="L77" i="2"/>
  <c r="K77" i="2"/>
  <c r="L73" i="2"/>
  <c r="K73" i="2"/>
  <c r="L69" i="2"/>
  <c r="K69" i="2"/>
  <c r="L61" i="2"/>
  <c r="K61" i="2"/>
  <c r="L57" i="2"/>
  <c r="K57" i="2"/>
  <c r="L53" i="2"/>
  <c r="K53" i="2"/>
  <c r="L45" i="2"/>
  <c r="K45" i="2"/>
  <c r="L41" i="2"/>
  <c r="K41" i="2"/>
  <c r="L37" i="2"/>
  <c r="K37" i="2"/>
  <c r="L29" i="2"/>
  <c r="K29" i="2"/>
  <c r="L25" i="2"/>
  <c r="K25" i="2"/>
  <c r="L21" i="2"/>
  <c r="K21" i="2"/>
  <c r="L13" i="2"/>
  <c r="K13" i="2"/>
  <c r="L9" i="2"/>
  <c r="K9" i="2"/>
  <c r="L5" i="2"/>
  <c r="K5" i="2"/>
  <c r="K399" i="2"/>
  <c r="K391" i="2"/>
  <c r="K383" i="2"/>
  <c r="K375" i="2"/>
  <c r="K367" i="2"/>
  <c r="K359" i="2"/>
  <c r="K351" i="2"/>
  <c r="K343" i="2"/>
  <c r="K335" i="2"/>
  <c r="K327" i="2"/>
  <c r="K319" i="2"/>
  <c r="K311" i="2"/>
  <c r="K297" i="2"/>
  <c r="K281" i="2"/>
  <c r="K265" i="2"/>
  <c r="K241" i="2"/>
  <c r="K209" i="2"/>
  <c r="K177" i="2"/>
  <c r="K145" i="2"/>
  <c r="K113" i="2"/>
  <c r="K81" i="2"/>
  <c r="K49" i="2"/>
  <c r="K17" i="2"/>
  <c r="L231" i="2"/>
  <c r="L256" i="2"/>
  <c r="K256" i="2"/>
  <c r="L254" i="2"/>
  <c r="K254" i="2"/>
  <c r="L252" i="2"/>
  <c r="K252" i="2"/>
  <c r="L250" i="2"/>
  <c r="K250" i="2"/>
  <c r="L248" i="2"/>
  <c r="K248" i="2"/>
  <c r="L246" i="2"/>
  <c r="K246" i="2"/>
  <c r="L244" i="2"/>
  <c r="K244" i="2"/>
  <c r="L242" i="2"/>
  <c r="K242" i="2"/>
  <c r="L240" i="2"/>
  <c r="K240" i="2"/>
  <c r="L238" i="2"/>
  <c r="K238" i="2"/>
  <c r="L236" i="2"/>
  <c r="K236" i="2"/>
  <c r="L234" i="2"/>
  <c r="K234" i="2"/>
  <c r="L232" i="2"/>
  <c r="K232" i="2"/>
  <c r="L230" i="2"/>
  <c r="K230" i="2"/>
  <c r="L228" i="2"/>
  <c r="K228" i="2"/>
  <c r="L226" i="2"/>
  <c r="K226" i="2"/>
  <c r="L224" i="2"/>
  <c r="K224" i="2"/>
  <c r="L222" i="2"/>
  <c r="K222" i="2"/>
  <c r="L220" i="2"/>
  <c r="K220" i="2"/>
  <c r="L218" i="2"/>
  <c r="K218" i="2"/>
  <c r="L216" i="2"/>
  <c r="K216" i="2"/>
  <c r="L214" i="2"/>
  <c r="K214" i="2"/>
  <c r="L212" i="2"/>
  <c r="K212" i="2"/>
  <c r="L210" i="2"/>
  <c r="K210" i="2"/>
  <c r="L208" i="2"/>
  <c r="K208" i="2"/>
  <c r="L206" i="2"/>
  <c r="K206" i="2"/>
  <c r="L204" i="2"/>
  <c r="K204" i="2"/>
  <c r="L202" i="2"/>
  <c r="K202" i="2"/>
  <c r="L200" i="2"/>
  <c r="K200" i="2"/>
  <c r="L198" i="2"/>
  <c r="K198" i="2"/>
  <c r="L196" i="2"/>
  <c r="K196" i="2"/>
  <c r="L194" i="2"/>
  <c r="K194" i="2"/>
  <c r="L192" i="2"/>
  <c r="K192" i="2"/>
  <c r="L190" i="2"/>
  <c r="K190" i="2"/>
  <c r="L188" i="2"/>
  <c r="K188" i="2"/>
  <c r="L186" i="2"/>
  <c r="K186" i="2"/>
  <c r="L184" i="2"/>
  <c r="K184" i="2"/>
  <c r="L182" i="2"/>
  <c r="K182" i="2"/>
  <c r="L180" i="2"/>
  <c r="K180" i="2"/>
  <c r="L178" i="2"/>
  <c r="K178" i="2"/>
  <c r="L176" i="2"/>
  <c r="K176" i="2"/>
  <c r="L174" i="2"/>
  <c r="K174" i="2"/>
  <c r="L172" i="2"/>
  <c r="K172" i="2"/>
  <c r="L170" i="2"/>
  <c r="K170" i="2"/>
  <c r="L168" i="2"/>
  <c r="K168" i="2"/>
  <c r="L166" i="2"/>
  <c r="K166" i="2"/>
  <c r="L164" i="2"/>
  <c r="K164" i="2"/>
  <c r="K162" i="2"/>
  <c r="L160" i="2"/>
  <c r="K160" i="2"/>
  <c r="L158" i="2"/>
  <c r="K158" i="2"/>
  <c r="L156" i="2"/>
  <c r="K156" i="2"/>
  <c r="L154" i="2"/>
  <c r="K154" i="2"/>
  <c r="L152" i="2"/>
  <c r="K152" i="2"/>
  <c r="L150" i="2"/>
  <c r="K150" i="2"/>
  <c r="L148" i="2"/>
  <c r="K148" i="2"/>
  <c r="K146" i="2"/>
  <c r="L144" i="2"/>
  <c r="K144" i="2"/>
  <c r="L142" i="2"/>
  <c r="K142" i="2"/>
  <c r="L140" i="2"/>
  <c r="K140" i="2"/>
  <c r="L138" i="2"/>
  <c r="K138" i="2"/>
  <c r="L136" i="2"/>
  <c r="K136" i="2"/>
  <c r="L134" i="2"/>
  <c r="K134" i="2"/>
  <c r="L132" i="2"/>
  <c r="K132" i="2"/>
  <c r="K130" i="2"/>
  <c r="L128" i="2"/>
  <c r="K128" i="2"/>
  <c r="L126" i="2"/>
  <c r="K126" i="2"/>
  <c r="L124" i="2"/>
  <c r="K124" i="2"/>
  <c r="L122" i="2"/>
  <c r="K122" i="2"/>
  <c r="L120" i="2"/>
  <c r="K120" i="2"/>
  <c r="L118" i="2"/>
  <c r="K118" i="2"/>
  <c r="L116" i="2"/>
  <c r="K116" i="2"/>
  <c r="K114" i="2"/>
  <c r="L112" i="2"/>
  <c r="K112" i="2"/>
  <c r="L110" i="2"/>
  <c r="K110" i="2"/>
  <c r="L108" i="2"/>
  <c r="K108" i="2"/>
  <c r="L106" i="2"/>
  <c r="K106" i="2"/>
  <c r="L104" i="2"/>
  <c r="K104" i="2"/>
  <c r="L102" i="2"/>
  <c r="K102" i="2"/>
  <c r="L100" i="2"/>
  <c r="K100" i="2"/>
  <c r="K98" i="2"/>
  <c r="L96" i="2"/>
  <c r="K96" i="2"/>
  <c r="L94" i="2"/>
  <c r="K94" i="2"/>
  <c r="L92" i="2"/>
  <c r="K92" i="2"/>
  <c r="L90" i="2"/>
  <c r="K90" i="2"/>
  <c r="L88" i="2"/>
  <c r="K88" i="2"/>
  <c r="L86" i="2"/>
  <c r="K86" i="2"/>
  <c r="L84" i="2"/>
  <c r="K84" i="2"/>
  <c r="K82" i="2"/>
  <c r="L80" i="2"/>
  <c r="K80" i="2"/>
  <c r="L78" i="2"/>
  <c r="K78" i="2"/>
  <c r="L76" i="2"/>
  <c r="K76" i="2"/>
  <c r="L74" i="2"/>
  <c r="K74" i="2"/>
  <c r="L72" i="2"/>
  <c r="K72" i="2"/>
  <c r="L70" i="2"/>
  <c r="K70" i="2"/>
  <c r="L68" i="2"/>
  <c r="K68" i="2"/>
  <c r="K66" i="2"/>
  <c r="L64" i="2"/>
  <c r="K64" i="2"/>
  <c r="L62" i="2"/>
  <c r="K62" i="2"/>
  <c r="L60" i="2"/>
  <c r="K60" i="2"/>
  <c r="L58" i="2"/>
  <c r="K58" i="2"/>
  <c r="L56" i="2"/>
  <c r="K56" i="2"/>
  <c r="L54" i="2"/>
  <c r="K54" i="2"/>
  <c r="L52" i="2"/>
  <c r="K52" i="2"/>
  <c r="K50" i="2"/>
  <c r="L48" i="2"/>
  <c r="K48" i="2"/>
  <c r="L46" i="2"/>
  <c r="K46" i="2"/>
  <c r="L44" i="2"/>
  <c r="K44" i="2"/>
  <c r="L42" i="2"/>
  <c r="K42" i="2"/>
  <c r="L40" i="2"/>
  <c r="K40" i="2"/>
  <c r="L38" i="2"/>
  <c r="K38" i="2"/>
  <c r="L36" i="2"/>
  <c r="K36" i="2"/>
  <c r="K34" i="2"/>
  <c r="L32" i="2"/>
  <c r="K32" i="2"/>
  <c r="L30" i="2"/>
  <c r="K30" i="2"/>
  <c r="L28" i="2"/>
  <c r="K28" i="2"/>
  <c r="L26" i="2"/>
  <c r="K26" i="2"/>
  <c r="L24" i="2"/>
  <c r="K24" i="2"/>
  <c r="L22" i="2"/>
  <c r="K22" i="2"/>
  <c r="L20" i="2"/>
  <c r="K20" i="2"/>
  <c r="K18" i="2"/>
  <c r="L16" i="2"/>
  <c r="K16" i="2"/>
  <c r="L14" i="2"/>
  <c r="K14" i="2"/>
  <c r="L12" i="2"/>
  <c r="K12" i="2"/>
  <c r="L10" i="2"/>
  <c r="K10" i="2"/>
  <c r="L8" i="2"/>
  <c r="K8" i="2"/>
  <c r="L6" i="2"/>
  <c r="K6" i="2"/>
  <c r="L4" i="2"/>
  <c r="K4" i="2"/>
  <c r="L1706" i="2"/>
  <c r="L1702" i="2"/>
  <c r="L1698" i="2"/>
  <c r="L1694" i="2"/>
  <c r="L1690" i="2"/>
  <c r="L1686" i="2"/>
  <c r="L1682" i="2"/>
  <c r="L1678" i="2"/>
  <c r="L1674" i="2"/>
  <c r="L1670" i="2"/>
  <c r="L1666" i="2"/>
  <c r="L1662" i="2"/>
  <c r="L1658" i="2"/>
  <c r="L1654" i="2"/>
  <c r="L1650" i="2"/>
  <c r="L1646" i="2"/>
  <c r="L1642" i="2"/>
  <c r="L1638" i="2"/>
  <c r="L1634" i="2"/>
  <c r="L1630" i="2"/>
  <c r="L1626" i="2"/>
  <c r="L1622" i="2"/>
  <c r="L1618" i="2"/>
  <c r="L1614" i="2"/>
  <c r="L1610" i="2"/>
  <c r="L1606" i="2"/>
  <c r="L1602" i="2"/>
  <c r="L1598" i="2"/>
  <c r="L1594" i="2"/>
  <c r="L1590" i="2"/>
  <c r="L1586" i="2"/>
  <c r="L1582" i="2"/>
  <c r="L1578" i="2"/>
  <c r="L1574" i="2"/>
  <c r="L1570" i="2"/>
  <c r="L1566" i="2"/>
  <c r="L1562" i="2"/>
  <c r="L1558" i="2"/>
  <c r="L1554" i="2"/>
  <c r="L1550" i="2"/>
  <c r="L1546" i="2"/>
  <c r="L1542" i="2"/>
  <c r="L1538" i="2"/>
  <c r="L1534" i="2"/>
  <c r="L1530" i="2"/>
  <c r="L1526" i="2"/>
  <c r="L1522" i="2"/>
  <c r="L1518" i="2"/>
  <c r="L1514" i="2"/>
  <c r="L1510" i="2"/>
  <c r="L1506" i="2"/>
  <c r="L1502" i="2"/>
  <c r="L1498" i="2"/>
  <c r="L1494" i="2"/>
  <c r="L1490" i="2"/>
  <c r="L1486" i="2"/>
  <c r="L1482" i="2"/>
  <c r="L1478" i="2"/>
  <c r="L1474" i="2"/>
  <c r="L1470" i="2"/>
  <c r="L1466" i="2"/>
  <c r="L1462" i="2"/>
  <c r="L1458" i="2"/>
  <c r="L1454" i="2"/>
  <c r="L1450" i="2"/>
  <c r="L1446" i="2"/>
  <c r="L1442" i="2"/>
  <c r="L1438" i="2"/>
  <c r="L1434" i="2"/>
  <c r="L1430" i="2"/>
  <c r="L1426" i="2"/>
  <c r="L1422" i="2"/>
  <c r="L1418" i="2"/>
  <c r="L1414" i="2"/>
  <c r="L1410" i="2"/>
  <c r="L1406" i="2"/>
  <c r="L1402" i="2"/>
  <c r="L1398" i="2"/>
  <c r="L1394" i="2"/>
  <c r="L1390" i="2"/>
  <c r="L1386" i="2"/>
  <c r="L1382" i="2"/>
  <c r="L1378" i="2"/>
  <c r="L1374" i="2"/>
  <c r="L1370" i="2"/>
  <c r="L1366" i="2"/>
  <c r="L1362" i="2"/>
  <c r="L1358" i="2"/>
  <c r="L1354" i="2"/>
  <c r="L1350" i="2"/>
  <c r="L1346" i="2"/>
  <c r="L1342" i="2"/>
  <c r="L1338" i="2"/>
  <c r="L1334" i="2"/>
  <c r="L1330" i="2"/>
  <c r="L1326" i="2"/>
  <c r="L1322" i="2"/>
  <c r="L1318" i="2"/>
  <c r="L1314" i="2"/>
  <c r="L1310" i="2"/>
  <c r="L1306" i="2"/>
  <c r="L1302" i="2"/>
  <c r="L1298" i="2"/>
  <c r="L1294" i="2"/>
  <c r="L1290" i="2"/>
  <c r="L1286" i="2"/>
  <c r="L1282" i="2"/>
  <c r="L1278" i="2"/>
  <c r="L1274" i="2"/>
  <c r="L1270" i="2"/>
  <c r="L1266" i="2"/>
  <c r="L1262" i="2"/>
  <c r="L1258" i="2"/>
  <c r="L1254" i="2"/>
  <c r="L1250" i="2"/>
  <c r="L1246" i="2"/>
  <c r="L1242" i="2"/>
  <c r="L1238" i="2"/>
  <c r="L1234" i="2"/>
  <c r="L1230" i="2"/>
  <c r="L1226" i="2"/>
  <c r="L1222" i="2"/>
  <c r="L1218" i="2"/>
  <c r="L1214" i="2"/>
  <c r="L1210" i="2"/>
  <c r="L1206" i="2"/>
  <c r="L1202" i="2"/>
  <c r="L1198" i="2"/>
  <c r="L1194" i="2"/>
  <c r="L1190" i="2"/>
  <c r="L1186" i="2"/>
  <c r="L1182" i="2"/>
  <c r="L1178" i="2"/>
  <c r="L1174" i="2"/>
  <c r="L1170" i="2"/>
  <c r="L1166" i="2"/>
  <c r="L1162" i="2"/>
  <c r="L1158" i="2"/>
  <c r="L1154" i="2"/>
  <c r="L1150" i="2"/>
  <c r="L1146" i="2"/>
  <c r="L1142" i="2"/>
  <c r="L1138" i="2"/>
  <c r="L1134" i="2"/>
  <c r="L1130" i="2"/>
  <c r="L1126" i="2"/>
  <c r="L1122" i="2"/>
  <c r="L1118" i="2"/>
  <c r="L1114" i="2"/>
  <c r="L1110" i="2"/>
  <c r="L1106" i="2"/>
  <c r="L1102" i="2"/>
  <c r="L1098" i="2"/>
  <c r="L1094" i="2"/>
  <c r="L1090" i="2"/>
  <c r="L1086" i="2"/>
  <c r="L1082" i="2"/>
  <c r="L1078" i="2"/>
  <c r="L1074" i="2"/>
  <c r="L1070" i="2"/>
  <c r="L1066" i="2"/>
  <c r="L1062" i="2"/>
  <c r="L1058" i="2"/>
  <c r="L1054" i="2"/>
  <c r="L1050" i="2"/>
  <c r="L1046" i="2"/>
  <c r="L1042" i="2"/>
  <c r="L1038" i="2"/>
  <c r="L1034" i="2"/>
  <c r="L1030" i="2"/>
  <c r="L1026" i="2"/>
  <c r="L1022" i="2"/>
  <c r="L1018" i="2"/>
  <c r="L1014" i="2"/>
  <c r="L1010" i="2"/>
  <c r="L1006" i="2"/>
  <c r="L1002" i="2"/>
  <c r="L998" i="2"/>
  <c r="L994" i="2"/>
  <c r="L990" i="2"/>
  <c r="L986" i="2"/>
  <c r="L982" i="2"/>
  <c r="L978" i="2"/>
  <c r="L974" i="2"/>
  <c r="L970" i="2"/>
  <c r="L966" i="2"/>
  <c r="L962" i="2"/>
  <c r="L958" i="2"/>
  <c r="L954" i="2"/>
  <c r="L950" i="2"/>
  <c r="L946" i="2"/>
  <c r="L942" i="2"/>
  <c r="L162" i="2"/>
  <c r="K1704" i="2"/>
  <c r="K1700" i="2"/>
  <c r="K1696" i="2"/>
  <c r="K1692" i="2"/>
  <c r="K1688" i="2"/>
  <c r="K1684" i="2"/>
  <c r="K1680" i="2"/>
  <c r="K1676" i="2"/>
  <c r="K1672" i="2"/>
  <c r="K1668" i="2"/>
  <c r="K1664" i="2"/>
  <c r="K1660" i="2"/>
  <c r="K1656" i="2"/>
  <c r="K1652" i="2"/>
  <c r="K1648" i="2"/>
  <c r="K1644" i="2"/>
  <c r="K1640" i="2"/>
  <c r="K1636" i="2"/>
  <c r="K1632" i="2"/>
  <c r="K1628" i="2"/>
  <c r="K1624" i="2"/>
  <c r="K1620" i="2"/>
  <c r="K1616" i="2"/>
  <c r="K1612" i="2"/>
  <c r="K1608" i="2"/>
  <c r="K1604" i="2"/>
  <c r="K1600" i="2"/>
  <c r="K1596" i="2"/>
  <c r="K1592" i="2"/>
  <c r="K1588" i="2"/>
  <c r="K1584" i="2"/>
  <c r="K1580" i="2"/>
  <c r="K1576" i="2"/>
  <c r="K1572" i="2"/>
  <c r="K1568" i="2"/>
  <c r="K1564" i="2"/>
  <c r="K1560" i="2"/>
  <c r="K1556" i="2"/>
  <c r="K1552" i="2"/>
  <c r="K1548" i="2"/>
  <c r="K1544" i="2"/>
  <c r="K1540" i="2"/>
  <c r="K1536" i="2"/>
  <c r="K1532" i="2"/>
  <c r="K1528" i="2"/>
  <c r="K1524" i="2"/>
  <c r="K1520" i="2"/>
  <c r="K1516" i="2"/>
  <c r="K1512" i="2"/>
  <c r="K1508" i="2"/>
  <c r="K1504" i="2"/>
  <c r="K1500" i="2"/>
  <c r="K1496" i="2"/>
  <c r="K1492" i="2"/>
  <c r="K1488" i="2"/>
  <c r="K1484" i="2"/>
  <c r="K1480" i="2"/>
  <c r="K1476" i="2"/>
  <c r="K1472" i="2"/>
  <c r="K1468" i="2"/>
  <c r="K1464" i="2"/>
  <c r="K1460" i="2"/>
  <c r="K1456" i="2"/>
  <c r="K1452" i="2"/>
  <c r="K1448" i="2"/>
  <c r="K1444" i="2"/>
  <c r="K1440" i="2"/>
  <c r="K1436" i="2"/>
  <c r="K1432" i="2"/>
  <c r="K1428" i="2"/>
  <c r="K1424" i="2"/>
  <c r="K1420" i="2"/>
  <c r="K1416" i="2"/>
  <c r="K1412" i="2"/>
  <c r="K1408" i="2"/>
  <c r="K1404" i="2"/>
  <c r="K1400" i="2"/>
  <c r="K1396" i="2"/>
  <c r="K1392" i="2"/>
  <c r="K1388" i="2"/>
  <c r="K1384" i="2"/>
  <c r="K1380" i="2"/>
  <c r="K1376" i="2"/>
  <c r="K1372" i="2"/>
  <c r="K1368" i="2"/>
  <c r="K1364" i="2"/>
  <c r="K1360" i="2"/>
  <c r="K1356" i="2"/>
  <c r="K1352" i="2"/>
  <c r="K1348" i="2"/>
  <c r="K1344" i="2"/>
  <c r="K1340" i="2"/>
  <c r="K1336" i="2"/>
  <c r="K1332" i="2"/>
  <c r="K1328" i="2"/>
  <c r="K1324" i="2"/>
  <c r="K1320" i="2"/>
  <c r="K1316" i="2"/>
  <c r="K1312" i="2"/>
  <c r="K1308" i="2"/>
  <c r="K1304" i="2"/>
  <c r="K1300" i="2"/>
  <c r="K1296" i="2"/>
  <c r="K1292" i="2"/>
  <c r="K1288" i="2"/>
  <c r="K1284" i="2"/>
  <c r="K1280" i="2"/>
  <c r="K1276" i="2"/>
  <c r="K1272" i="2"/>
  <c r="K1268" i="2"/>
  <c r="K1264" i="2"/>
  <c r="K1260" i="2"/>
  <c r="K1256" i="2"/>
  <c r="K1252" i="2"/>
  <c r="K1248" i="2"/>
  <c r="K1244" i="2"/>
  <c r="K1240" i="2"/>
  <c r="K1236" i="2"/>
  <c r="K1232" i="2"/>
  <c r="K1228" i="2"/>
  <c r="K1224" i="2"/>
  <c r="K1220" i="2"/>
  <c r="K1216" i="2"/>
  <c r="K1212" i="2"/>
  <c r="K1208" i="2"/>
  <c r="K1204" i="2"/>
  <c r="K1200" i="2"/>
  <c r="K1196" i="2"/>
  <c r="K1192" i="2"/>
  <c r="K1188" i="2"/>
  <c r="K1184" i="2"/>
  <c r="K1180" i="2"/>
  <c r="K1176" i="2"/>
  <c r="K1172" i="2"/>
  <c r="K1168" i="2"/>
  <c r="K1164" i="2"/>
  <c r="K1160" i="2"/>
  <c r="K1156" i="2"/>
  <c r="K1152" i="2"/>
  <c r="K1148" i="2"/>
  <c r="K1144" i="2"/>
  <c r="K1140" i="2"/>
  <c r="K1136" i="2"/>
  <c r="K1132" i="2"/>
  <c r="K1128" i="2"/>
  <c r="K1124" i="2"/>
  <c r="K1120" i="2"/>
  <c r="K1116" i="2"/>
  <c r="K1112" i="2"/>
  <c r="K1108" i="2"/>
  <c r="K1104" i="2"/>
  <c r="K1100" i="2"/>
  <c r="K1096" i="2"/>
  <c r="K1092" i="2"/>
  <c r="K1088" i="2"/>
  <c r="K1084" i="2"/>
  <c r="K1080" i="2"/>
  <c r="K1076" i="2"/>
  <c r="K1072" i="2"/>
  <c r="K1068" i="2"/>
  <c r="K1064" i="2"/>
  <c r="K1060" i="2"/>
  <c r="K1056" i="2"/>
  <c r="K1052" i="2"/>
  <c r="K1048" i="2"/>
  <c r="K1044" i="2"/>
  <c r="K1040" i="2"/>
  <c r="K1036" i="2"/>
  <c r="K1032" i="2"/>
  <c r="K1028" i="2"/>
  <c r="K1024" i="2"/>
  <c r="K1020" i="2"/>
  <c r="K1016" i="2"/>
  <c r="K1012" i="2"/>
  <c r="K1008" i="2"/>
  <c r="K1004" i="2"/>
  <c r="K1000" i="2"/>
  <c r="K996" i="2"/>
  <c r="K992" i="2"/>
  <c r="K988" i="2"/>
  <c r="K984" i="2"/>
  <c r="K980" i="2"/>
  <c r="K976" i="2"/>
  <c r="K972" i="2"/>
  <c r="K968" i="2"/>
  <c r="K964" i="2"/>
  <c r="K960" i="2"/>
  <c r="K956" i="2"/>
  <c r="K952" i="2"/>
  <c r="K948" i="2"/>
  <c r="K944" i="2"/>
  <c r="K940" i="2"/>
  <c r="K938" i="2"/>
  <c r="K936" i="2"/>
  <c r="K934" i="2"/>
  <c r="K932" i="2"/>
  <c r="K930" i="2"/>
  <c r="K928" i="2"/>
  <c r="K926" i="2"/>
  <c r="K924" i="2"/>
  <c r="K922" i="2"/>
  <c r="K920" i="2"/>
  <c r="K918" i="2"/>
  <c r="K916" i="2"/>
  <c r="K914" i="2"/>
  <c r="K912" i="2"/>
  <c r="K910" i="2"/>
  <c r="K908" i="2"/>
  <c r="K906" i="2"/>
  <c r="K904" i="2"/>
  <c r="K902" i="2"/>
  <c r="K900" i="2"/>
  <c r="K898" i="2"/>
  <c r="K896" i="2"/>
  <c r="K894" i="2"/>
  <c r="K892" i="2"/>
  <c r="K890" i="2"/>
  <c r="K888" i="2"/>
  <c r="K886" i="2"/>
  <c r="K884" i="2"/>
  <c r="K882" i="2"/>
  <c r="K880" i="2"/>
  <c r="K878" i="2"/>
  <c r="K876" i="2"/>
  <c r="K874" i="2"/>
  <c r="K872" i="2"/>
  <c r="K870" i="2"/>
  <c r="K868" i="2"/>
  <c r="K866" i="2"/>
  <c r="K864" i="2"/>
  <c r="K862" i="2"/>
  <c r="K860" i="2"/>
  <c r="K858" i="2"/>
  <c r="K856" i="2"/>
  <c r="K854" i="2"/>
  <c r="K852" i="2"/>
  <c r="K850" i="2"/>
  <c r="K848" i="2"/>
  <c r="K846" i="2"/>
  <c r="K844" i="2"/>
  <c r="K842" i="2"/>
  <c r="K840" i="2"/>
  <c r="K838" i="2"/>
  <c r="K836" i="2"/>
  <c r="K834" i="2"/>
  <c r="K832" i="2"/>
  <c r="K830" i="2"/>
  <c r="K828" i="2"/>
  <c r="K826" i="2"/>
  <c r="K824" i="2"/>
  <c r="K822" i="2"/>
  <c r="K820" i="2"/>
  <c r="K818" i="2"/>
  <c r="K816" i="2"/>
  <c r="K814" i="2"/>
  <c r="K812" i="2"/>
  <c r="K810" i="2"/>
  <c r="K808" i="2"/>
  <c r="K806" i="2"/>
  <c r="K804" i="2"/>
  <c r="K802" i="2"/>
  <c r="K800" i="2"/>
  <c r="K798" i="2"/>
  <c r="K796" i="2"/>
  <c r="K794" i="2"/>
  <c r="K792" i="2"/>
  <c r="K790" i="2"/>
  <c r="K788" i="2"/>
  <c r="K786" i="2"/>
  <c r="K784" i="2"/>
  <c r="K782" i="2"/>
  <c r="K780" i="2"/>
  <c r="K778" i="2"/>
  <c r="K776" i="2"/>
  <c r="K774" i="2"/>
  <c r="K772" i="2"/>
  <c r="K770" i="2"/>
  <c r="K768" i="2"/>
  <c r="K766" i="2"/>
  <c r="K764" i="2"/>
  <c r="K762" i="2"/>
  <c r="K760" i="2"/>
  <c r="K758" i="2"/>
  <c r="K756" i="2"/>
  <c r="K754" i="2"/>
  <c r="K752" i="2"/>
  <c r="K750" i="2"/>
  <c r="K748" i="2"/>
  <c r="K746" i="2"/>
  <c r="K744" i="2"/>
  <c r="K742" i="2"/>
  <c r="K740" i="2"/>
  <c r="K738" i="2"/>
  <c r="K736" i="2"/>
  <c r="K734" i="2"/>
  <c r="K732" i="2"/>
  <c r="K730" i="2"/>
  <c r="K728" i="2"/>
  <c r="K726" i="2"/>
  <c r="K724" i="2"/>
  <c r="K722" i="2"/>
  <c r="K720" i="2"/>
  <c r="K718" i="2"/>
  <c r="K716" i="2"/>
  <c r="K714" i="2"/>
  <c r="K712" i="2"/>
  <c r="K710" i="2"/>
  <c r="K708" i="2"/>
  <c r="K706" i="2"/>
  <c r="K704" i="2"/>
  <c r="K702" i="2"/>
  <c r="K700" i="2"/>
  <c r="K698" i="2"/>
  <c r="K696" i="2"/>
  <c r="K694" i="2"/>
  <c r="K692" i="2"/>
  <c r="K690" i="2"/>
  <c r="K688" i="2"/>
  <c r="K686" i="2"/>
  <c r="K684" i="2"/>
  <c r="K682" i="2"/>
  <c r="K680" i="2"/>
  <c r="K678" i="2"/>
  <c r="K676" i="2"/>
  <c r="K674" i="2"/>
  <c r="K672" i="2"/>
  <c r="K670" i="2"/>
  <c r="K668" i="2"/>
  <c r="K666" i="2"/>
  <c r="K664" i="2"/>
  <c r="K662" i="2"/>
  <c r="K660" i="2"/>
  <c r="K658" i="2"/>
  <c r="K656" i="2"/>
  <c r="K654" i="2"/>
  <c r="K652" i="2"/>
  <c r="K650" i="2"/>
  <c r="K648" i="2"/>
  <c r="K646" i="2"/>
  <c r="K644" i="2"/>
  <c r="K642" i="2"/>
  <c r="K640" i="2"/>
  <c r="K638" i="2"/>
  <c r="K636" i="2"/>
  <c r="K634" i="2"/>
  <c r="K632" i="2"/>
  <c r="K630" i="2"/>
  <c r="K628" i="2"/>
  <c r="K626" i="2"/>
  <c r="K624" i="2"/>
  <c r="K622" i="2"/>
  <c r="K620" i="2"/>
  <c r="K618" i="2"/>
  <c r="K616" i="2"/>
  <c r="K614" i="2"/>
  <c r="K612" i="2"/>
  <c r="K610" i="2"/>
  <c r="K608" i="2"/>
  <c r="K606" i="2"/>
  <c r="K604" i="2"/>
  <c r="K602" i="2"/>
  <c r="K600" i="2"/>
  <c r="K598" i="2"/>
  <c r="K596" i="2"/>
  <c r="K594" i="2"/>
  <c r="K592" i="2"/>
  <c r="K590" i="2"/>
  <c r="K588" i="2"/>
  <c r="K586" i="2"/>
  <c r="K584" i="2"/>
  <c r="K582" i="2"/>
  <c r="K580" i="2"/>
  <c r="K578" i="2"/>
  <c r="K576" i="2"/>
  <c r="K574" i="2"/>
  <c r="K572" i="2"/>
  <c r="K570" i="2"/>
  <c r="K568" i="2"/>
  <c r="K566" i="2"/>
  <c r="K564" i="2"/>
  <c r="K562" i="2"/>
  <c r="K560" i="2"/>
  <c r="K558" i="2"/>
  <c r="K556" i="2"/>
  <c r="K554" i="2"/>
  <c r="K552" i="2"/>
  <c r="K550" i="2"/>
  <c r="K548" i="2"/>
  <c r="K546" i="2"/>
  <c r="K544" i="2"/>
  <c r="K542" i="2"/>
  <c r="K540" i="2"/>
  <c r="K538" i="2"/>
  <c r="K536" i="2"/>
  <c r="K534" i="2"/>
  <c r="K532" i="2"/>
  <c r="K530" i="2"/>
  <c r="K528" i="2"/>
  <c r="K526" i="2"/>
  <c r="K524" i="2"/>
  <c r="K522" i="2"/>
  <c r="K520" i="2"/>
  <c r="K518" i="2"/>
  <c r="K516" i="2"/>
  <c r="K514" i="2"/>
  <c r="K512" i="2"/>
  <c r="K510" i="2"/>
  <c r="K508" i="2"/>
  <c r="K506" i="2"/>
  <c r="K504" i="2"/>
  <c r="K502" i="2"/>
  <c r="K500" i="2"/>
  <c r="K498" i="2"/>
  <c r="K496" i="2"/>
  <c r="K494" i="2"/>
  <c r="K492" i="2"/>
  <c r="K490" i="2"/>
  <c r="K488" i="2"/>
  <c r="K486" i="2"/>
  <c r="K484" i="2"/>
  <c r="K482" i="2"/>
  <c r="K480" i="2"/>
  <c r="K478" i="2"/>
  <c r="K476" i="2"/>
  <c r="K474" i="2"/>
  <c r="K472" i="2"/>
  <c r="K470" i="2"/>
  <c r="K468" i="2"/>
  <c r="K466" i="2"/>
  <c r="K464" i="2"/>
  <c r="K462" i="2"/>
  <c r="K460" i="2"/>
  <c r="K458" i="2"/>
  <c r="K456" i="2"/>
  <c r="K454" i="2"/>
  <c r="K452" i="2"/>
  <c r="K450" i="2"/>
  <c r="K448" i="2"/>
  <c r="K446" i="2"/>
  <c r="K444" i="2"/>
  <c r="K442" i="2"/>
  <c r="K440" i="2"/>
  <c r="K438" i="2"/>
  <c r="K436" i="2"/>
  <c r="K434" i="2"/>
  <c r="K432" i="2"/>
  <c r="K430" i="2"/>
  <c r="K428" i="2"/>
  <c r="K426" i="2"/>
  <c r="K424" i="2"/>
  <c r="K422" i="2"/>
  <c r="K420" i="2"/>
  <c r="K418" i="2"/>
  <c r="K416" i="2"/>
  <c r="K414" i="2"/>
  <c r="K412" i="2"/>
  <c r="K410" i="2"/>
  <c r="K408" i="2"/>
  <c r="K406" i="2"/>
  <c r="K404" i="2"/>
  <c r="K402" i="2"/>
  <c r="K400" i="2"/>
  <c r="K398" i="2"/>
  <c r="K396" i="2"/>
  <c r="K394" i="2"/>
  <c r="K392" i="2"/>
  <c r="K390" i="2"/>
  <c r="K388" i="2"/>
  <c r="K386" i="2"/>
  <c r="K384" i="2"/>
  <c r="K382" i="2"/>
  <c r="K380" i="2"/>
  <c r="K378" i="2"/>
  <c r="K376" i="2"/>
  <c r="K374" i="2"/>
  <c r="K372" i="2"/>
  <c r="K370" i="2"/>
  <c r="K368" i="2"/>
  <c r="K366" i="2"/>
  <c r="K364" i="2"/>
  <c r="K362" i="2"/>
  <c r="K360" i="2"/>
  <c r="K358" i="2"/>
  <c r="K356" i="2"/>
  <c r="K354" i="2"/>
  <c r="K352" i="2"/>
  <c r="K350" i="2"/>
  <c r="K348" i="2"/>
  <c r="K346" i="2"/>
  <c r="K344" i="2"/>
  <c r="K342" i="2"/>
  <c r="K340" i="2"/>
  <c r="K338" i="2"/>
  <c r="K336" i="2"/>
  <c r="K334" i="2"/>
  <c r="K332" i="2"/>
  <c r="K330" i="2"/>
  <c r="K328" i="2"/>
  <c r="K326" i="2"/>
  <c r="K324" i="2"/>
  <c r="K322" i="2"/>
  <c r="K320" i="2"/>
  <c r="K318" i="2"/>
  <c r="K316" i="2"/>
  <c r="K314" i="2"/>
  <c r="K312" i="2"/>
  <c r="K310" i="2"/>
  <c r="K308" i="2"/>
  <c r="K306" i="2"/>
  <c r="K304" i="2"/>
  <c r="K302" i="2"/>
  <c r="K300" i="2"/>
  <c r="K298" i="2"/>
  <c r="K296" i="2"/>
  <c r="K294" i="2"/>
  <c r="K292" i="2"/>
  <c r="K290" i="2"/>
  <c r="K288" i="2"/>
  <c r="K286" i="2"/>
  <c r="K284" i="2"/>
  <c r="K282" i="2"/>
  <c r="K280" i="2"/>
  <c r="K278" i="2"/>
  <c r="K276" i="2"/>
  <c r="K274" i="2"/>
  <c r="K272" i="2"/>
  <c r="K270" i="2"/>
  <c r="K268" i="2"/>
  <c r="K266" i="2"/>
  <c r="K264" i="2"/>
  <c r="K262" i="2"/>
  <c r="K260" i="2"/>
  <c r="K258" i="2"/>
  <c r="K255" i="2"/>
  <c r="K251" i="2"/>
  <c r="K243" i="2"/>
  <c r="K239" i="2"/>
  <c r="K235" i="2"/>
  <c r="K227" i="2"/>
  <c r="K223" i="2"/>
  <c r="K219" i="2"/>
  <c r="K211" i="2"/>
  <c r="K207" i="2"/>
  <c r="K203" i="2"/>
  <c r="K195" i="2"/>
  <c r="K191" i="2"/>
  <c r="K187" i="2"/>
  <c r="K179" i="2"/>
  <c r="K175" i="2"/>
  <c r="K171" i="2"/>
  <c r="K167" i="2"/>
  <c r="K163" i="2"/>
  <c r="K159" i="2"/>
  <c r="K155" i="2"/>
  <c r="K151" i="2"/>
  <c r="K147" i="2"/>
  <c r="K143" i="2"/>
  <c r="K139" i="2"/>
  <c r="K135" i="2"/>
  <c r="K131" i="2"/>
  <c r="K127" i="2"/>
  <c r="K123" i="2"/>
  <c r="K119" i="2"/>
  <c r="K115" i="2"/>
  <c r="K111" i="2"/>
  <c r="K107" i="2"/>
  <c r="K103" i="2"/>
  <c r="K99" i="2"/>
  <c r="K95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K27" i="2"/>
  <c r="K23" i="2"/>
  <c r="K19" i="2"/>
  <c r="K15" i="2"/>
  <c r="K11" i="2"/>
  <c r="K7" i="2"/>
  <c r="K3" i="2"/>
  <c r="L146" i="2"/>
  <c r="L114" i="2"/>
  <c r="L82" i="2"/>
  <c r="L50" i="2"/>
  <c r="L18" i="2"/>
</calcChain>
</file>

<file path=xl/sharedStrings.xml><?xml version="1.0" encoding="utf-8"?>
<sst xmlns="http://schemas.openxmlformats.org/spreadsheetml/2006/main" count="28760" uniqueCount="3543">
  <si>
    <t>Company</t>
  </si>
  <si>
    <t>Post Money Value</t>
  </si>
  <si>
    <t>Total Equity Funding</t>
  </si>
  <si>
    <t>Lead Investors Include</t>
  </si>
  <si>
    <t>Country</t>
  </si>
  <si>
    <t>Continent</t>
  </si>
  <si>
    <t>OpenAI</t>
  </si>
  <si>
    <t>$840B</t>
  </si>
  <si>
    <t>$169B</t>
  </si>
  <si>
    <t>Amazon, NVIDIA</t>
  </si>
  <si>
    <t>United States</t>
  </si>
  <si>
    <t>North America</t>
  </si>
  <si>
    <t>SpaceX</t>
  </si>
  <si>
    <t>$800B</t>
  </si>
  <si>
    <t>$9B</t>
  </si>
  <si>
    <t>Andreessen Horowitz</t>
  </si>
  <si>
    <t>ByteDance</t>
  </si>
  <si>
    <t>$480B</t>
  </si>
  <si>
    <t>$8B</t>
  </si>
  <si>
    <t>Kohlberg Kravis Roberts Japan, Sequoia Capital</t>
  </si>
  <si>
    <t>China</t>
  </si>
  <si>
    <t>Asia</t>
  </si>
  <si>
    <t>Anthropic</t>
  </si>
  <si>
    <t>$380B</t>
  </si>
  <si>
    <t>$56B</t>
  </si>
  <si>
    <t>Coatue, D. E. Shaw &amp; Co.</t>
  </si>
  <si>
    <t>Stripe</t>
  </si>
  <si>
    <t>$159B</t>
  </si>
  <si>
    <t>Andreessen Horowitz, Baillie Gifford</t>
  </si>
  <si>
    <t>Ant Group</t>
  </si>
  <si>
    <t>$150B</t>
  </si>
  <si>
    <t>$19B</t>
  </si>
  <si>
    <t>GIC, Temasek Holdings</t>
  </si>
  <si>
    <t>Databricks</t>
  </si>
  <si>
    <t>$134B</t>
  </si>
  <si>
    <t>$20B</t>
  </si>
  <si>
    <t>Fidelity, Insight Partners</t>
  </si>
  <si>
    <t>Waymo</t>
  </si>
  <si>
    <t>$126B</t>
  </si>
  <si>
    <t>$27B</t>
  </si>
  <si>
    <t>Alphabet, Dragoneer Investment Group</t>
  </si>
  <si>
    <t>Reliance Retail</t>
  </si>
  <si>
    <t>$101B</t>
  </si>
  <si>
    <t>Abu Dhabi Investment Authority</t>
  </si>
  <si>
    <t>India</t>
  </si>
  <si>
    <t>Revolut</t>
  </si>
  <si>
    <t>$75B</t>
  </si>
  <si>
    <t>$2B</t>
  </si>
  <si>
    <t>Woodford Investment Management</t>
  </si>
  <si>
    <t>United Kingdom</t>
  </si>
  <si>
    <t>Europe</t>
  </si>
  <si>
    <t>Shein</t>
  </si>
  <si>
    <t>$66B</t>
  </si>
  <si>
    <t>$4B</t>
  </si>
  <si>
    <t>General Atlantic, HSG</t>
  </si>
  <si>
    <t>Reliance Jio</t>
  </si>
  <si>
    <t>$58B</t>
  </si>
  <si>
    <t>Google</t>
  </si>
  <si>
    <t>Canva</t>
  </si>
  <si>
    <t>$42B</t>
  </si>
  <si>
    <t>$580M</t>
  </si>
  <si>
    <t>Stack Capital</t>
  </si>
  <si>
    <t>Australia</t>
  </si>
  <si>
    <t>Oceania</t>
  </si>
  <si>
    <t>Checkout.com</t>
  </si>
  <si>
    <t>$40B</t>
  </si>
  <si>
    <t>Tiger Global Management</t>
  </si>
  <si>
    <t>Ripple</t>
  </si>
  <si>
    <t>$794M</t>
  </si>
  <si>
    <t>Brevan Howard Asset Management, Citadel Securities</t>
  </si>
  <si>
    <t>Figure</t>
  </si>
  <si>
    <t>$39B</t>
  </si>
  <si>
    <t>Parkway Venture Capital</t>
  </si>
  <si>
    <t>JUUL</t>
  </si>
  <si>
    <t>$38B</t>
  </si>
  <si>
    <t>$15B</t>
  </si>
  <si>
    <t>Altria</t>
  </si>
  <si>
    <t>Ramp</t>
  </si>
  <si>
    <t>$32B</t>
  </si>
  <si>
    <t>Lightspeed Venture Partners</t>
  </si>
  <si>
    <t>Safe Superintelligence</t>
  </si>
  <si>
    <t>$3B</t>
  </si>
  <si>
    <t>CoreNest Capital</t>
  </si>
  <si>
    <t>Fanatics</t>
  </si>
  <si>
    <t>$31B</t>
  </si>
  <si>
    <t>$5B</t>
  </si>
  <si>
    <t>Clearlake Capital Group</t>
  </si>
  <si>
    <t>Anduril Industries</t>
  </si>
  <si>
    <t>$6B</t>
  </si>
  <si>
    <t>AlphaTON Capital Corp.</t>
  </si>
  <si>
    <t>Cruise</t>
  </si>
  <si>
    <t>$30B</t>
  </si>
  <si>
    <t>General Motors</t>
  </si>
  <si>
    <t>Alibaba Bendi Shenghuo Fuwu Gongsi</t>
  </si>
  <si>
    <t>Alibaba Group, SoftBank Vision Fund</t>
  </si>
  <si>
    <t>VAST Data</t>
  </si>
  <si>
    <t>$881M</t>
  </si>
  <si>
    <t>Fidelity</t>
  </si>
  <si>
    <t>Anysphere</t>
  </si>
  <si>
    <t>$29B</t>
  </si>
  <si>
    <t>Accel, Coatue</t>
  </si>
  <si>
    <t>Scale</t>
  </si>
  <si>
    <t>$16B</t>
  </si>
  <si>
    <t>Meta</t>
  </si>
  <si>
    <t>OKX</t>
  </si>
  <si>
    <t>$25B</t>
  </si>
  <si>
    <t>$210M</t>
  </si>
  <si>
    <t>Intercontinental Exchange</t>
  </si>
  <si>
    <t>Seychelles</t>
  </si>
  <si>
    <t>Africa</t>
  </si>
  <si>
    <t>Cerebras Systems</t>
  </si>
  <si>
    <t>$23B</t>
  </si>
  <si>
    <t>Atreides Management, Fidelity</t>
  </si>
  <si>
    <t>Yangtze Memory Technologies</t>
  </si>
  <si>
    <t>$7B</t>
  </si>
  <si>
    <t>Wuhu Wenming Quanhong Investment Management</t>
  </si>
  <si>
    <t>Epic Games</t>
  </si>
  <si>
    <t>The Walt Disney Company</t>
  </si>
  <si>
    <t>BYJU'S</t>
  </si>
  <si>
    <t>$22B</t>
  </si>
  <si>
    <t>Qatar Investment Authority</t>
  </si>
  <si>
    <t>Envision Group</t>
  </si>
  <si>
    <t>$21B</t>
  </si>
  <si>
    <t>GIC, HSG</t>
  </si>
  <si>
    <t>Kraken</t>
  </si>
  <si>
    <t>$1B</t>
  </si>
  <si>
    <t>Citadel Securities, DRW Venture Capital</t>
  </si>
  <si>
    <t>FNZ</t>
  </si>
  <si>
    <t>CPP Investments, Generation Investment Management</t>
  </si>
  <si>
    <t>Perplexity</t>
  </si>
  <si>
    <t>Accel</t>
  </si>
  <si>
    <t>ChangXin Memory Technologies</t>
  </si>
  <si>
    <t>JD Digits</t>
  </si>
  <si>
    <t>$18B</t>
  </si>
  <si>
    <t>APOFCO, CICC</t>
  </si>
  <si>
    <t>Miro</t>
  </si>
  <si>
    <t>$476M</t>
  </si>
  <si>
    <t>ICONIQ Growth</t>
  </si>
  <si>
    <t>Deel</t>
  </si>
  <si>
    <t>$17B</t>
  </si>
  <si>
    <t>$982M</t>
  </si>
  <si>
    <t>Andreessen Horowitz, Coatue</t>
  </si>
  <si>
    <t>Xiaohongshu</t>
  </si>
  <si>
    <t>$918M</t>
  </si>
  <si>
    <t>Temasek Holdings, Tencent</t>
  </si>
  <si>
    <t>Yuanfudao</t>
  </si>
  <si>
    <t>YF Capital</t>
  </si>
  <si>
    <t>Rippling</t>
  </si>
  <si>
    <t>Coatue</t>
  </si>
  <si>
    <t>Trendyol Group</t>
  </si>
  <si>
    <t>General Atlantic, SoftBank Vision Fund</t>
  </si>
  <si>
    <t>Turkey</t>
  </si>
  <si>
    <t>Yinwang Smart Technology</t>
  </si>
  <si>
    <t>Seres Group</t>
  </si>
  <si>
    <t>Discord</t>
  </si>
  <si>
    <t>$983M</t>
  </si>
  <si>
    <t>Dragoneer Investment Group</t>
  </si>
  <si>
    <t>Genki Forest</t>
  </si>
  <si>
    <t>$721M</t>
  </si>
  <si>
    <t>Temasek Holdings</t>
  </si>
  <si>
    <t>CloudKitchens</t>
  </si>
  <si>
    <t>Public Investment Fund</t>
  </si>
  <si>
    <t>Bitmain</t>
  </si>
  <si>
    <t>$765M</t>
  </si>
  <si>
    <t>Crimson Ventures</t>
  </si>
  <si>
    <t>Applied Intuition</t>
  </si>
  <si>
    <t>BlackRock, Kleiner Perkins</t>
  </si>
  <si>
    <t>ClickHouse</t>
  </si>
  <si>
    <t>Trade Republic</t>
  </si>
  <si>
    <t>Ontario Teachers' Pension Plan</t>
  </si>
  <si>
    <t>Germany</t>
  </si>
  <si>
    <t>Nscale</t>
  </si>
  <si>
    <t>8090 Industries, Aker</t>
  </si>
  <si>
    <t>ArtIn Energy</t>
  </si>
  <si>
    <t>$255M</t>
  </si>
  <si>
    <t>Agila Investments</t>
  </si>
  <si>
    <t>PhonePe</t>
  </si>
  <si>
    <t>General Atlantic</t>
  </si>
  <si>
    <t>GAC Aion New Energy Automobile</t>
  </si>
  <si>
    <t>$14B</t>
  </si>
  <si>
    <t>TikTok USDS Joint Venture</t>
  </si>
  <si>
    <t>Skild AI</t>
  </si>
  <si>
    <t>SoftBank Group</t>
  </si>
  <si>
    <t>Helsing</t>
  </si>
  <si>
    <t>Prima Materia</t>
  </si>
  <si>
    <t>Mistral AI</t>
  </si>
  <si>
    <t>ASML</t>
  </si>
  <si>
    <t>France</t>
  </si>
  <si>
    <t>OpenSea</t>
  </si>
  <si>
    <t>$13B</t>
  </si>
  <si>
    <t>$427M</t>
  </si>
  <si>
    <t>Coatue, Paradigm</t>
  </si>
  <si>
    <t>Superhuman (formerly Grammarly)</t>
  </si>
  <si>
    <t>$400M</t>
  </si>
  <si>
    <t>Baillie Gifford, BlackRock</t>
  </si>
  <si>
    <t>Devoted Health</t>
  </si>
  <si>
    <t>The Space Between</t>
  </si>
  <si>
    <t>Celonis</t>
  </si>
  <si>
    <t>GoodLeap</t>
  </si>
  <si>
    <t>$12B</t>
  </si>
  <si>
    <t>Biosplice Therapeutics</t>
  </si>
  <si>
    <t>$778M</t>
  </si>
  <si>
    <t>aMoon Fund, Eventide</t>
  </si>
  <si>
    <t>Xingsheng Youxuan</t>
  </si>
  <si>
    <t>OpenEvidence</t>
  </si>
  <si>
    <t>$767M</t>
  </si>
  <si>
    <t>DST Global, Thrive Capital</t>
  </si>
  <si>
    <t>Thinking Machines Lab</t>
  </si>
  <si>
    <t>Northvolt</t>
  </si>
  <si>
    <t>La Caisse</t>
  </si>
  <si>
    <t>Sweden</t>
  </si>
  <si>
    <t>Airtable</t>
  </si>
  <si>
    <t>XN</t>
  </si>
  <si>
    <t>The Access Group</t>
  </si>
  <si>
    <t>Hg, TA Associates</t>
  </si>
  <si>
    <t>Whatnot</t>
  </si>
  <si>
    <t>$975M</t>
  </si>
  <si>
    <t>CapitalG, DST Global</t>
  </si>
  <si>
    <t>Bending Spoons</t>
  </si>
  <si>
    <t>$11B</t>
  </si>
  <si>
    <t>$616M</t>
  </si>
  <si>
    <t>T. Rowe Price</t>
  </si>
  <si>
    <t>Italy</t>
  </si>
  <si>
    <t>ElevenLabs</t>
  </si>
  <si>
    <t>$781M</t>
  </si>
  <si>
    <t>Sequoia Capital</t>
  </si>
  <si>
    <t>Notion</t>
  </si>
  <si>
    <t>$343M</t>
  </si>
  <si>
    <t>Coatue, Sequoia Capital</t>
  </si>
  <si>
    <t>Oura</t>
  </si>
  <si>
    <t>Finland</t>
  </si>
  <si>
    <t>Kalshi</t>
  </si>
  <si>
    <t>Tradeweb</t>
  </si>
  <si>
    <t>Bilt Rewards</t>
  </si>
  <si>
    <t>$813M</t>
  </si>
  <si>
    <t>General Catalyst, GID</t>
  </si>
  <si>
    <t>Quantinuum</t>
  </si>
  <si>
    <t>$900M</t>
  </si>
  <si>
    <t>NVentures</t>
  </si>
  <si>
    <t>Colossal Biosciences</t>
  </si>
  <si>
    <t>$10B</t>
  </si>
  <si>
    <t>$628M</t>
  </si>
  <si>
    <t>United Arab Emirates</t>
  </si>
  <si>
    <t>Cognition</t>
  </si>
  <si>
    <t>$896M</t>
  </si>
  <si>
    <t>Founders Fund</t>
  </si>
  <si>
    <t>Alchemy</t>
  </si>
  <si>
    <t>$564M</t>
  </si>
  <si>
    <t>C1Fund</t>
  </si>
  <si>
    <t>KuCoin</t>
  </si>
  <si>
    <t>$180M</t>
  </si>
  <si>
    <t>Susquehanna International Group</t>
  </si>
  <si>
    <t>Sierra</t>
  </si>
  <si>
    <t>$635M</t>
  </si>
  <si>
    <t>SoftBank Vision Fund</t>
  </si>
  <si>
    <t>Mercor</t>
  </si>
  <si>
    <t>$484M</t>
  </si>
  <si>
    <t>Felicis</t>
  </si>
  <si>
    <t>Crusoe</t>
  </si>
  <si>
    <t>Mubadala Capital, Valor Equity Partners</t>
  </si>
  <si>
    <t>Digital Currency Group</t>
  </si>
  <si>
    <t>OMERS Ventures</t>
  </si>
  <si>
    <t>Zuoyebang</t>
  </si>
  <si>
    <t>FountainVest Partners, Tiger Global Management</t>
  </si>
  <si>
    <t>Chehaoduo</t>
  </si>
  <si>
    <t>H Capital Advance, HSG</t>
  </si>
  <si>
    <t>Talkdesk</t>
  </si>
  <si>
    <t>$497M</t>
  </si>
  <si>
    <t>Transpose Platform Management</t>
  </si>
  <si>
    <t>Thrasio</t>
  </si>
  <si>
    <t>Advent International, Silver Lake</t>
  </si>
  <si>
    <t>Lalamove</t>
  </si>
  <si>
    <t>Hillhouse Investment, HSG</t>
  </si>
  <si>
    <t>Hong Kong</t>
  </si>
  <si>
    <t>Noon</t>
  </si>
  <si>
    <t>Saudi Arabia</t>
  </si>
  <si>
    <t>Mahindra Electric Automobile</t>
  </si>
  <si>
    <t>$388M</t>
  </si>
  <si>
    <t>Neuralink</t>
  </si>
  <si>
    <t>Gusto</t>
  </si>
  <si>
    <t>$746M</t>
  </si>
  <si>
    <t>Friends &amp; Family Capital</t>
  </si>
  <si>
    <t>Vercel</t>
  </si>
  <si>
    <t>$863M</t>
  </si>
  <si>
    <t>Accel, GIC</t>
  </si>
  <si>
    <t>Tata Passenger Electric Mobility</t>
  </si>
  <si>
    <t>$989M</t>
  </si>
  <si>
    <t>TPG Rise Climate Fund</t>
  </si>
  <si>
    <t>N26</t>
  </si>
  <si>
    <t>Coatue, Third Point Ventures</t>
  </si>
  <si>
    <t>Tanium</t>
  </si>
  <si>
    <t>$747M</t>
  </si>
  <si>
    <t>Salesforce Ventures</t>
  </si>
  <si>
    <t>Yanolja</t>
  </si>
  <si>
    <t>South Korea</t>
  </si>
  <si>
    <t>Octopus Energy Group</t>
  </si>
  <si>
    <t>Octopus Capital</t>
  </si>
  <si>
    <t>HeyTea</t>
  </si>
  <si>
    <t>$594M</t>
  </si>
  <si>
    <t>Coatue, Hillhouse Investment</t>
  </si>
  <si>
    <t>Polymarket</t>
  </si>
  <si>
    <t>Cyera</t>
  </si>
  <si>
    <t>Blackstone Group</t>
  </si>
  <si>
    <t>Niantic</t>
  </si>
  <si>
    <t>$770M</t>
  </si>
  <si>
    <t>EV Co</t>
  </si>
  <si>
    <t>$486M</t>
  </si>
  <si>
    <t>Ping An Healthcare Management</t>
  </si>
  <si>
    <t>SBI Group, SoftBank Vision Fund</t>
  </si>
  <si>
    <t>D1 Capital Partners</t>
  </si>
  <si>
    <t>Wayve</t>
  </si>
  <si>
    <t>Balderton Capital, Eclipse Ventures</t>
  </si>
  <si>
    <t>Gopuff</t>
  </si>
  <si>
    <t>Eldridge Industries, Valor Equity Partners</t>
  </si>
  <si>
    <t>Personio</t>
  </si>
  <si>
    <t>$724M</t>
  </si>
  <si>
    <t>Greenoaks</t>
  </si>
  <si>
    <t>Bolt</t>
  </si>
  <si>
    <t>Fidelity, Sequoia Capital</t>
  </si>
  <si>
    <t>Estonia</t>
  </si>
  <si>
    <t>Tipalti</t>
  </si>
  <si>
    <t>$549M</t>
  </si>
  <si>
    <t>G Squared</t>
  </si>
  <si>
    <t>The CrownX</t>
  </si>
  <si>
    <t>$750M</t>
  </si>
  <si>
    <t>Alibaba Group, BPEA EQT</t>
  </si>
  <si>
    <t>Vietnam</t>
  </si>
  <si>
    <t>Odoo</t>
  </si>
  <si>
    <t>$512M</t>
  </si>
  <si>
    <t>Belgium</t>
  </si>
  <si>
    <t>Plaid</t>
  </si>
  <si>
    <t>Franklin Templeton</t>
  </si>
  <si>
    <t>DJI</t>
  </si>
  <si>
    <t>$105M</t>
  </si>
  <si>
    <t>Flexport</t>
  </si>
  <si>
    <t>Shopify</t>
  </si>
  <si>
    <t>Fireblocks</t>
  </si>
  <si>
    <t>D1 Capital Partners, Spark Capital</t>
  </si>
  <si>
    <t>THG Ingenuity</t>
  </si>
  <si>
    <t>SoftBank</t>
  </si>
  <si>
    <t>Airwallex</t>
  </si>
  <si>
    <t>Addition</t>
  </si>
  <si>
    <t>Sierra Space</t>
  </si>
  <si>
    <t>LuminArx Capital Management LP</t>
  </si>
  <si>
    <t>FalconX</t>
  </si>
  <si>
    <t>$474M</t>
  </si>
  <si>
    <t>B Capital, GIC</t>
  </si>
  <si>
    <t>StarkWare Industries</t>
  </si>
  <si>
    <t>$261M</t>
  </si>
  <si>
    <t>Alameda Research, Coatue</t>
  </si>
  <si>
    <t>Israel</t>
  </si>
  <si>
    <t>Harvey</t>
  </si>
  <si>
    <t>Reflection AI</t>
  </si>
  <si>
    <t>NVIDIA</t>
  </si>
  <si>
    <t>HAEGIN</t>
  </si>
  <si>
    <t>$129M</t>
  </si>
  <si>
    <t>Dream11</t>
  </si>
  <si>
    <t>Alpha Wave Global, D1 Capital Partners</t>
  </si>
  <si>
    <t>CALB</t>
  </si>
  <si>
    <t>AutoStore</t>
  </si>
  <si>
    <t>Norway</t>
  </si>
  <si>
    <t>Jiedaibao</t>
  </si>
  <si>
    <t>$694M</t>
  </si>
  <si>
    <t>Dapper Labs</t>
  </si>
  <si>
    <t>$613M</t>
  </si>
  <si>
    <t>Canada</t>
  </si>
  <si>
    <t>Zipline</t>
  </si>
  <si>
    <t>iCapital</t>
  </si>
  <si>
    <t>SurgoCap Partners, T. Rowe Price</t>
  </si>
  <si>
    <t>Flock Safety</t>
  </si>
  <si>
    <t>$656M</t>
  </si>
  <si>
    <t>Playlist</t>
  </si>
  <si>
    <t>$785M</t>
  </si>
  <si>
    <t>Affinity Partners</t>
  </si>
  <si>
    <t>Upgrade</t>
  </si>
  <si>
    <t>$752M</t>
  </si>
  <si>
    <t>Neuberger Berman</t>
  </si>
  <si>
    <t>Snyk</t>
  </si>
  <si>
    <t>ServiceNow</t>
  </si>
  <si>
    <t>Carta</t>
  </si>
  <si>
    <t>Silver Lake</t>
  </si>
  <si>
    <t>Kakao Japan</t>
  </si>
  <si>
    <t>$652M</t>
  </si>
  <si>
    <t>Anchor Equity Partners</t>
  </si>
  <si>
    <t>Japan</t>
  </si>
  <si>
    <t>Gong</t>
  </si>
  <si>
    <t>$583M</t>
  </si>
  <si>
    <t>Glean</t>
  </si>
  <si>
    <t>$768M</t>
  </si>
  <si>
    <t>Wellington Management</t>
  </si>
  <si>
    <t>Wealthsimple</t>
  </si>
  <si>
    <t>Dragoneer Investment Group, GIC</t>
  </si>
  <si>
    <t>Blockchain.com</t>
  </si>
  <si>
    <t>$600M</t>
  </si>
  <si>
    <t>Kingsway Capital</t>
  </si>
  <si>
    <t>ConsenSys</t>
  </si>
  <si>
    <t>$660M</t>
  </si>
  <si>
    <t>Ro</t>
  </si>
  <si>
    <t>ShawSpring Partners</t>
  </si>
  <si>
    <t>Meicai</t>
  </si>
  <si>
    <t>Hillhouse Investment, Shunwei Capital</t>
  </si>
  <si>
    <t>Constellation Automotive Group</t>
  </si>
  <si>
    <t>Attentive</t>
  </si>
  <si>
    <t>PsiQuantum</t>
  </si>
  <si>
    <t>OGBC Group</t>
  </si>
  <si>
    <t>Cohesity</t>
  </si>
  <si>
    <t>$810M</t>
  </si>
  <si>
    <t>The Carlyle Group</t>
  </si>
  <si>
    <t>Wonder</t>
  </si>
  <si>
    <t>New Enterprise Associates</t>
  </si>
  <si>
    <t>Cohere</t>
  </si>
  <si>
    <t>Business Development Bank of Canada, Nexxus Capital Management</t>
  </si>
  <si>
    <t>NYDIG</t>
  </si>
  <si>
    <t>WestCap</t>
  </si>
  <si>
    <t>Impossible Foods</t>
  </si>
  <si>
    <t>Mirae Asset</t>
  </si>
  <si>
    <t>The Boring Company</t>
  </si>
  <si>
    <t>$908M</t>
  </si>
  <si>
    <t>Sequoia Capital, Vy Capital</t>
  </si>
  <si>
    <t>Zepto</t>
  </si>
  <si>
    <t>CalPERS</t>
  </si>
  <si>
    <t>Toss</t>
  </si>
  <si>
    <t>Tonic Private Equity</t>
  </si>
  <si>
    <t>Groq</t>
  </si>
  <si>
    <t>Disruptive</t>
  </si>
  <si>
    <t>1Password</t>
  </si>
  <si>
    <t>$920M</t>
  </si>
  <si>
    <t>Automation Anywhere</t>
  </si>
  <si>
    <t>$853M</t>
  </si>
  <si>
    <t>Arctic Ventures, Mindrock Capital</t>
  </si>
  <si>
    <t>WeDoctor</t>
  </si>
  <si>
    <t>HSG, Millennium Management</t>
  </si>
  <si>
    <t>Ola</t>
  </si>
  <si>
    <t>Arrow Capital Partners, Axis Asset Management Company</t>
  </si>
  <si>
    <t>Ziroom</t>
  </si>
  <si>
    <t>Lovable</t>
  </si>
  <si>
    <t>$552M</t>
  </si>
  <si>
    <t>CapitalG, Menlo Ventures</t>
  </si>
  <si>
    <t>Razorpay</t>
  </si>
  <si>
    <t>$742M</t>
  </si>
  <si>
    <t>Alkeon Capital, Lone Pine Capital</t>
  </si>
  <si>
    <t>Snapdeal</t>
  </si>
  <si>
    <t>Anand Piramal</t>
  </si>
  <si>
    <t>Mollie</t>
  </si>
  <si>
    <t>$928M</t>
  </si>
  <si>
    <t>The Netherlands</t>
  </si>
  <si>
    <t>Doctolib</t>
  </si>
  <si>
    <t>$815M</t>
  </si>
  <si>
    <t>Eurazeo</t>
  </si>
  <si>
    <t>GTA Semiconductor</t>
  </si>
  <si>
    <t>SAIC Venture Capital</t>
  </si>
  <si>
    <t>DataRobot</t>
  </si>
  <si>
    <t>Altimeter Capital, Tiger Global Management</t>
  </si>
  <si>
    <t>Hello TransTech</t>
  </si>
  <si>
    <t>Alibaba Group</t>
  </si>
  <si>
    <t>Benchling</t>
  </si>
  <si>
    <t>$412M</t>
  </si>
  <si>
    <t>Altimeter Capital, Franklin Templeton</t>
  </si>
  <si>
    <t>Redwood Materials</t>
  </si>
  <si>
    <t>Eclipse Ventures</t>
  </si>
  <si>
    <t>CMC</t>
  </si>
  <si>
    <t>Alibaba Group, Tencent</t>
  </si>
  <si>
    <t>Lianjia</t>
  </si>
  <si>
    <t>Vanke</t>
  </si>
  <si>
    <t>Changxin New Bridge</t>
  </si>
  <si>
    <t>China Integrated Circuit Industry Investment Fund (CICF)</t>
  </si>
  <si>
    <t>Nuro</t>
  </si>
  <si>
    <t>Commure</t>
  </si>
  <si>
    <t>$821M</t>
  </si>
  <si>
    <t>General Catalyst</t>
  </si>
  <si>
    <t>Grafana Labs</t>
  </si>
  <si>
    <t>$805M</t>
  </si>
  <si>
    <t>Animoca Brands</t>
  </si>
  <si>
    <t>$811M</t>
  </si>
  <si>
    <t>Futureverse</t>
  </si>
  <si>
    <t>Monzo</t>
  </si>
  <si>
    <t>CapitalG</t>
  </si>
  <si>
    <t>Lyra Health</t>
  </si>
  <si>
    <t>$910M</t>
  </si>
  <si>
    <t>Verkada</t>
  </si>
  <si>
    <t>$664M</t>
  </si>
  <si>
    <t>SandboxAQ</t>
  </si>
  <si>
    <t>$950M</t>
  </si>
  <si>
    <t>Leclercq American Capital</t>
  </si>
  <si>
    <t>Cityblock Health</t>
  </si>
  <si>
    <t>$891M</t>
  </si>
  <si>
    <t>Workato</t>
  </si>
  <si>
    <t>$415M</t>
  </si>
  <si>
    <t>Battery Ventures</t>
  </si>
  <si>
    <t>Back Market</t>
  </si>
  <si>
    <t>Sprints</t>
  </si>
  <si>
    <t>RELEX Solutions</t>
  </si>
  <si>
    <t>$803M</t>
  </si>
  <si>
    <t>BP</t>
  </si>
  <si>
    <t>Postman</t>
  </si>
  <si>
    <t>$433M</t>
  </si>
  <si>
    <t>Insight Partners</t>
  </si>
  <si>
    <t>Fivetran</t>
  </si>
  <si>
    <t>$728M</t>
  </si>
  <si>
    <t>Contentsquare</t>
  </si>
  <si>
    <t>Sixth Street</t>
  </si>
  <si>
    <t>Physical Intelligence</t>
  </si>
  <si>
    <t>SVOLT</t>
  </si>
  <si>
    <t>Bank of China Group Investment</t>
  </si>
  <si>
    <t>Mambu</t>
  </si>
  <si>
    <t>$448M</t>
  </si>
  <si>
    <t>EQT</t>
  </si>
  <si>
    <t>Biocon Biologics</t>
  </si>
  <si>
    <t>$482M</t>
  </si>
  <si>
    <t>Serum Life Sciences</t>
  </si>
  <si>
    <t>Vuori</t>
  </si>
  <si>
    <t>$445M</t>
  </si>
  <si>
    <t>Apptronik</t>
  </si>
  <si>
    <t>$964M</t>
  </si>
  <si>
    <t>B Capital, Google</t>
  </si>
  <si>
    <t>Harness</t>
  </si>
  <si>
    <t>$570M</t>
  </si>
  <si>
    <t>Goldman Sachs</t>
  </si>
  <si>
    <t>Helion Energy</t>
  </si>
  <si>
    <t>Nucor Corporation</t>
  </si>
  <si>
    <t>Vinted</t>
  </si>
  <si>
    <t>$562M</t>
  </si>
  <si>
    <t>Lithuania</t>
  </si>
  <si>
    <t>Rappi</t>
  </si>
  <si>
    <t>Amazon</t>
  </si>
  <si>
    <t>Colombia</t>
  </si>
  <si>
    <t>South America</t>
  </si>
  <si>
    <t>Runway</t>
  </si>
  <si>
    <t>$860M</t>
  </si>
  <si>
    <t>Abridge</t>
  </si>
  <si>
    <t>$758M</t>
  </si>
  <si>
    <t>Andreessen Horowitz, Khosla Ventures</t>
  </si>
  <si>
    <t>Shield AI</t>
  </si>
  <si>
    <t>Hanwha Aerospace, L3Harris Technologies</t>
  </si>
  <si>
    <t>Collibra</t>
  </si>
  <si>
    <t>$597M</t>
  </si>
  <si>
    <t>Sequoia Capital Global Equities, Sofina</t>
  </si>
  <si>
    <t>Xiaodu</t>
  </si>
  <si>
    <t>China Structural Reform Fund</t>
  </si>
  <si>
    <t>Faire</t>
  </si>
  <si>
    <t>6sense</t>
  </si>
  <si>
    <t>$426M</t>
  </si>
  <si>
    <t>Blue Owl, MSD Partners</t>
  </si>
  <si>
    <t>MTN Group Fintech</t>
  </si>
  <si>
    <t>$199M</t>
  </si>
  <si>
    <t>Mastercard</t>
  </si>
  <si>
    <t>South Africa</t>
  </si>
  <si>
    <t>SambaNova</t>
  </si>
  <si>
    <t>Cambium Capital Partners, Vista Equity Partners</t>
  </si>
  <si>
    <t>Abnormal AI</t>
  </si>
  <si>
    <t>$534M</t>
  </si>
  <si>
    <t>QuintoAndar</t>
  </si>
  <si>
    <t>$755M</t>
  </si>
  <si>
    <t>4equity - Media Ventures</t>
  </si>
  <si>
    <t>Brazil</t>
  </si>
  <si>
    <t>Infinite Reality</t>
  </si>
  <si>
    <t>$350M</t>
  </si>
  <si>
    <t>United Imaging Healthcare</t>
  </si>
  <si>
    <t>$503M</t>
  </si>
  <si>
    <t>SDIC Fund Management</t>
  </si>
  <si>
    <t>C6 Bank</t>
  </si>
  <si>
    <t>JP Morgan Chase</t>
  </si>
  <si>
    <t>Didi Woya</t>
  </si>
  <si>
    <t>Guangzhou Automobile Group</t>
  </si>
  <si>
    <t>Hopper</t>
  </si>
  <si>
    <t>$695M</t>
  </si>
  <si>
    <t>Capital One Ventures</t>
  </si>
  <si>
    <t>OfBusiness</t>
  </si>
  <si>
    <t>Cornerstone Ventures</t>
  </si>
  <si>
    <t>VerSe Innovation</t>
  </si>
  <si>
    <t>CPP Investments, Google</t>
  </si>
  <si>
    <t>Moon Active</t>
  </si>
  <si>
    <t>Zepz</t>
  </si>
  <si>
    <t>$882M</t>
  </si>
  <si>
    <t>WeBank</t>
  </si>
  <si>
    <t>$183M</t>
  </si>
  <si>
    <t>Tencent</t>
  </si>
  <si>
    <t>WeWork China</t>
  </si>
  <si>
    <t>Trustbridge Partners</t>
  </si>
  <si>
    <t>Royole Corporation</t>
  </si>
  <si>
    <t>$492M</t>
  </si>
  <si>
    <t>Yingke Capital</t>
  </si>
  <si>
    <t>Cockroach Labs</t>
  </si>
  <si>
    <t>$633M</t>
  </si>
  <si>
    <t>PointClickCare</t>
  </si>
  <si>
    <t>$230M</t>
  </si>
  <si>
    <t>Hellman &amp; Friedman</t>
  </si>
  <si>
    <t>ShareChat</t>
  </si>
  <si>
    <t>Times Internet</t>
  </si>
  <si>
    <t>Coalition</t>
  </si>
  <si>
    <t>Mitsui Sumitomo Insurance Company</t>
  </si>
  <si>
    <t>Skims</t>
  </si>
  <si>
    <t>$963M</t>
  </si>
  <si>
    <t>Goldman Sachs Alternatives</t>
  </si>
  <si>
    <t>Dream Games</t>
  </si>
  <si>
    <t>CVC Capital Partners</t>
  </si>
  <si>
    <t>Metropolis</t>
  </si>
  <si>
    <t>LionTree</t>
  </si>
  <si>
    <t>NinjaOne</t>
  </si>
  <si>
    <t>$762M</t>
  </si>
  <si>
    <t>CapitalG, ICONIQ Growth</t>
  </si>
  <si>
    <t>Mynt</t>
  </si>
  <si>
    <t>$475M</t>
  </si>
  <si>
    <t>Bow Wave Capital Management, Insight Partners</t>
  </si>
  <si>
    <t>Philippines</t>
  </si>
  <si>
    <t>Clio</t>
  </si>
  <si>
    <t>Temporal Technologies</t>
  </si>
  <si>
    <t>$650M</t>
  </si>
  <si>
    <t>Island</t>
  </si>
  <si>
    <t>Etched.ai</t>
  </si>
  <si>
    <t>$625M</t>
  </si>
  <si>
    <t>Stripes</t>
  </si>
  <si>
    <t>DataDirect Networks</t>
  </si>
  <si>
    <t>$310M</t>
  </si>
  <si>
    <t>Baseten</t>
  </si>
  <si>
    <t>$585M</t>
  </si>
  <si>
    <t>CapitalG, IVP</t>
  </si>
  <si>
    <t>Beast Industries</t>
  </si>
  <si>
    <t>Bitmine Immersion Technologies</t>
  </si>
  <si>
    <t>Supabase</t>
  </si>
  <si>
    <t>$539M</t>
  </si>
  <si>
    <t>Accel, Peak XV Partners</t>
  </si>
  <si>
    <t>Tempo</t>
  </si>
  <si>
    <t>$500M</t>
  </si>
  <si>
    <t>Greenoaks, Thrive Capital</t>
  </si>
  <si>
    <t>Sunwoda Electric Vehicle Battery</t>
  </si>
  <si>
    <t>GAC Group, Li Auto</t>
  </si>
  <si>
    <t>Fuse Energy</t>
  </si>
  <si>
    <t>$170M</t>
  </si>
  <si>
    <t>Balderton Capital, Lowercarbon Capital</t>
  </si>
  <si>
    <t>Cerebral</t>
  </si>
  <si>
    <t>$487M</t>
  </si>
  <si>
    <t>Cato Networks</t>
  </si>
  <si>
    <t>ION Crossover Partners, Vitruvian Partners</t>
  </si>
  <si>
    <t>Reify Health</t>
  </si>
  <si>
    <t>$479M</t>
  </si>
  <si>
    <t>Altimeter Capital, Coatue</t>
  </si>
  <si>
    <t>Chipone Technology</t>
  </si>
  <si>
    <t>Oceanpine Capital</t>
  </si>
  <si>
    <t>Qonto</t>
  </si>
  <si>
    <t>$710M</t>
  </si>
  <si>
    <t>TCV</t>
  </si>
  <si>
    <t>BetterUp</t>
  </si>
  <si>
    <t>ICONIQ Growth, Lightspeed Venture Partners</t>
  </si>
  <si>
    <t>Binance.US</t>
  </si>
  <si>
    <t>$200M</t>
  </si>
  <si>
    <t>Pleo</t>
  </si>
  <si>
    <t>$428M</t>
  </si>
  <si>
    <t>Denmark</t>
  </si>
  <si>
    <t>Sonar</t>
  </si>
  <si>
    <t>$457M</t>
  </si>
  <si>
    <t>Advent International, General Catalyst</t>
  </si>
  <si>
    <t>Switzerland</t>
  </si>
  <si>
    <t>Checkr</t>
  </si>
  <si>
    <t>$740M</t>
  </si>
  <si>
    <t>Durable Capital Partners</t>
  </si>
  <si>
    <t>Color</t>
  </si>
  <si>
    <t>Kindred Ventures, T. Rowe Price</t>
  </si>
  <si>
    <t>Wireless Logic</t>
  </si>
  <si>
    <t>$62M</t>
  </si>
  <si>
    <t>Montagu</t>
  </si>
  <si>
    <t>Lendable</t>
  </si>
  <si>
    <t>$286M</t>
  </si>
  <si>
    <t>wefox</t>
  </si>
  <si>
    <t>Deutsche Bank, UniCredit</t>
  </si>
  <si>
    <t>GrubMarket</t>
  </si>
  <si>
    <t>$599M</t>
  </si>
  <si>
    <t>Future Food Fund</t>
  </si>
  <si>
    <t>Advanced Machine Intelligence</t>
  </si>
  <si>
    <t>Bezos Expeditions, Cathay Innovation</t>
  </si>
  <si>
    <t>iFood</t>
  </si>
  <si>
    <t>$592M</t>
  </si>
  <si>
    <t>Movile, Prosus</t>
  </si>
  <si>
    <t>Rapyd</t>
  </si>
  <si>
    <t>Tal Ventures, Target Global</t>
  </si>
  <si>
    <t>OneTrust</t>
  </si>
  <si>
    <t>Generation Investment Management</t>
  </si>
  <si>
    <t>Socure</t>
  </si>
  <si>
    <t>$647M</t>
  </si>
  <si>
    <t>Accel, T. Rowe Price</t>
  </si>
  <si>
    <t>VIPKID</t>
  </si>
  <si>
    <t>Hugging Face</t>
  </si>
  <si>
    <t>$395M</t>
  </si>
  <si>
    <t>Tabby</t>
  </si>
  <si>
    <t>$604M</t>
  </si>
  <si>
    <t>Blue Pool Capital, Hassana Investment Company (HIC)</t>
  </si>
  <si>
    <t>Tricentis</t>
  </si>
  <si>
    <t>GTCR</t>
  </si>
  <si>
    <t>Chaos</t>
  </si>
  <si>
    <t>Valor Equity Partners</t>
  </si>
  <si>
    <t>Decagon</t>
  </si>
  <si>
    <t>$481M</t>
  </si>
  <si>
    <t>Coatue, Index Ventures</t>
  </si>
  <si>
    <t>Fal</t>
  </si>
  <si>
    <t>$337M</t>
  </si>
  <si>
    <t>Quince</t>
  </si>
  <si>
    <t>ICONIQ Capital</t>
  </si>
  <si>
    <t>Unconventional AI</t>
  </si>
  <si>
    <t>Andreessen Horowitz, Lightspeed Venture Partners</t>
  </si>
  <si>
    <t>Manner</t>
  </si>
  <si>
    <t>Longzhu Capital</t>
  </si>
  <si>
    <t>humans&amp;</t>
  </si>
  <si>
    <t>$480M</t>
  </si>
  <si>
    <t>Georges Harik, SV Angel</t>
  </si>
  <si>
    <t>Alan</t>
  </si>
  <si>
    <t>Belfius Bank</t>
  </si>
  <si>
    <t>Zhiji Auto</t>
  </si>
  <si>
    <t>Bank of China Financial Assets Investment</t>
  </si>
  <si>
    <t>Ruipeng Pet Healthcare</t>
  </si>
  <si>
    <t>$37M</t>
  </si>
  <si>
    <t>NestlÃ© Health Science</t>
  </si>
  <si>
    <t>Outreach</t>
  </si>
  <si>
    <t>$489M</t>
  </si>
  <si>
    <t>Premji Invest, Steadfast Capital Management</t>
  </si>
  <si>
    <t>Guild</t>
  </si>
  <si>
    <t>$643M</t>
  </si>
  <si>
    <t>Lightmatter</t>
  </si>
  <si>
    <t>$822M</t>
  </si>
  <si>
    <t>Erebor</t>
  </si>
  <si>
    <t>Lux Capital</t>
  </si>
  <si>
    <t>OutSystems</t>
  </si>
  <si>
    <t>$802M</t>
  </si>
  <si>
    <t>Kohlberg Kravis Roberts &amp; Co.</t>
  </si>
  <si>
    <t>Sorare</t>
  </si>
  <si>
    <t>$739M</t>
  </si>
  <si>
    <t>Arctic Wolf</t>
  </si>
  <si>
    <t>$498M</t>
  </si>
  <si>
    <t>Blue Owl Capital Corporation</t>
  </si>
  <si>
    <t>Entrata</t>
  </si>
  <si>
    <t>$707M</t>
  </si>
  <si>
    <t>Moonshot AI</t>
  </si>
  <si>
    <t>IDG Capital</t>
  </si>
  <si>
    <t>Liftoff</t>
  </si>
  <si>
    <t>$7M</t>
  </si>
  <si>
    <t>Voyah</t>
  </si>
  <si>
    <t>$702M</t>
  </si>
  <si>
    <t>Kakao Mobility</t>
  </si>
  <si>
    <t>GS Retail</t>
  </si>
  <si>
    <t>G-P/Globalization Partners</t>
  </si>
  <si>
    <t>Vista Credit Partners</t>
  </si>
  <si>
    <t>ThoughtSpot</t>
  </si>
  <si>
    <t>March Capital</t>
  </si>
  <si>
    <t>Relativity Space</t>
  </si>
  <si>
    <t>Anchorage Digital</t>
  </si>
  <si>
    <t>Pennylane</t>
  </si>
  <si>
    <t>$441M</t>
  </si>
  <si>
    <t>Blackstone Group, TCV</t>
  </si>
  <si>
    <t>Vanta</t>
  </si>
  <si>
    <t>Hithium Energy Storage</t>
  </si>
  <si>
    <t>$899M</t>
  </si>
  <si>
    <t>Beijing Financial Street Capital Operation Center, China Life Private Equity Investment</t>
  </si>
  <si>
    <t>SSENSE</t>
  </si>
  <si>
    <t>HSG</t>
  </si>
  <si>
    <t>Bitpanda</t>
  </si>
  <si>
    <t>$554M</t>
  </si>
  <si>
    <t>Valar Ventures</t>
  </si>
  <si>
    <t>Austria</t>
  </si>
  <si>
    <t>Dataminr</t>
  </si>
  <si>
    <t>HSBC, NightDragon</t>
  </si>
  <si>
    <t>AngelList</t>
  </si>
  <si>
    <t>Accomplice, Tiger Global Management</t>
  </si>
  <si>
    <t>SumUp</t>
  </si>
  <si>
    <t>Weee!</t>
  </si>
  <si>
    <t>Firmus Technologies</t>
  </si>
  <si>
    <t>$617M</t>
  </si>
  <si>
    <t>MAAS Group</t>
  </si>
  <si>
    <t>Saronic</t>
  </si>
  <si>
    <t>$845M</t>
  </si>
  <si>
    <t>Elad Gil</t>
  </si>
  <si>
    <t>Fireworks AI</t>
  </si>
  <si>
    <t>$307M</t>
  </si>
  <si>
    <t>Evantic Capital, Index Ventures</t>
  </si>
  <si>
    <t>Eon</t>
  </si>
  <si>
    <t>Gil Capital</t>
  </si>
  <si>
    <t>Base Power</t>
  </si>
  <si>
    <t>Luma AI</t>
  </si>
  <si>
    <t>HUMAIN</t>
  </si>
  <si>
    <t>Branch</t>
  </si>
  <si>
    <t>$667M</t>
  </si>
  <si>
    <t>Yuga Labs</t>
  </si>
  <si>
    <t>$450M</t>
  </si>
  <si>
    <t>a16z crypto</t>
  </si>
  <si>
    <t>Houzz</t>
  </si>
  <si>
    <t>$614M</t>
  </si>
  <si>
    <t>BrowserStack</t>
  </si>
  <si>
    <t>$250M</t>
  </si>
  <si>
    <t>Bond</t>
  </si>
  <si>
    <t>Ireland</t>
  </si>
  <si>
    <t>Clubhouse</t>
  </si>
  <si>
    <t>$110M</t>
  </si>
  <si>
    <t>Andreessen Horowitz, Tiger Global Management</t>
  </si>
  <si>
    <t>ClickUp</t>
  </si>
  <si>
    <t>$535M</t>
  </si>
  <si>
    <t>Patreon</t>
  </si>
  <si>
    <t>$413M</t>
  </si>
  <si>
    <t>MEGVII</t>
  </si>
  <si>
    <t>Aurora Solar</t>
  </si>
  <si>
    <t>$523M</t>
  </si>
  <si>
    <t>Coatue, Energize Capital</t>
  </si>
  <si>
    <t>Zapier</t>
  </si>
  <si>
    <t>$1M</t>
  </si>
  <si>
    <t>insightsoftware</t>
  </si>
  <si>
    <t>Hg</t>
  </si>
  <si>
    <t>Ricursive Intelligence</t>
  </si>
  <si>
    <t>$335M</t>
  </si>
  <si>
    <t>Sword Health</t>
  </si>
  <si>
    <t>$366M</t>
  </si>
  <si>
    <t>The Brandtech Group</t>
  </si>
  <si>
    <t>$725M</t>
  </si>
  <si>
    <t>Chrysalis Investments</t>
  </si>
  <si>
    <t>AlphaSense</t>
  </si>
  <si>
    <t>BDT &amp; MSD Partners, Viking Global Investors</t>
  </si>
  <si>
    <t>Radiology Partners</t>
  </si>
  <si>
    <t>Starr Investment Holdings</t>
  </si>
  <si>
    <t>Synthesia</t>
  </si>
  <si>
    <t>$537M</t>
  </si>
  <si>
    <t>Google Ventures</t>
  </si>
  <si>
    <t>Inflection AI</t>
  </si>
  <si>
    <t>Bill Gates, Eric Schmidt</t>
  </si>
  <si>
    <t>Webflow</t>
  </si>
  <si>
    <t>Y Combinator Continuity Fund</t>
  </si>
  <si>
    <t>Tekion</t>
  </si>
  <si>
    <t>Aptos</t>
  </si>
  <si>
    <t>YZi Labs</t>
  </si>
  <si>
    <t>Hozon</t>
  </si>
  <si>
    <t>CRRC, Shenzhen Capital Group</t>
  </si>
  <si>
    <t>Medlinker</t>
  </si>
  <si>
    <t>Sino Biopharmaceutical</t>
  </si>
  <si>
    <t>Farmers Business Network</t>
  </si>
  <si>
    <t>$968M</t>
  </si>
  <si>
    <t>Yunwang Wandian</t>
  </si>
  <si>
    <t>$912M</t>
  </si>
  <si>
    <t>Shenzhen Capital Group</t>
  </si>
  <si>
    <t>StockX</t>
  </si>
  <si>
    <t>$495M</t>
  </si>
  <si>
    <t>Altimeter Capital</t>
  </si>
  <si>
    <t>Ayar Labs</t>
  </si>
  <si>
    <t>$872M</t>
  </si>
  <si>
    <t>OYO</t>
  </si>
  <si>
    <t>Redsprig Innovation Partners</t>
  </si>
  <si>
    <t>Qontigo</t>
  </si>
  <si>
    <t>$720M</t>
  </si>
  <si>
    <t>ENOVATE Motors</t>
  </si>
  <si>
    <t>Waabi</t>
  </si>
  <si>
    <t>G2 Venture Partners, Khosla Ventures</t>
  </si>
  <si>
    <t>Dutchie</t>
  </si>
  <si>
    <t>$603M</t>
  </si>
  <si>
    <t>Articulate</t>
  </si>
  <si>
    <t>Avride</t>
  </si>
  <si>
    <t>$800M</t>
  </si>
  <si>
    <t>Nebius Group, Uber</t>
  </si>
  <si>
    <t>Dataiku</t>
  </si>
  <si>
    <t>$847M</t>
  </si>
  <si>
    <t>Papaya Global</t>
  </si>
  <si>
    <t>$440M</t>
  </si>
  <si>
    <t>Noom</t>
  </si>
  <si>
    <t>$659M</t>
  </si>
  <si>
    <t>Goat Group</t>
  </si>
  <si>
    <t>$493M</t>
  </si>
  <si>
    <t>Park West Asset Management</t>
  </si>
  <si>
    <t>o9 Solutions</t>
  </si>
  <si>
    <t>$533M</t>
  </si>
  <si>
    <t>Beyond Net Zero</t>
  </si>
  <si>
    <t>Relativity</t>
  </si>
  <si>
    <t>$125M</t>
  </si>
  <si>
    <t>WHOOP</t>
  </si>
  <si>
    <t>$404M</t>
  </si>
  <si>
    <t>SpotOn</t>
  </si>
  <si>
    <t>Learneo</t>
  </si>
  <si>
    <t>$477M</t>
  </si>
  <si>
    <t>Aptean</t>
  </si>
  <si>
    <t>$50M</t>
  </si>
  <si>
    <t>Upstox</t>
  </si>
  <si>
    <t>$143M</t>
  </si>
  <si>
    <t>Hippocratic AI</t>
  </si>
  <si>
    <t>$402M</t>
  </si>
  <si>
    <t>Avenir</t>
  </si>
  <si>
    <t>Celestia</t>
  </si>
  <si>
    <t>$157M</t>
  </si>
  <si>
    <t>Bain Capital Crypto</t>
  </si>
  <si>
    <t>Liechtenstein</t>
  </si>
  <si>
    <t>Chainguard</t>
  </si>
  <si>
    <t>$612M</t>
  </si>
  <si>
    <t>IVP, Kleiner Perkins</t>
  </si>
  <si>
    <t>Vultr</t>
  </si>
  <si>
    <t>$333M</t>
  </si>
  <si>
    <t>AMD Ventures, LuminArx Capital Management LP</t>
  </si>
  <si>
    <t>CRED</t>
  </si>
  <si>
    <t>$874M</t>
  </si>
  <si>
    <t>Lathe Investment</t>
  </si>
  <si>
    <t>Handshake</t>
  </si>
  <si>
    <t>$434M</t>
  </si>
  <si>
    <t>Coatue, Valiant Peregrine Fund</t>
  </si>
  <si>
    <t>Rec Room</t>
  </si>
  <si>
    <t>$294M</t>
  </si>
  <si>
    <t>Chargebee</t>
  </si>
  <si>
    <t>$468M</t>
  </si>
  <si>
    <t>Peak XV Partners, Tiger Global Management</t>
  </si>
  <si>
    <t>Mirakl</t>
  </si>
  <si>
    <t>$948M</t>
  </si>
  <si>
    <t>Aledade</t>
  </si>
  <si>
    <t>$678M</t>
  </si>
  <si>
    <t>Rokt</t>
  </si>
  <si>
    <t>Mercury</t>
  </si>
  <si>
    <t>$452M</t>
  </si>
  <si>
    <t>Cribl</t>
  </si>
  <si>
    <t>$602M</t>
  </si>
  <si>
    <t>Quantum Systems</t>
  </si>
  <si>
    <t>$566M</t>
  </si>
  <si>
    <t>T.Capital</t>
  </si>
  <si>
    <t>Innovaccer</t>
  </si>
  <si>
    <t>$654M</t>
  </si>
  <si>
    <t>Mubadala Capital Ventures</t>
  </si>
  <si>
    <t>Unacademy</t>
  </si>
  <si>
    <t>$789M</t>
  </si>
  <si>
    <t>Baichuan Intelligence</t>
  </si>
  <si>
    <t>GoStudent</t>
  </si>
  <si>
    <t>$780M</t>
  </si>
  <si>
    <t>Prosus</t>
  </si>
  <si>
    <t>MoonPay</t>
  </si>
  <si>
    <t>$680M</t>
  </si>
  <si>
    <t>Coatue, Tiger Global Management</t>
  </si>
  <si>
    <t>Hive Box</t>
  </si>
  <si>
    <t>Asia Forge (Cayman), Trustbridge Partners</t>
  </si>
  <si>
    <t>ReliaQuest</t>
  </si>
  <si>
    <t>$830M</t>
  </si>
  <si>
    <t>EQT, FTV Capital</t>
  </si>
  <si>
    <t>Improbable</t>
  </si>
  <si>
    <t>$854M</t>
  </si>
  <si>
    <t>Metaverse, MultiversX</t>
  </si>
  <si>
    <t>Starburst</t>
  </si>
  <si>
    <t>$414M</t>
  </si>
  <si>
    <t>Citi</t>
  </si>
  <si>
    <t>Starling Bank</t>
  </si>
  <si>
    <t>$956M</t>
  </si>
  <si>
    <t>Zhizi Automobile</t>
  </si>
  <si>
    <t>$150M</t>
  </si>
  <si>
    <t>Enterprise Mixed Ownership Reform Fund, SASAC</t>
  </si>
  <si>
    <t>Together AI</t>
  </si>
  <si>
    <t>General Catalyst, Prosperity7 Ventures</t>
  </si>
  <si>
    <t>Uber Freight</t>
  </si>
  <si>
    <t>Greenbriar Equity Group</t>
  </si>
  <si>
    <t>Spring Health</t>
  </si>
  <si>
    <t>$467M</t>
  </si>
  <si>
    <t>Creditas</t>
  </si>
  <si>
    <t>Andbank</t>
  </si>
  <si>
    <t>Komodo Health</t>
  </si>
  <si>
    <t>$514M</t>
  </si>
  <si>
    <t>Carbon Health</t>
  </si>
  <si>
    <t>$623M</t>
  </si>
  <si>
    <t>CVS Health Ventures</t>
  </si>
  <si>
    <t>Sinovac Life Sciences</t>
  </si>
  <si>
    <t>CARS24</t>
  </si>
  <si>
    <t>Global Car Group</t>
  </si>
  <si>
    <t>Du Xiaoman Financial</t>
  </si>
  <si>
    <t>TPG</t>
  </si>
  <si>
    <t>Zhuzhou CRRC Times Semiconductor</t>
  </si>
  <si>
    <t>$28M</t>
  </si>
  <si>
    <t>Zhuzhou CRRC Times Electric</t>
  </si>
  <si>
    <t>Blockdaemon</t>
  </si>
  <si>
    <t>$431M</t>
  </si>
  <si>
    <t>Sapphire Ventures, Tiger Global Management</t>
  </si>
  <si>
    <t>Addepar</t>
  </si>
  <si>
    <t>$761M</t>
  </si>
  <si>
    <t>Vitruvian Partners, WestCap</t>
  </si>
  <si>
    <t>Judi Health</t>
  </si>
  <si>
    <t>$588M</t>
  </si>
  <si>
    <t>General Catalyst, Wellington Management</t>
  </si>
  <si>
    <t>Black Forest Labs</t>
  </si>
  <si>
    <t>AMP, Salesforce Ventures</t>
  </si>
  <si>
    <t>Qi An Xin</t>
  </si>
  <si>
    <t>$536M</t>
  </si>
  <si>
    <t>Everest Venture Capital</t>
  </si>
  <si>
    <t>Wanda E-Commerce</t>
  </si>
  <si>
    <t>WANDA Group</t>
  </si>
  <si>
    <t>Aiven</t>
  </si>
  <si>
    <t>$420M</t>
  </si>
  <si>
    <t>Retool</t>
  </si>
  <si>
    <t>$141M</t>
  </si>
  <si>
    <t>UalÃ¡</t>
  </si>
  <si>
    <t>Allianz X</t>
  </si>
  <si>
    <t>Argentina</t>
  </si>
  <si>
    <t>Eruditus Executive Education</t>
  </si>
  <si>
    <t>$741M</t>
  </si>
  <si>
    <t>The Rise Fund</t>
  </si>
  <si>
    <t>Blockstream</t>
  </si>
  <si>
    <t>$299M</t>
  </si>
  <si>
    <t>Fulgur Ventures</t>
  </si>
  <si>
    <t>Thumbtack</t>
  </si>
  <si>
    <t>$698M</t>
  </si>
  <si>
    <t>Cedar</t>
  </si>
  <si>
    <t>$394M</t>
  </si>
  <si>
    <t>Memorial Hermann Foundation</t>
  </si>
  <si>
    <t>ApplyBoard</t>
  </si>
  <si>
    <t>Ironclad</t>
  </si>
  <si>
    <t>$334M</t>
  </si>
  <si>
    <t>China UnionPay Merchant Services</t>
  </si>
  <si>
    <t>$319M</t>
  </si>
  <si>
    <t>Everbright-IDG Industrial Fund</t>
  </si>
  <si>
    <t>Etraveli</t>
  </si>
  <si>
    <t>Clay</t>
  </si>
  <si>
    <t>$202M</t>
  </si>
  <si>
    <t>Decart</t>
  </si>
  <si>
    <t>$156M</t>
  </si>
  <si>
    <t>Benchmark</t>
  </si>
  <si>
    <t>Plata</t>
  </si>
  <si>
    <t>$410M</t>
  </si>
  <si>
    <t>Kora, Moore Strategic Ventures</t>
  </si>
  <si>
    <t>Mexico</t>
  </si>
  <si>
    <t>HighRadius</t>
  </si>
  <si>
    <t>D1 Capital Partners, Tiger Global Management</t>
  </si>
  <si>
    <t>Nuvemshop</t>
  </si>
  <si>
    <t>Insight Partners, Tiger Global Management</t>
  </si>
  <si>
    <t>Zetwerk</t>
  </si>
  <si>
    <t>$754M</t>
  </si>
  <si>
    <t>ARC Investments, Oriental Biotech</t>
  </si>
  <si>
    <t>Lionheart Studio</t>
  </si>
  <si>
    <t>$9M</t>
  </si>
  <si>
    <t>Kakao Games, Wemade</t>
  </si>
  <si>
    <t>Group14 Technologies</t>
  </si>
  <si>
    <t>SK</t>
  </si>
  <si>
    <t>iCIMS</t>
  </si>
  <si>
    <t>$93M</t>
  </si>
  <si>
    <t>TA Associates</t>
  </si>
  <si>
    <t>iFIT</t>
  </si>
  <si>
    <t>L Catterton</t>
  </si>
  <si>
    <t>Remote</t>
  </si>
  <si>
    <t>$496M</t>
  </si>
  <si>
    <t>Replit</t>
  </si>
  <si>
    <t>$472M</t>
  </si>
  <si>
    <t>Prysm Capital</t>
  </si>
  <si>
    <t>KK Group</t>
  </si>
  <si>
    <t>JD.com</t>
  </si>
  <si>
    <t>Grab Financial Group</t>
  </si>
  <si>
    <t>Hanwha Asset Management</t>
  </si>
  <si>
    <t>Singapore</t>
  </si>
  <si>
    <t>Alibaba Music</t>
  </si>
  <si>
    <t>PingCAP</t>
  </si>
  <si>
    <t>$642M</t>
  </si>
  <si>
    <t>GGV Capital, Sequoia Capital</t>
  </si>
  <si>
    <t>Poolside</t>
  </si>
  <si>
    <t>$626M</t>
  </si>
  <si>
    <t>Bain Capital Ventures</t>
  </si>
  <si>
    <t>Parloa</t>
  </si>
  <si>
    <t>Filevine</t>
  </si>
  <si>
    <t>$636M</t>
  </si>
  <si>
    <t>Accel, Halo Experience Company</t>
  </si>
  <si>
    <t>HistoSonics</t>
  </si>
  <si>
    <t>Founders Fund, Thiel Bio</t>
  </si>
  <si>
    <t>Claroty</t>
  </si>
  <si>
    <t>$890M</t>
  </si>
  <si>
    <t>Golub Growth</t>
  </si>
  <si>
    <t>Nord Security</t>
  </si>
  <si>
    <t>Warburg Pincus</t>
  </si>
  <si>
    <t>Phantom</t>
  </si>
  <si>
    <t>$268M</t>
  </si>
  <si>
    <t>Paradigm, Sequoia Capital</t>
  </si>
  <si>
    <t>LayerZero Labs</t>
  </si>
  <si>
    <t>$351M</t>
  </si>
  <si>
    <t>Tether</t>
  </si>
  <si>
    <t>Sentry</t>
  </si>
  <si>
    <t>$217M</t>
  </si>
  <si>
    <t>Accel, Bond</t>
  </si>
  <si>
    <t>Human Interest</t>
  </si>
  <si>
    <t>Morgan Stanley Tactical Value</t>
  </si>
  <si>
    <t>Amber Group</t>
  </si>
  <si>
    <t>Fenbushi Capital</t>
  </si>
  <si>
    <t>Flutterwave</t>
  </si>
  <si>
    <t>B Capital</t>
  </si>
  <si>
    <t>Tinder</t>
  </si>
  <si>
    <t>Cross River Bank</t>
  </si>
  <si>
    <t>$775M</t>
  </si>
  <si>
    <t>Andreessen Horowitz, Eldridge Industries</t>
  </si>
  <si>
    <t>Bird</t>
  </si>
  <si>
    <t>Spark Capital</t>
  </si>
  <si>
    <t>LaunchDarkly</t>
  </si>
  <si>
    <t>$330M</t>
  </si>
  <si>
    <t>Lead Edge Capital</t>
  </si>
  <si>
    <t>Automattic</t>
  </si>
  <si>
    <t>$859M</t>
  </si>
  <si>
    <t>Alta Park Capital, BlackRock</t>
  </si>
  <si>
    <t>Contentful</t>
  </si>
  <si>
    <t>Calendly</t>
  </si>
  <si>
    <t>OpenView</t>
  </si>
  <si>
    <t>Podium</t>
  </si>
  <si>
    <t>$423M</t>
  </si>
  <si>
    <t>Lucid Software</t>
  </si>
  <si>
    <t>Wildlife Studios</t>
  </si>
  <si>
    <t>$260M</t>
  </si>
  <si>
    <t>Vulcan Capital</t>
  </si>
  <si>
    <t>FlixBus</t>
  </si>
  <si>
    <t>Canyon Partners</t>
  </si>
  <si>
    <t>Paytm Mall</t>
  </si>
  <si>
    <t>$795M</t>
  </si>
  <si>
    <t>eBay</t>
  </si>
  <si>
    <t>Age of Learning</t>
  </si>
  <si>
    <t>ofo</t>
  </si>
  <si>
    <t>TradingView</t>
  </si>
  <si>
    <t>$389M</t>
  </si>
  <si>
    <t>Smash Capital</t>
  </si>
  <si>
    <t>Seismic</t>
  </si>
  <si>
    <t>$447M</t>
  </si>
  <si>
    <t>Permira</t>
  </si>
  <si>
    <t>ActiveCampaign</t>
  </si>
  <si>
    <t>$360M</t>
  </si>
  <si>
    <t>Didi Freight</t>
  </si>
  <si>
    <t>CPE, IDG Capital</t>
  </si>
  <si>
    <t>VANCL</t>
  </si>
  <si>
    <t>$522M</t>
  </si>
  <si>
    <t>Jun Lei</t>
  </si>
  <si>
    <t>Forter</t>
  </si>
  <si>
    <t>$525M</t>
  </si>
  <si>
    <t>Miaopai</t>
  </si>
  <si>
    <t>SINA, Weibo</t>
  </si>
  <si>
    <t>Outschool</t>
  </si>
  <si>
    <t>$240M</t>
  </si>
  <si>
    <t>Bond, Tiger Global Management</t>
  </si>
  <si>
    <t>Lattice</t>
  </si>
  <si>
    <t>Dragoneer Investment Group, Thrive Capital</t>
  </si>
  <si>
    <t>CMR Surgical</t>
  </si>
  <si>
    <t>Ally Bridge Group, SoftBank Vision Fund</t>
  </si>
  <si>
    <t>Grow Therapy</t>
  </si>
  <si>
    <t>$298M</t>
  </si>
  <si>
    <t>Goldman Sachs Growth Equity, TCV</t>
  </si>
  <si>
    <t>K2 Space</t>
  </si>
  <si>
    <t>Redpoint</t>
  </si>
  <si>
    <t>Saviynt</t>
  </si>
  <si>
    <t>$870M</t>
  </si>
  <si>
    <t>ABB E-Mobility</t>
  </si>
  <si>
    <t>$358M</t>
  </si>
  <si>
    <t>Yipin Fresh</t>
  </si>
  <si>
    <t>Capital Today, Tencent</t>
  </si>
  <si>
    <t>Souche</t>
  </si>
  <si>
    <t>5Y Capital, Primavera Capital Group</t>
  </si>
  <si>
    <t>Kunlun Core</t>
  </si>
  <si>
    <t>Beijing Artificial Intelligence Industry Investment Fund</t>
  </si>
  <si>
    <t>KoBold Metals</t>
  </si>
  <si>
    <t>Durable Capital Partners, T. Rowe Price</t>
  </si>
  <si>
    <t>DuerOS</t>
  </si>
  <si>
    <t>$295M</t>
  </si>
  <si>
    <t>Terminus Technologies</t>
  </si>
  <si>
    <t>Microware</t>
  </si>
  <si>
    <t>Galaxy Bot</t>
  </si>
  <si>
    <t>China Mobile Chain Builder Fund</t>
  </si>
  <si>
    <t>RigUp</t>
  </si>
  <si>
    <t>$722M</t>
  </si>
  <si>
    <t>Baillie Gifford</t>
  </si>
  <si>
    <t>Loft</t>
  </si>
  <si>
    <t>$888M</t>
  </si>
  <si>
    <t>DriveWealth</t>
  </si>
  <si>
    <t>$551M</t>
  </si>
  <si>
    <t>Accel, Insight Partners</t>
  </si>
  <si>
    <t>BharatPe</t>
  </si>
  <si>
    <t>Motive</t>
  </si>
  <si>
    <t>$717M</t>
  </si>
  <si>
    <t>Kleiner Perkins</t>
  </si>
  <si>
    <t>Sungrow New Energy</t>
  </si>
  <si>
    <t>$119M</t>
  </si>
  <si>
    <t>Icertis</t>
  </si>
  <si>
    <t>$341M</t>
  </si>
  <si>
    <t>OakNorth</t>
  </si>
  <si>
    <t>OnePay</t>
  </si>
  <si>
    <t>Ribbit Capital, Walmart</t>
  </si>
  <si>
    <t>ICEYE</t>
  </si>
  <si>
    <t>Infra.Market</t>
  </si>
  <si>
    <t>$578M</t>
  </si>
  <si>
    <t>Nikhil Kamathâ€™s family office, NKSQUARED</t>
  </si>
  <si>
    <t>MUSINSA</t>
  </si>
  <si>
    <t>$508M</t>
  </si>
  <si>
    <t>Rakuten Securities</t>
  </si>
  <si>
    <t>Traveloka</t>
  </si>
  <si>
    <t>PTT Oil and Retail Business Public Company</t>
  </si>
  <si>
    <t>Indonesia</t>
  </si>
  <si>
    <t>Illumio</t>
  </si>
  <si>
    <t>$558M</t>
  </si>
  <si>
    <t>Thoma Bravo</t>
  </si>
  <si>
    <t>MasterClass</t>
  </si>
  <si>
    <t>$461M</t>
  </si>
  <si>
    <t>Avatr</t>
  </si>
  <si>
    <t>Changan Automobile</t>
  </si>
  <si>
    <t>Transmit Security</t>
  </si>
  <si>
    <t>General Atlantic, Insight Partners</t>
  </si>
  <si>
    <t>Nextiva</t>
  </si>
  <si>
    <t>Goldman Sachs Asset Management</t>
  </si>
  <si>
    <t>Karrot Market</t>
  </si>
  <si>
    <t>$235M</t>
  </si>
  <si>
    <t>DST Global</t>
  </si>
  <si>
    <t>Thought Machine</t>
  </si>
  <si>
    <t>X-energy</t>
  </si>
  <si>
    <t>HiBob</t>
  </si>
  <si>
    <t>$574M</t>
  </si>
  <si>
    <t>Alpha Wave Global, Farallon Capital Management</t>
  </si>
  <si>
    <t>Perk (formerly TravelPerk)</t>
  </si>
  <si>
    <t>$731M</t>
  </si>
  <si>
    <t>Atomico, EQT</t>
  </si>
  <si>
    <t>Spain</t>
  </si>
  <si>
    <t>Tenstorrent</t>
  </si>
  <si>
    <t>AFW Partners, Samsung Securities</t>
  </si>
  <si>
    <t>Tridge</t>
  </si>
  <si>
    <t>$114M</t>
  </si>
  <si>
    <t>DS Asset Management</t>
  </si>
  <si>
    <t>Backbase</t>
  </si>
  <si>
    <t>$127M</t>
  </si>
  <si>
    <t>Motive Partners</t>
  </si>
  <si>
    <t>Airtel Mobile Commerce BV</t>
  </si>
  <si>
    <t>$300M</t>
  </si>
  <si>
    <t>Sourcegraph</t>
  </si>
  <si>
    <t>$248M</t>
  </si>
  <si>
    <t>JumpCloud</t>
  </si>
  <si>
    <t>$407M</t>
  </si>
  <si>
    <t>Sapphire Ventures</t>
  </si>
  <si>
    <t>project44</t>
  </si>
  <si>
    <t>$943M</t>
  </si>
  <si>
    <t>A.P. Moller Holding, Generation Investment Management</t>
  </si>
  <si>
    <t>Axonius</t>
  </si>
  <si>
    <t>$595M</t>
  </si>
  <si>
    <t>Accel, Lightspeed Venture Partners</t>
  </si>
  <si>
    <t>Clari</t>
  </si>
  <si>
    <t>Plume Design</t>
  </si>
  <si>
    <t>$697M</t>
  </si>
  <si>
    <t>Pendo</t>
  </si>
  <si>
    <t>$367M</t>
  </si>
  <si>
    <t>Suning Sports</t>
  </si>
  <si>
    <t>Alibaba Group, Goldman Sachs</t>
  </si>
  <si>
    <t>ManoMano</t>
  </si>
  <si>
    <t>$706M</t>
  </si>
  <si>
    <t>Quantexa</t>
  </si>
  <si>
    <t>$545M</t>
  </si>
  <si>
    <t>Teachersâ€™ Venture Growth</t>
  </si>
  <si>
    <t>unico IDtech</t>
  </si>
  <si>
    <t>General Atlantic, SOFTBANK Latin America Ventures</t>
  </si>
  <si>
    <t>Moglix</t>
  </si>
  <si>
    <t>Alpha Wave Global, Tiger Global Management</t>
  </si>
  <si>
    <t>Sakana AI</t>
  </si>
  <si>
    <t>$368M</t>
  </si>
  <si>
    <t>Fujian Deer Technology</t>
  </si>
  <si>
    <t>National Manufacturing Transformation and Upgrading Fund</t>
  </si>
  <si>
    <t>Jusda</t>
  </si>
  <si>
    <t>$356M</t>
  </si>
  <si>
    <t>China Life Insurance, CICC</t>
  </si>
  <si>
    <t>Chainalysis</t>
  </si>
  <si>
    <t>Side</t>
  </si>
  <si>
    <t>$264M</t>
  </si>
  <si>
    <t>Somatus</t>
  </si>
  <si>
    <t>$465M</t>
  </si>
  <si>
    <t>SiFive</t>
  </si>
  <si>
    <t>Games24x7</t>
  </si>
  <si>
    <t>$75M</t>
  </si>
  <si>
    <t>Malabar Investment Advisors</t>
  </si>
  <si>
    <t>Uniphore</t>
  </si>
  <si>
    <t>$867M</t>
  </si>
  <si>
    <t>AMD, Databricks Ventures</t>
  </si>
  <si>
    <t>Sysdig</t>
  </si>
  <si>
    <t>$730M</t>
  </si>
  <si>
    <t>Fetch</t>
  </si>
  <si>
    <t>$582M</t>
  </si>
  <si>
    <t>Hamilton Lane</t>
  </si>
  <si>
    <t>Varo Bank</t>
  </si>
  <si>
    <t>Coliseum Capital Management, Warburg Pincus</t>
  </si>
  <si>
    <t>Syniverse</t>
  </si>
  <si>
    <t>$753M</t>
  </si>
  <si>
    <t>Twilio</t>
  </si>
  <si>
    <t>VistaJet</t>
  </si>
  <si>
    <t>RhÃ´ne Group</t>
  </si>
  <si>
    <t>BYTON</t>
  </si>
  <si>
    <t>FAW Group, Marubeni</t>
  </si>
  <si>
    <t>Flow</t>
  </si>
  <si>
    <t>Mavenir</t>
  </si>
  <si>
    <t>$935M</t>
  </si>
  <si>
    <t>Siris Capital Group</t>
  </si>
  <si>
    <t>Jetti Resources</t>
  </si>
  <si>
    <t>$169M</t>
  </si>
  <si>
    <t>BMW i Ventures</t>
  </si>
  <si>
    <t>Mews</t>
  </si>
  <si>
    <t>EQT Growth</t>
  </si>
  <si>
    <t>Immutable Systems</t>
  </si>
  <si>
    <t>$277M</t>
  </si>
  <si>
    <t>Wormhole</t>
  </si>
  <si>
    <t>$225M</t>
  </si>
  <si>
    <t>Cayman Islands</t>
  </si>
  <si>
    <t>MaintainX</t>
  </si>
  <si>
    <t>$254M</t>
  </si>
  <si>
    <t>Bessemer Venture Partners</t>
  </si>
  <si>
    <t>Lambda</t>
  </si>
  <si>
    <t>TWG Global</t>
  </si>
  <si>
    <t>webAI</t>
  </si>
  <si>
    <t>$60M</t>
  </si>
  <si>
    <t>Forerunner</t>
  </si>
  <si>
    <t>StackAdapt</t>
  </si>
  <si>
    <t>Peregrine Technologies</t>
  </si>
  <si>
    <t>n8n</t>
  </si>
  <si>
    <t>$258M</t>
  </si>
  <si>
    <t>Function Health</t>
  </si>
  <si>
    <t>$354M</t>
  </si>
  <si>
    <t>Axiom Space</t>
  </si>
  <si>
    <t>$850M</t>
  </si>
  <si>
    <t>Qatar Investment Authority, Type One Ventures</t>
  </si>
  <si>
    <t>DriveNets</t>
  </si>
  <si>
    <t>$587M</t>
  </si>
  <si>
    <t>D2 Investments</t>
  </si>
  <si>
    <t>Coda</t>
  </si>
  <si>
    <t>$715M</t>
  </si>
  <si>
    <t>GIC, Insight Partners</t>
  </si>
  <si>
    <t>Autodoc</t>
  </si>
  <si>
    <t>Apollo</t>
  </si>
  <si>
    <t>Electrify America</t>
  </si>
  <si>
    <t>Siemens Financial Services</t>
  </si>
  <si>
    <t>CoinDCX</t>
  </si>
  <si>
    <t>$247M</t>
  </si>
  <si>
    <t>Coinbase</t>
  </si>
  <si>
    <t>Suno</t>
  </si>
  <si>
    <t>$375M</t>
  </si>
  <si>
    <t>Menlo Ventures</t>
  </si>
  <si>
    <t>Uzum</t>
  </si>
  <si>
    <t>$252M</t>
  </si>
  <si>
    <t>Tencent, VR Capital Group</t>
  </si>
  <si>
    <t>Uzbekistan</t>
  </si>
  <si>
    <t>Star Charge</t>
  </si>
  <si>
    <t>Hillhouse Investment</t>
  </si>
  <si>
    <t>Enpal</t>
  </si>
  <si>
    <t>LogicMonitor</t>
  </si>
  <si>
    <t>Golub Capital, PSG Equity</t>
  </si>
  <si>
    <t>Trumid</t>
  </si>
  <si>
    <t>$458M</t>
  </si>
  <si>
    <t>Point Break Capital Management</t>
  </si>
  <si>
    <t>Carbon</t>
  </si>
  <si>
    <t>$743M</t>
  </si>
  <si>
    <t>Paxos</t>
  </si>
  <si>
    <t>$543M</t>
  </si>
  <si>
    <t>MercadoLibre</t>
  </si>
  <si>
    <t>BitSight</t>
  </si>
  <si>
    <t>$398M</t>
  </si>
  <si>
    <t>Moody's Investors Service</t>
  </si>
  <si>
    <t>Exabeam</t>
  </si>
  <si>
    <t>$391M</t>
  </si>
  <si>
    <t>Wellhub</t>
  </si>
  <si>
    <t>$605M</t>
  </si>
  <si>
    <t>EQT Growth, General Atlantic</t>
  </si>
  <si>
    <t>ABL Space Systems</t>
  </si>
  <si>
    <t>$459M</t>
  </si>
  <si>
    <t>HoneyBook</t>
  </si>
  <si>
    <t>Yitu Technology</t>
  </si>
  <si>
    <t>$401M</t>
  </si>
  <si>
    <t>Yichang Boyue Investment Management</t>
  </si>
  <si>
    <t>Go1</t>
  </si>
  <si>
    <t>Beijing Weilan New Energy Technology</t>
  </si>
  <si>
    <t>$303M</t>
  </si>
  <si>
    <t>Chengtong Mixed Reform</t>
  </si>
  <si>
    <t>BGL Group</t>
  </si>
  <si>
    <t>$696M</t>
  </si>
  <si>
    <t>CPP Investments</t>
  </si>
  <si>
    <t>Latitude Financial Services</t>
  </si>
  <si>
    <t>Uptake Technologies</t>
  </si>
  <si>
    <t>Greenlight</t>
  </si>
  <si>
    <t>$557M</t>
  </si>
  <si>
    <t>Rapido</t>
  </si>
  <si>
    <t>$555M</t>
  </si>
  <si>
    <t>Nexus Venture Partners</t>
  </si>
  <si>
    <t>Headway</t>
  </si>
  <si>
    <t>$326M</t>
  </si>
  <si>
    <t>Mobile Premier League</t>
  </si>
  <si>
    <t>Alameda Research</t>
  </si>
  <si>
    <t>Liquid AI</t>
  </si>
  <si>
    <t>$293M</t>
  </si>
  <si>
    <t>AMD Ventures</t>
  </si>
  <si>
    <t>Divergent</t>
  </si>
  <si>
    <t>$843M</t>
  </si>
  <si>
    <t>Rochefort</t>
  </si>
  <si>
    <t>Tuduoduo</t>
  </si>
  <si>
    <t>$58M</t>
  </si>
  <si>
    <t>Liuzhou Dongchuang Youpao Fund, Shanda Capital</t>
  </si>
  <si>
    <t>UpGrad</t>
  </si>
  <si>
    <t>Algolia</t>
  </si>
  <si>
    <t>Lone Pine Capital</t>
  </si>
  <si>
    <t>1inch</t>
  </si>
  <si>
    <t>$190M</t>
  </si>
  <si>
    <t>Story Protocol</t>
  </si>
  <si>
    <t>$134M</t>
  </si>
  <si>
    <t>Qianxun Spatial Intelligence</t>
  </si>
  <si>
    <t>$278M</t>
  </si>
  <si>
    <t>Beijing State-owned Capital Operations and Management</t>
  </si>
  <si>
    <t>Huimin</t>
  </si>
  <si>
    <t>$520M</t>
  </si>
  <si>
    <t>Jinan Industrial Development Group</t>
  </si>
  <si>
    <t>Kavak</t>
  </si>
  <si>
    <t>Andreessen Horowitz, WCM Investment Management</t>
  </si>
  <si>
    <t>Turing</t>
  </si>
  <si>
    <t>Khazanah Nasional</t>
  </si>
  <si>
    <t>Current</t>
  </si>
  <si>
    <t>Bitso</t>
  </si>
  <si>
    <t>$315M</t>
  </si>
  <si>
    <t>Modern Treasury</t>
  </si>
  <si>
    <t>G7</t>
  </si>
  <si>
    <t>CS Capital, Trustbridge Partners</t>
  </si>
  <si>
    <t>Create Music Group</t>
  </si>
  <si>
    <t>$615M</t>
  </si>
  <si>
    <t>Flexpoint Ford</t>
  </si>
  <si>
    <t>Aven</t>
  </si>
  <si>
    <t>Khosla Ventures</t>
  </si>
  <si>
    <t>EliseAI</t>
  </si>
  <si>
    <t>$392M</t>
  </si>
  <si>
    <t>Zip</t>
  </si>
  <si>
    <t>$371M</t>
  </si>
  <si>
    <t>Employment Hero</t>
  </si>
  <si>
    <t>$460M</t>
  </si>
  <si>
    <t>Bloomreach</t>
  </si>
  <si>
    <t>$422M</t>
  </si>
  <si>
    <t>Dialpad</t>
  </si>
  <si>
    <t>NuCom Group</t>
  </si>
  <si>
    <t>$550M</t>
  </si>
  <si>
    <t>Transcarent</t>
  </si>
  <si>
    <t>$905M</t>
  </si>
  <si>
    <t>62 Ventures, General Catalyst</t>
  </si>
  <si>
    <t>Strava</t>
  </si>
  <si>
    <t>$152M</t>
  </si>
  <si>
    <t>Skydio</t>
  </si>
  <si>
    <t>Linse Capital</t>
  </si>
  <si>
    <t>Market Kurly</t>
  </si>
  <si>
    <t>$858M</t>
  </si>
  <si>
    <t>Planet Payment</t>
  </si>
  <si>
    <t>$21M</t>
  </si>
  <si>
    <t>Michael Margolies</t>
  </si>
  <si>
    <t>Inari</t>
  </si>
  <si>
    <t>$708M</t>
  </si>
  <si>
    <t>Alexandria Venture Investments, Flagship Pioneering</t>
  </si>
  <si>
    <t>Chint Anneng Digital Energy</t>
  </si>
  <si>
    <t>$729M</t>
  </si>
  <si>
    <t>Onebrief</t>
  </si>
  <si>
    <t>$311M</t>
  </si>
  <si>
    <t>Battery Ventures, Sapphire Ventures</t>
  </si>
  <si>
    <t>CloudWalk</t>
  </si>
  <si>
    <t>$345M</t>
  </si>
  <si>
    <t>JD Industry</t>
  </si>
  <si>
    <t>$530M</t>
  </si>
  <si>
    <t>Mubadala</t>
  </si>
  <si>
    <t>Rimac Group</t>
  </si>
  <si>
    <t>$876M</t>
  </si>
  <si>
    <t>Goldman Sachs, SoftBank Vision Fund</t>
  </si>
  <si>
    <t>Croatia</t>
  </si>
  <si>
    <t>ABLY Corporation</t>
  </si>
  <si>
    <t>$220M</t>
  </si>
  <si>
    <t>bolttech</t>
  </si>
  <si>
    <t>$640M</t>
  </si>
  <si>
    <t>Dragon Fund</t>
  </si>
  <si>
    <t>2TM</t>
  </si>
  <si>
    <t>Docker</t>
  </si>
  <si>
    <t>$436M</t>
  </si>
  <si>
    <t>Jeeves Inc.</t>
  </si>
  <si>
    <t>Forto</t>
  </si>
  <si>
    <t>$593M</t>
  </si>
  <si>
    <t>Recharge</t>
  </si>
  <si>
    <t>Summit Partners</t>
  </si>
  <si>
    <t>Medable</t>
  </si>
  <si>
    <t>$507M</t>
  </si>
  <si>
    <t>Blackstone Accelerates Growth, GSR Ventures</t>
  </si>
  <si>
    <t>Eightfold AI</t>
  </si>
  <si>
    <t>$397M</t>
  </si>
  <si>
    <t>Engine</t>
  </si>
  <si>
    <t>$221M</t>
  </si>
  <si>
    <t>Gamma</t>
  </si>
  <si>
    <t>$70M</t>
  </si>
  <si>
    <t>Taobao Movie</t>
  </si>
  <si>
    <t>Ant Group, CDH Investments</t>
  </si>
  <si>
    <t>China Fusion Energy</t>
  </si>
  <si>
    <t>Unitree Robotics</t>
  </si>
  <si>
    <t>China Mobile Innovation Industry Fund</t>
  </si>
  <si>
    <t>iSpace China</t>
  </si>
  <si>
    <t>Cowin Capital, Jingming Capital</t>
  </si>
  <si>
    <t>Kong</t>
  </si>
  <si>
    <t>$344M</t>
  </si>
  <si>
    <t>Balderton Capital, Tiger Global Management</t>
  </si>
  <si>
    <t>Runpeng Semiconductor</t>
  </si>
  <si>
    <t>China Resources Microelectronics</t>
  </si>
  <si>
    <t>PayFit</t>
  </si>
  <si>
    <t>Tianbing Technology</t>
  </si>
  <si>
    <t>$589M</t>
  </si>
  <si>
    <t>CITIC Construction Investment</t>
  </si>
  <si>
    <t>Kin Insurance</t>
  </si>
  <si>
    <t>$316M</t>
  </si>
  <si>
    <t>Activate Capital Partners, QED Investors</t>
  </si>
  <si>
    <t>Voodoo</t>
  </si>
  <si>
    <t>$517M</t>
  </si>
  <si>
    <t>Groupe Bruxelles Lambert</t>
  </si>
  <si>
    <t>ZigBang</t>
  </si>
  <si>
    <t>$282M</t>
  </si>
  <si>
    <t>Shinhan Venture Investment</t>
  </si>
  <si>
    <t>Flash Express</t>
  </si>
  <si>
    <t>Buer Capital</t>
  </si>
  <si>
    <t>Thailand</t>
  </si>
  <si>
    <t>Kry</t>
  </si>
  <si>
    <t>CPP Investments, Fidelity</t>
  </si>
  <si>
    <t>Kunlun</t>
  </si>
  <si>
    <t>CPE</t>
  </si>
  <si>
    <t>ROX Motor</t>
  </si>
  <si>
    <t>Shandong Weiqiao Pioneering Group</t>
  </si>
  <si>
    <t>Clear Street</t>
  </si>
  <si>
    <t>SBI Group</t>
  </si>
  <si>
    <t>Copper</t>
  </si>
  <si>
    <t>$266M</t>
  </si>
  <si>
    <t>Alan Howard</t>
  </si>
  <si>
    <t>21.co</t>
  </si>
  <si>
    <t>$35M</t>
  </si>
  <si>
    <t>Marshall Wace</t>
  </si>
  <si>
    <t>Mysten Labs</t>
  </si>
  <si>
    <t>$336M</t>
  </si>
  <si>
    <t>FTX Ventures</t>
  </si>
  <si>
    <t>DeepL</t>
  </si>
  <si>
    <t>Index Ventures</t>
  </si>
  <si>
    <t>ShiftKey</t>
  </si>
  <si>
    <t>Lorient Capital</t>
  </si>
  <si>
    <t>Xpansiv</t>
  </si>
  <si>
    <t>$318M</t>
  </si>
  <si>
    <t>Bank of America, Goldman Sachs</t>
  </si>
  <si>
    <t>Vestwell</t>
  </si>
  <si>
    <t>$624M</t>
  </si>
  <si>
    <t>Blue Owl Capital Corporation, Sixth Street Growth</t>
  </si>
  <si>
    <t>Neo4j</t>
  </si>
  <si>
    <t>$631M</t>
  </si>
  <si>
    <t>Noteus Partners</t>
  </si>
  <si>
    <t>SmartNews</t>
  </si>
  <si>
    <t>Asian Capital Alliance, Japan Post Capital</t>
  </si>
  <si>
    <t>Locus Robotics</t>
  </si>
  <si>
    <t>$416M</t>
  </si>
  <si>
    <t>G2 Venture Partners, Goldman Sachs Asset Management</t>
  </si>
  <si>
    <t>Verbit</t>
  </si>
  <si>
    <t>$432M</t>
  </si>
  <si>
    <t>Third Point Ventures</t>
  </si>
  <si>
    <t>Loggi</t>
  </si>
  <si>
    <t>CapSur Capital</t>
  </si>
  <si>
    <t>Farfetch China</t>
  </si>
  <si>
    <t>Alibaba Group, Richemont</t>
  </si>
  <si>
    <t>Polygon</t>
  </si>
  <si>
    <t>$451M</t>
  </si>
  <si>
    <t>Mark Cuban</t>
  </si>
  <si>
    <t>Pipe</t>
  </si>
  <si>
    <t>Greenspring Associates</t>
  </si>
  <si>
    <t>Mural</t>
  </si>
  <si>
    <t>$194M</t>
  </si>
  <si>
    <t>Lunar</t>
  </si>
  <si>
    <t>$569M</t>
  </si>
  <si>
    <t>Heartland</t>
  </si>
  <si>
    <t>CertiK</t>
  </si>
  <si>
    <t>SoftBank Vision Fund, Tiger Global Management</t>
  </si>
  <si>
    <t>Pantheon</t>
  </si>
  <si>
    <t>Hive</t>
  </si>
  <si>
    <t>$121M</t>
  </si>
  <si>
    <t>Glynn Capital Management</t>
  </si>
  <si>
    <t>Redis</t>
  </si>
  <si>
    <t>Iterable</t>
  </si>
  <si>
    <t>$342M</t>
  </si>
  <si>
    <t>Viking Global Investors</t>
  </si>
  <si>
    <t>Everlaw</t>
  </si>
  <si>
    <t>TPG Growth</t>
  </si>
  <si>
    <t>Unqork</t>
  </si>
  <si>
    <t>$365M</t>
  </si>
  <si>
    <t>BlackRock</t>
  </si>
  <si>
    <t>Druva</t>
  </si>
  <si>
    <t>Aviatrix</t>
  </si>
  <si>
    <t>Clip</t>
  </si>
  <si>
    <t>Kajabi</t>
  </si>
  <si>
    <t>Cloudinary</t>
  </si>
  <si>
    <t>Netlify</t>
  </si>
  <si>
    <t>$212M</t>
  </si>
  <si>
    <t>OPay</t>
  </si>
  <si>
    <t>Nigeria</t>
  </si>
  <si>
    <t>Misfits Market</t>
  </si>
  <si>
    <t>$527M</t>
  </si>
  <si>
    <t>Apeel Sciences</t>
  </si>
  <si>
    <t>Formlabs</t>
  </si>
  <si>
    <t>$251M</t>
  </si>
  <si>
    <t>LTK</t>
  </si>
  <si>
    <t>BlaBlaCar</t>
  </si>
  <si>
    <t>$464M</t>
  </si>
  <si>
    <t>IFC</t>
  </si>
  <si>
    <t>Pivot Bio</t>
  </si>
  <si>
    <t>DCVC, Temasek Holdings</t>
  </si>
  <si>
    <t>Viva Wallet</t>
  </si>
  <si>
    <t>JP Morgan</t>
  </si>
  <si>
    <t>Greece</t>
  </si>
  <si>
    <t>Advance Intelligence Group</t>
  </si>
  <si>
    <t>Northstar Group, Warburg Pincus</t>
  </si>
  <si>
    <t>XINGYUN GROUP</t>
  </si>
  <si>
    <t>Crescent Point, Harvest Global Investments</t>
  </si>
  <si>
    <t>Mafengwo</t>
  </si>
  <si>
    <t>Guizhou Innovation Empowerment Big Data Investment Fund</t>
  </si>
  <si>
    <t>Magic Leap</t>
  </si>
  <si>
    <t>OCSiAl Group</t>
  </si>
  <si>
    <t>$265M</t>
  </si>
  <si>
    <t>Da Vinci Capital</t>
  </si>
  <si>
    <t>Luxembourg</t>
  </si>
  <si>
    <t>Aleph Group</t>
  </si>
  <si>
    <t>SMC</t>
  </si>
  <si>
    <t>ManyPets</t>
  </si>
  <si>
    <t>$483M</t>
  </si>
  <si>
    <t>Dremio</t>
  </si>
  <si>
    <t>Adams Street Partners</t>
  </si>
  <si>
    <t>InMobi</t>
  </si>
  <si>
    <t>$224M</t>
  </si>
  <si>
    <t>Lightbox</t>
  </si>
  <si>
    <t>AppsFlyer</t>
  </si>
  <si>
    <t>Saks.com</t>
  </si>
  <si>
    <t>STORY3 Capital Partners</t>
  </si>
  <si>
    <t>Calm</t>
  </si>
  <si>
    <t>$218M</t>
  </si>
  <si>
    <t>Momo</t>
  </si>
  <si>
    <t>Mizuho Bank</t>
  </si>
  <si>
    <t>Guoquan Shihui</t>
  </si>
  <si>
    <t>CMB International Capital Corporation, Tiantu Capital</t>
  </si>
  <si>
    <t>To8to</t>
  </si>
  <si>
    <t>$216M</t>
  </si>
  <si>
    <t>Tradeshift</t>
  </si>
  <si>
    <t>$931M</t>
  </si>
  <si>
    <t>HSBC</t>
  </si>
  <si>
    <t>Keep</t>
  </si>
  <si>
    <t>Virta Health</t>
  </si>
  <si>
    <t>$373M</t>
  </si>
  <si>
    <t>Naixuecha</t>
  </si>
  <si>
    <t>PAG</t>
  </si>
  <si>
    <t>Firstp2p</t>
  </si>
  <si>
    <t>$111M</t>
  </si>
  <si>
    <t>CCB International</t>
  </si>
  <si>
    <t>ISN Software Corporation</t>
  </si>
  <si>
    <t>Trendy International Group</t>
  </si>
  <si>
    <t>L Catterton Asia</t>
  </si>
  <si>
    <t>Preferred Networks</t>
  </si>
  <si>
    <t>Clearco</t>
  </si>
  <si>
    <t>$494M</t>
  </si>
  <si>
    <t>Founders Circle Capital, Inovia Capital</t>
  </si>
  <si>
    <t>TIER Mobility</t>
  </si>
  <si>
    <t>Mubadala Capital, SoftBank Vision Fund</t>
  </si>
  <si>
    <t>Zilch</t>
  </si>
  <si>
    <t>$590M</t>
  </si>
  <si>
    <t>KKCG</t>
  </si>
  <si>
    <t>Acorns</t>
  </si>
  <si>
    <t>$510M</t>
  </si>
  <si>
    <t>Solugen</t>
  </si>
  <si>
    <t>Kinnevik, Lowercarbon Capital</t>
  </si>
  <si>
    <t>Zeta</t>
  </si>
  <si>
    <t>$390M</t>
  </si>
  <si>
    <t>Optum</t>
  </si>
  <si>
    <t>ID.me</t>
  </si>
  <si>
    <t>$339M</t>
  </si>
  <si>
    <t>Ribbit Capital</t>
  </si>
  <si>
    <t>Moloco</t>
  </si>
  <si>
    <t>Premier Partners</t>
  </si>
  <si>
    <t>Persona</t>
  </si>
  <si>
    <t>$418M</t>
  </si>
  <si>
    <t>Founders Fund, Ribbit Capital</t>
  </si>
  <si>
    <t>Devo</t>
  </si>
  <si>
    <t>Marshmallow</t>
  </si>
  <si>
    <t>$161M</t>
  </si>
  <si>
    <t>Portage Ventures</t>
  </si>
  <si>
    <t>Insider One</t>
  </si>
  <si>
    <t>$772M</t>
  </si>
  <si>
    <t>Feedzai</t>
  </si>
  <si>
    <t>$352M</t>
  </si>
  <si>
    <t>Explorer Investments, Iberis Capital</t>
  </si>
  <si>
    <t>Portugal</t>
  </si>
  <si>
    <t>The Bot Company</t>
  </si>
  <si>
    <t>EvenUp</t>
  </si>
  <si>
    <t>BlinkRx</t>
  </si>
  <si>
    <t>1789 Capital</t>
  </si>
  <si>
    <t>Field AI</t>
  </si>
  <si>
    <t>$405M</t>
  </si>
  <si>
    <t>Hyundai Motor Group</t>
  </si>
  <si>
    <t>Framer</t>
  </si>
  <si>
    <t>Atomico, Meritech Capital Partners</t>
  </si>
  <si>
    <t>Invisible Technologies</t>
  </si>
  <si>
    <t>$108M</t>
  </si>
  <si>
    <t>Vanara Capital</t>
  </si>
  <si>
    <t>Stoke Space</t>
  </si>
  <si>
    <t>US Innovative Technology Fund</t>
  </si>
  <si>
    <t>Zelos</t>
  </si>
  <si>
    <t>d-Matrix</t>
  </si>
  <si>
    <t>$429M</t>
  </si>
  <si>
    <t>Bullhound Capital, Temasek Holdings</t>
  </si>
  <si>
    <t>Drata</t>
  </si>
  <si>
    <t>$328M</t>
  </si>
  <si>
    <t>ICONIQ Growth, Notable Capital</t>
  </si>
  <si>
    <t>GetYourGuide</t>
  </si>
  <si>
    <t>Blue Pool Capital</t>
  </si>
  <si>
    <t>Lessen</t>
  </si>
  <si>
    <t>$735M</t>
  </si>
  <si>
    <t>Legacy Knight</t>
  </si>
  <si>
    <t>Salsify</t>
  </si>
  <si>
    <t>$453M</t>
  </si>
  <si>
    <t>Sila</t>
  </si>
  <si>
    <t>Sutter Hill Ventures, T. Rowe Price</t>
  </si>
  <si>
    <t>ICON</t>
  </si>
  <si>
    <t>Norwest, Tiger Global Management</t>
  </si>
  <si>
    <t>Ankorstore</t>
  </si>
  <si>
    <t>Exotec</t>
  </si>
  <si>
    <t>Avant</t>
  </si>
  <si>
    <t>Ares Management</t>
  </si>
  <si>
    <t>Sky Mavis</t>
  </si>
  <si>
    <t>Binance</t>
  </si>
  <si>
    <t>Rain</t>
  </si>
  <si>
    <t>JOLED</t>
  </si>
  <si>
    <t>$838M</t>
  </si>
  <si>
    <t>CSOT</t>
  </si>
  <si>
    <t>Vital Thin Film Materials</t>
  </si>
  <si>
    <t>CICC</t>
  </si>
  <si>
    <t>Roofstock</t>
  </si>
  <si>
    <t>YinLong Group</t>
  </si>
  <si>
    <t>SemiDrive</t>
  </si>
  <si>
    <t>$504M</t>
  </si>
  <si>
    <t>Shang Qi Capital</t>
  </si>
  <si>
    <t>JIANGXIAOBAI</t>
  </si>
  <si>
    <t>China Renaissance</t>
  </si>
  <si>
    <t>Writer</t>
  </si>
  <si>
    <t>ICONIQ Growth, Premji Invest</t>
  </si>
  <si>
    <t>Altruist</t>
  </si>
  <si>
    <t>GIC</t>
  </si>
  <si>
    <t>commercetools</t>
  </si>
  <si>
    <t>$308M</t>
  </si>
  <si>
    <t>ConcertAI</t>
  </si>
  <si>
    <t>CoinSwitch</t>
  </si>
  <si>
    <t>$302M</t>
  </si>
  <si>
    <t>Andreessen Horowitz, Coinbase Ventures</t>
  </si>
  <si>
    <t>MX Technologies</t>
  </si>
  <si>
    <t>Material Bank</t>
  </si>
  <si>
    <t>$323M</t>
  </si>
  <si>
    <t>Brookfield Growth</t>
  </si>
  <si>
    <t>DFINITY</t>
  </si>
  <si>
    <t>Andreessen Horowitz, Polychain</t>
  </si>
  <si>
    <t>Zhenkunxing</t>
  </si>
  <si>
    <t>$999M</t>
  </si>
  <si>
    <t>SFCC</t>
  </si>
  <si>
    <t>$817M</t>
  </si>
  <si>
    <t>MegazoneCloud</t>
  </si>
  <si>
    <t>$673M</t>
  </si>
  <si>
    <t>IMM Private Equity, MBK Partners</t>
  </si>
  <si>
    <t>Ninja Van</t>
  </si>
  <si>
    <t>Olipop</t>
  </si>
  <si>
    <t>$96M</t>
  </si>
  <si>
    <t>J.P. Morgan Growth Equity Partners</t>
  </si>
  <si>
    <t>Vast</t>
  </si>
  <si>
    <t>Balerion Space Ventures</t>
  </si>
  <si>
    <t>bunq</t>
  </si>
  <si>
    <t>Pollen Street Capital</t>
  </si>
  <si>
    <t>DailyPay</t>
  </si>
  <si>
    <t>Carrick Capital Partners</t>
  </si>
  <si>
    <t>Sineva</t>
  </si>
  <si>
    <t>$253M</t>
  </si>
  <si>
    <t>Peakview Capital</t>
  </si>
  <si>
    <t>Roark Aerospace</t>
  </si>
  <si>
    <t>Radiant</t>
  </si>
  <si>
    <t>$519M</t>
  </si>
  <si>
    <t>Lockheed Martin Ventures</t>
  </si>
  <si>
    <t>Fever</t>
  </si>
  <si>
    <t>L Catterton, Point72</t>
  </si>
  <si>
    <t>Scroll.io</t>
  </si>
  <si>
    <t>$81M</t>
  </si>
  <si>
    <t>Qiming Venture Partners</t>
  </si>
  <si>
    <t>Diamond Foundry</t>
  </si>
  <si>
    <t>Lightricks</t>
  </si>
  <si>
    <t>$305M</t>
  </si>
  <si>
    <t>Hanaco Venture Capital, Insight Partners</t>
  </si>
  <si>
    <t>Zocdoc</t>
  </si>
  <si>
    <t>$374M</t>
  </si>
  <si>
    <t>Francisco Partners</t>
  </si>
  <si>
    <t>FullStory</t>
  </si>
  <si>
    <t>$197M</t>
  </si>
  <si>
    <t>Opentrons</t>
  </si>
  <si>
    <t>Quest Global</t>
  </si>
  <si>
    <t>Glossier</t>
  </si>
  <si>
    <t>Spinny</t>
  </si>
  <si>
    <t>Orca Security</t>
  </si>
  <si>
    <t>$632M</t>
  </si>
  <si>
    <t>SJ Semi</t>
  </si>
  <si>
    <t>Walden International</t>
  </si>
  <si>
    <t>Udaan</t>
  </si>
  <si>
    <t>Lightspeed Venture Partners, M&amp;G Plc</t>
  </si>
  <si>
    <t>Neko Health</t>
  </si>
  <si>
    <t>$325M</t>
  </si>
  <si>
    <t>Legora</t>
  </si>
  <si>
    <t>Strive Health</t>
  </si>
  <si>
    <t>$686M</t>
  </si>
  <si>
    <t>Distyl AI</t>
  </si>
  <si>
    <t>Khosla Ventures, Lightspeed Venture Partners</t>
  </si>
  <si>
    <t>Watershed</t>
  </si>
  <si>
    <t>Wasabi Technologies</t>
  </si>
  <si>
    <t>Alumni Ventures, L2 Point</t>
  </si>
  <si>
    <t>Kindbody</t>
  </si>
  <si>
    <t>$206M</t>
  </si>
  <si>
    <t>Morgan Health</t>
  </si>
  <si>
    <t>Meril Life</t>
  </si>
  <si>
    <t>Kaseya</t>
  </si>
  <si>
    <t>$547M</t>
  </si>
  <si>
    <t>Trulioo</t>
  </si>
  <si>
    <t>Akulaku Group</t>
  </si>
  <si>
    <t>$638M</t>
  </si>
  <si>
    <t>Mitsubishi UFJ Financial Group</t>
  </si>
  <si>
    <t>Bedrock Robotics</t>
  </si>
  <si>
    <t>CapitalG, Valor Equity Partners</t>
  </si>
  <si>
    <t>NantOmics</t>
  </si>
  <si>
    <t>NantHealth</t>
  </si>
  <si>
    <t>Gousto</t>
  </si>
  <si>
    <t>$372M</t>
  </si>
  <si>
    <t>Flatpay</t>
  </si>
  <si>
    <t>AVP</t>
  </si>
  <si>
    <t>Productboard</t>
  </si>
  <si>
    <t>$262M</t>
  </si>
  <si>
    <t>Dragoneer Investment Group, Tiger Global Management</t>
  </si>
  <si>
    <t>Scalable Capital</t>
  </si>
  <si>
    <t>$553M</t>
  </si>
  <si>
    <t>Noteus Partners, Sofina</t>
  </si>
  <si>
    <t>Glance</t>
  </si>
  <si>
    <t>CircleCI</t>
  </si>
  <si>
    <t>Pax8</t>
  </si>
  <si>
    <t>H2O.ai</t>
  </si>
  <si>
    <t>Commonwealth Bank of Australia</t>
  </si>
  <si>
    <t>ZenBusiness</t>
  </si>
  <si>
    <t>Oak HC/FT</t>
  </si>
  <si>
    <t>Spotter</t>
  </si>
  <si>
    <t>$353M</t>
  </si>
  <si>
    <t>DispatchHealth</t>
  </si>
  <si>
    <t>$733M</t>
  </si>
  <si>
    <t>Optum Ventures</t>
  </si>
  <si>
    <t>Harry's</t>
  </si>
  <si>
    <t>$885M</t>
  </si>
  <si>
    <t>Reltio</t>
  </si>
  <si>
    <t>$237M</t>
  </si>
  <si>
    <t>Brighton Park Capital</t>
  </si>
  <si>
    <t>PAX Labs</t>
  </si>
  <si>
    <t>Tao Capital Partners, Tiger Global Management</t>
  </si>
  <si>
    <t>Carsome</t>
  </si>
  <si>
    <t>$577M</t>
  </si>
  <si>
    <t>65 Equity Partners, Qatar Investment Authority</t>
  </si>
  <si>
    <t>Malaysia</t>
  </si>
  <si>
    <t>DealShare</t>
  </si>
  <si>
    <t>$378M</t>
  </si>
  <si>
    <t>Dragos</t>
  </si>
  <si>
    <t>HomeLight</t>
  </si>
  <si>
    <t>Zeev Ventures</t>
  </si>
  <si>
    <t>Alation</t>
  </si>
  <si>
    <t>NTT DOCOMO Ventures</t>
  </si>
  <si>
    <t>Pomelo Care</t>
  </si>
  <si>
    <t>$179M</t>
  </si>
  <si>
    <t>VTS</t>
  </si>
  <si>
    <t>$304M</t>
  </si>
  <si>
    <t>Maven Clinic</t>
  </si>
  <si>
    <t>$417M</t>
  </si>
  <si>
    <t>StepStone Group</t>
  </si>
  <si>
    <t>Razor Group</t>
  </si>
  <si>
    <t>$355M</t>
  </si>
  <si>
    <t>Presight Capital</t>
  </si>
  <si>
    <t>Multiverse</t>
  </si>
  <si>
    <t>$419M</t>
  </si>
  <si>
    <t>General Catalyst, Lightspeed Venture Partners</t>
  </si>
  <si>
    <t>Front</t>
  </si>
  <si>
    <t>$204M</t>
  </si>
  <si>
    <t>Battery Ventures, Salesforce Ventures</t>
  </si>
  <si>
    <t>Maropost</t>
  </si>
  <si>
    <t>Redesign Health</t>
  </si>
  <si>
    <t>Micro Connect</t>
  </si>
  <si>
    <t>Jane Street Capital</t>
  </si>
  <si>
    <t>Wave Mobile Money</t>
  </si>
  <si>
    <t>Senegal</t>
  </si>
  <si>
    <t>Arena</t>
  </si>
  <si>
    <t>Felicis, UC Investments</t>
  </si>
  <si>
    <t>Vestiaire Collective</t>
  </si>
  <si>
    <t>Generation Investment Management, SoftBank Vision Fund</t>
  </si>
  <si>
    <t>Tessera Therapeutics</t>
  </si>
  <si>
    <t>$732M</t>
  </si>
  <si>
    <t>Regeneron</t>
  </si>
  <si>
    <t>Enflame</t>
  </si>
  <si>
    <t>China Fintech Fund, Shanghai GuoHe Capital</t>
  </si>
  <si>
    <t>SafetyCulture</t>
  </si>
  <si>
    <t>Airtree Ventures</t>
  </si>
  <si>
    <t>Kredivo Group</t>
  </si>
  <si>
    <t>Uniswap Labs</t>
  </si>
  <si>
    <t>$178M</t>
  </si>
  <si>
    <t>Polychain</t>
  </si>
  <si>
    <t>Incredible Health</t>
  </si>
  <si>
    <t>$100M</t>
  </si>
  <si>
    <t>Base10 Partners</t>
  </si>
  <si>
    <t>Optimism</t>
  </si>
  <si>
    <t>Andreessen Horowitz, Paradigm</t>
  </si>
  <si>
    <t>Dexterity</t>
  </si>
  <si>
    <t>$291M</t>
  </si>
  <si>
    <t>Kleiner Perkins, Lightspeed Venture Partners</t>
  </si>
  <si>
    <t>Kriya Therapeutics</t>
  </si>
  <si>
    <t>$921M</t>
  </si>
  <si>
    <t>Patient Square Capital, Premji Invest</t>
  </si>
  <si>
    <t>Zhubajie</t>
  </si>
  <si>
    <t>Chongqing New North Zone Government Investment Fund, Cybernaut Venture Capital</t>
  </si>
  <si>
    <t>Capitolis</t>
  </si>
  <si>
    <t>$338M</t>
  </si>
  <si>
    <t>Citi, Morgan Stanley</t>
  </si>
  <si>
    <t>Wayflyer</t>
  </si>
  <si>
    <t>$236M</t>
  </si>
  <si>
    <t>DST Global, QED Investors</t>
  </si>
  <si>
    <t>Exceed World</t>
  </si>
  <si>
    <t>$320M</t>
  </si>
  <si>
    <t>Unite Us</t>
  </si>
  <si>
    <t>$195M</t>
  </si>
  <si>
    <t>Cresta</t>
  </si>
  <si>
    <t>$276M</t>
  </si>
  <si>
    <t>Qatar Investment Authority, World Innovation Lab</t>
  </si>
  <si>
    <t>Afiniti</t>
  </si>
  <si>
    <t>$120M</t>
  </si>
  <si>
    <t>Bermuda</t>
  </si>
  <si>
    <t>ASAPP</t>
  </si>
  <si>
    <t>$380M</t>
  </si>
  <si>
    <t>Dragoneer Investment Group, Fidelity</t>
  </si>
  <si>
    <t>FloQast</t>
  </si>
  <si>
    <t>Cult.fit</t>
  </si>
  <si>
    <t>$627M</t>
  </si>
  <si>
    <t>LifeFit Group</t>
  </si>
  <si>
    <t>Monte Carlo</t>
  </si>
  <si>
    <t>IVP</t>
  </si>
  <si>
    <t>Magic Eden</t>
  </si>
  <si>
    <t>Electric Capital, Greylock</t>
  </si>
  <si>
    <t>Pave</t>
  </si>
  <si>
    <t>$163M</t>
  </si>
  <si>
    <t>Molbio Diagnostics</t>
  </si>
  <si>
    <t>$117M</t>
  </si>
  <si>
    <t>Apollo.io</t>
  </si>
  <si>
    <t>WEKA</t>
  </si>
  <si>
    <t>Cart.com</t>
  </si>
  <si>
    <t>$784M</t>
  </si>
  <si>
    <t>Springcoast Capital Partners</t>
  </si>
  <si>
    <t>Modular</t>
  </si>
  <si>
    <t>Hadrian</t>
  </si>
  <si>
    <t>Whop</t>
  </si>
  <si>
    <t>$273M</t>
  </si>
  <si>
    <t>Tether Ventures</t>
  </si>
  <si>
    <t>Toss Bank</t>
  </si>
  <si>
    <t>$949M</t>
  </si>
  <si>
    <t>Welcome Capital</t>
  </si>
  <si>
    <t>ezCater</t>
  </si>
  <si>
    <t>$421M</t>
  </si>
  <si>
    <t>Bianlifeng</t>
  </si>
  <si>
    <t>Hillhouse Investment, Tencent</t>
  </si>
  <si>
    <t>Pathos</t>
  </si>
  <si>
    <t>MediTrust Health</t>
  </si>
  <si>
    <t>HSBC China</t>
  </si>
  <si>
    <t>Aura</t>
  </si>
  <si>
    <t>$663M</t>
  </si>
  <si>
    <t>Madrone Capital Partners, Ten Eleven Ventures</t>
  </si>
  <si>
    <t>AIWAYS</t>
  </si>
  <si>
    <t>$792M</t>
  </si>
  <si>
    <t>Fujian Dongbai (Group)</t>
  </si>
  <si>
    <t>Kylinsoft</t>
  </si>
  <si>
    <t>China National Software &amp; Service Co., Ltd.</t>
  </si>
  <si>
    <t>GalaxySpace</t>
  </si>
  <si>
    <t>$14M</t>
  </si>
  <si>
    <t>Fresh Life Style Supply Chain Management</t>
  </si>
  <si>
    <t>Nexii</t>
  </si>
  <si>
    <t>$113M</t>
  </si>
  <si>
    <t>Horizon Technology Finance, Trinity Capital</t>
  </si>
  <si>
    <t>Soterea</t>
  </si>
  <si>
    <t>Ping An Capital</t>
  </si>
  <si>
    <t>SmartHR</t>
  </si>
  <si>
    <t>$322M</t>
  </si>
  <si>
    <t>Kohlberg Kravis Roberts Japan, Teachersâ€™ Venture Growth</t>
  </si>
  <si>
    <t>NMI</t>
  </si>
  <si>
    <t>Great Hill Partners</t>
  </si>
  <si>
    <t>Alloy</t>
  </si>
  <si>
    <t>$213M</t>
  </si>
  <si>
    <t>Avenir, Lightspeed Venture Partners</t>
  </si>
  <si>
    <t>Kitopi</t>
  </si>
  <si>
    <t>$804M</t>
  </si>
  <si>
    <t>ESWIN Computing</t>
  </si>
  <si>
    <t>Beijing Financial Street Capital Operation Center, Guoxin Zhuoyue Venture Capital</t>
  </si>
  <si>
    <t>Wellong Etown</t>
  </si>
  <si>
    <t>Matrixport</t>
  </si>
  <si>
    <t>$138M</t>
  </si>
  <si>
    <t>C Ventures, DST Global</t>
  </si>
  <si>
    <t>Wenheyou</t>
  </si>
  <si>
    <t>$91M</t>
  </si>
  <si>
    <t>CATL Intelligent</t>
  </si>
  <si>
    <t>$279M</t>
  </si>
  <si>
    <t>Qinghai Lihao</t>
  </si>
  <si>
    <t>$306M</t>
  </si>
  <si>
    <t>Cognite</t>
  </si>
  <si>
    <t>Main Street Health</t>
  </si>
  <si>
    <t>Pacaso</t>
  </si>
  <si>
    <t>Huntress</t>
  </si>
  <si>
    <t>$270M</t>
  </si>
  <si>
    <t>Kleiner Perkins, Meritech Capital Partners</t>
  </si>
  <si>
    <t>Ascend Money</t>
  </si>
  <si>
    <t>MUFG Bank</t>
  </si>
  <si>
    <t>Upwind Security</t>
  </si>
  <si>
    <t>$430M</t>
  </si>
  <si>
    <t>Tyme Group</t>
  </si>
  <si>
    <t>$567M</t>
  </si>
  <si>
    <t>Nubank</t>
  </si>
  <si>
    <t>Nirvana Insurance</t>
  </si>
  <si>
    <t>Fleetio</t>
  </si>
  <si>
    <t>$620M</t>
  </si>
  <si>
    <t>Elephant, Goldman Sachs Alternatives</t>
  </si>
  <si>
    <t>Chapter</t>
  </si>
  <si>
    <t>$184M</t>
  </si>
  <si>
    <t>SpreeAI</t>
  </si>
  <si>
    <t>$15M</t>
  </si>
  <si>
    <t>Ninja</t>
  </si>
  <si>
    <t>Riyad Capital</t>
  </si>
  <si>
    <t>Anaconda</t>
  </si>
  <si>
    <t>$233M</t>
  </si>
  <si>
    <t>Eight Sleep</t>
  </si>
  <si>
    <t>You.com</t>
  </si>
  <si>
    <t>Cox Enterprises</t>
  </si>
  <si>
    <t>ShopMy</t>
  </si>
  <si>
    <t>$175M</t>
  </si>
  <si>
    <t>Lighter</t>
  </si>
  <si>
    <t>$89M</t>
  </si>
  <si>
    <t>ElasticRun</t>
  </si>
  <si>
    <t>Andela</t>
  </si>
  <si>
    <t>$381M</t>
  </si>
  <si>
    <t>Airbyte</t>
  </si>
  <si>
    <t>$181M</t>
  </si>
  <si>
    <t>CoinList</t>
  </si>
  <si>
    <t>Accomplice, Agman Partners</t>
  </si>
  <si>
    <t>Veho</t>
  </si>
  <si>
    <t>Veriff</t>
  </si>
  <si>
    <t>$177M</t>
  </si>
  <si>
    <t>Alkeon Capital, Tiger Global Management</t>
  </si>
  <si>
    <t>Matillion</t>
  </si>
  <si>
    <t>$290M</t>
  </si>
  <si>
    <t>Databricks Ventures</t>
  </si>
  <si>
    <t>Boba Network</t>
  </si>
  <si>
    <t>$115M</t>
  </si>
  <si>
    <t>Awaken Foundation, LDA Capital</t>
  </si>
  <si>
    <t>Olist</t>
  </si>
  <si>
    <t>Perfect Day</t>
  </si>
  <si>
    <t>CPP Investments, Temasek Holdings</t>
  </si>
  <si>
    <t>Collective Health</t>
  </si>
  <si>
    <t>Health Care Service Corporation</t>
  </si>
  <si>
    <t>MindMaze</t>
  </si>
  <si>
    <t>$340M</t>
  </si>
  <si>
    <t>Concord Health Partners</t>
  </si>
  <si>
    <t>Lusha</t>
  </si>
  <si>
    <t>$245M</t>
  </si>
  <si>
    <t>PSG Equity</t>
  </si>
  <si>
    <t>Zenoti</t>
  </si>
  <si>
    <t>$331M</t>
  </si>
  <si>
    <t>Built Technologies</t>
  </si>
  <si>
    <t>$313M</t>
  </si>
  <si>
    <t>Apollo GraphQL</t>
  </si>
  <si>
    <t>NextSilicon</t>
  </si>
  <si>
    <t>$203M</t>
  </si>
  <si>
    <t>1047 Games</t>
  </si>
  <si>
    <t>HAI ROBOTICS</t>
  </si>
  <si>
    <t>$285M</t>
  </si>
  <si>
    <t>Capital Today</t>
  </si>
  <si>
    <t>Mu Sigma</t>
  </si>
  <si>
    <t>impact.com</t>
  </si>
  <si>
    <t>$361M</t>
  </si>
  <si>
    <t>StoreDot</t>
  </si>
  <si>
    <t>Ola Electric, Polestar</t>
  </si>
  <si>
    <t>Tujia</t>
  </si>
  <si>
    <t>All-Stars Investment, Trip.com</t>
  </si>
  <si>
    <t>NotCo</t>
  </si>
  <si>
    <t>Princeville Capital</t>
  </si>
  <si>
    <t>Chile</t>
  </si>
  <si>
    <t>Snapdocs</t>
  </si>
  <si>
    <t>Prometheus</t>
  </si>
  <si>
    <t>$150K</t>
  </si>
  <si>
    <t>Maersk Growth</t>
  </si>
  <si>
    <t>Culture Amp</t>
  </si>
  <si>
    <t>$257M</t>
  </si>
  <si>
    <t>HSG, TDM Growth Partners</t>
  </si>
  <si>
    <t>AppDirect</t>
  </si>
  <si>
    <t>Spark Education Group</t>
  </si>
  <si>
    <t>Uplight</t>
  </si>
  <si>
    <t>AES, Huck Capital</t>
  </si>
  <si>
    <t>Dt Dream</t>
  </si>
  <si>
    <t>$267M</t>
  </si>
  <si>
    <t>Zhejiang State Enterprise Reform and Development Fund, ZSVC</t>
  </si>
  <si>
    <t>fabric</t>
  </si>
  <si>
    <t>Weidian Group</t>
  </si>
  <si>
    <t>Xpressbees</t>
  </si>
  <si>
    <t>Arcadia</t>
  </si>
  <si>
    <t>$540M</t>
  </si>
  <si>
    <t>Macquarie Asset Management</t>
  </si>
  <si>
    <t>Mashgin</t>
  </si>
  <si>
    <t>$74M</t>
  </si>
  <si>
    <t>Talos</t>
  </si>
  <si>
    <t>Dock</t>
  </si>
  <si>
    <t>$280M</t>
  </si>
  <si>
    <t>Lightrock, Silver Lake Waterman</t>
  </si>
  <si>
    <t>Vayyar</t>
  </si>
  <si>
    <t>$296M</t>
  </si>
  <si>
    <t>Koch Disruptive Technologies</t>
  </si>
  <si>
    <t>5ire</t>
  </si>
  <si>
    <t>SRAM &amp; MRAM</t>
  </si>
  <si>
    <t>Tide</t>
  </si>
  <si>
    <t>Jasper</t>
  </si>
  <si>
    <t>$131M</t>
  </si>
  <si>
    <t>Ascend Elements</t>
  </si>
  <si>
    <t>Alumni Ventures</t>
  </si>
  <si>
    <t>Chunqing Technology</t>
  </si>
  <si>
    <t>$435M</t>
  </si>
  <si>
    <t>Hangzhou Hi-Tech Investment Holdings Group</t>
  </si>
  <si>
    <t>Berachain</t>
  </si>
  <si>
    <t>$142M</t>
  </si>
  <si>
    <t>BH Digital, Framework Ventures</t>
  </si>
  <si>
    <t>Sigma Computing</t>
  </si>
  <si>
    <t>$622M</t>
  </si>
  <si>
    <t>Avenir, Spark Capital</t>
  </si>
  <si>
    <t>OpenWeb</t>
  </si>
  <si>
    <t>$393M</t>
  </si>
  <si>
    <t>Georgian</t>
  </si>
  <si>
    <t>Boom Supersonic</t>
  </si>
  <si>
    <t>Darsana Capital Partners</t>
  </si>
  <si>
    <t>Stord</t>
  </si>
  <si>
    <t>Strike Capital</t>
  </si>
  <si>
    <t>slice</t>
  </si>
  <si>
    <t>Placer.ai</t>
  </si>
  <si>
    <t>Buckley Ventures, Josh Buckley</t>
  </si>
  <si>
    <t>Kushki</t>
  </si>
  <si>
    <t>Hedosophia, Kaszek</t>
  </si>
  <si>
    <t>Ecuador</t>
  </si>
  <si>
    <t>Yubi</t>
  </si>
  <si>
    <t>B Capital, Dragoneer Investment Group</t>
  </si>
  <si>
    <t>Upside</t>
  </si>
  <si>
    <t>$65M</t>
  </si>
  <si>
    <t>duPont REGISTRY Group</t>
  </si>
  <si>
    <t>Science</t>
  </si>
  <si>
    <t>Flapping Airplanes</t>
  </si>
  <si>
    <t>Google Ventures, Index Ventures</t>
  </si>
  <si>
    <t>Render</t>
  </si>
  <si>
    <t>SellerX</t>
  </si>
  <si>
    <t>Sofina</t>
  </si>
  <si>
    <t>PAPER</t>
  </si>
  <si>
    <t>Sapphire Ventures, SoftBank Vision Fund</t>
  </si>
  <si>
    <t>InMyShow</t>
  </si>
  <si>
    <t>$106M</t>
  </si>
  <si>
    <t>SAIF Partners, SINA</t>
  </si>
  <si>
    <t>eSign</t>
  </si>
  <si>
    <t>Panshi</t>
  </si>
  <si>
    <t>$655M</t>
  </si>
  <si>
    <t>Cybernaut Venture Capital</t>
  </si>
  <si>
    <t>Snack Is Busy</t>
  </si>
  <si>
    <t>Haoxiangni Jujube Industry, Yankershop Food</t>
  </si>
  <si>
    <t>Yuze Semiconductor</t>
  </si>
  <si>
    <t>Huasun Energy</t>
  </si>
  <si>
    <t>$629M</t>
  </si>
  <si>
    <t>China Green Development Investment Group</t>
  </si>
  <si>
    <t>Lead</t>
  </si>
  <si>
    <t>Job&amp;Talent</t>
  </si>
  <si>
    <t>$993M</t>
  </si>
  <si>
    <t>Kinnevik, SoftBank Vision Fund</t>
  </si>
  <si>
    <t>NIO GeniTech</t>
  </si>
  <si>
    <t>IDG Capital, NIO Capital</t>
  </si>
  <si>
    <t>Ouyeel</t>
  </si>
  <si>
    <t>Tuandaiwang</t>
  </si>
  <si>
    <t>China Minsheng Investment Group</t>
  </si>
  <si>
    <t>United Aircraft</t>
  </si>
  <si>
    <t>Longjiang Fund</t>
  </si>
  <si>
    <t>IAD France</t>
  </si>
  <si>
    <t>$364M</t>
  </si>
  <si>
    <t>PaXini Tech</t>
  </si>
  <si>
    <t>$165M</t>
  </si>
  <si>
    <t>Huangpu River Capital, Kaitai Capital</t>
  </si>
  <si>
    <t>Robot Era</t>
  </si>
  <si>
    <t>$411M</t>
  </si>
  <si>
    <t>Geely Capital</t>
  </si>
  <si>
    <t>Spirit AI</t>
  </si>
  <si>
    <t>Chaos Investment, YF Capital</t>
  </si>
  <si>
    <t>Aleo</t>
  </si>
  <si>
    <t>$249M</t>
  </si>
  <si>
    <t>Kora, SoftBank Vision Fund</t>
  </si>
  <si>
    <t>M1 Holdings</t>
  </si>
  <si>
    <t>Harmonic</t>
  </si>
  <si>
    <t>Coocaa</t>
  </si>
  <si>
    <t>Baidu</t>
  </si>
  <si>
    <t>T3 Mobile Travel Services</t>
  </si>
  <si>
    <t>CITIC Capital Holdings</t>
  </si>
  <si>
    <t>AIÂ² Robotics</t>
  </si>
  <si>
    <t>$173M</t>
  </si>
  <si>
    <t>Puhua Capital, Shenzhen Capital Group</t>
  </si>
  <si>
    <t>Galaxea AI</t>
  </si>
  <si>
    <t>$314M</t>
  </si>
  <si>
    <t>Jinding Capital</t>
  </si>
  <si>
    <t>Seasun Games</t>
  </si>
  <si>
    <t>Netradyne</t>
  </si>
  <si>
    <t>$288M</t>
  </si>
  <si>
    <t>Point72 Ventures</t>
  </si>
  <si>
    <t>Judo Bank</t>
  </si>
  <si>
    <t>Ledger</t>
  </si>
  <si>
    <t>$575M</t>
  </si>
  <si>
    <t>Molten Ventures</t>
  </si>
  <si>
    <t>Ryefield Energy</t>
  </si>
  <si>
    <t>Sparkedge Capital</t>
  </si>
  <si>
    <t>Zhuoyu Technology</t>
  </si>
  <si>
    <t>FAW Group</t>
  </si>
  <si>
    <t>Contemporary Amperex Intelligence Technology</t>
  </si>
  <si>
    <t>$281M</t>
  </si>
  <si>
    <t>Tailscale</t>
  </si>
  <si>
    <t>Paddle</t>
  </si>
  <si>
    <t>LIQUiDITY Group</t>
  </si>
  <si>
    <t>Liquid Death</t>
  </si>
  <si>
    <t>AI21 Labs</t>
  </si>
  <si>
    <t>Google, NVIDIA</t>
  </si>
  <si>
    <t>eFishery</t>
  </si>
  <si>
    <t>G42 Expansion Fund</t>
  </si>
  <si>
    <t>Rebellions</t>
  </si>
  <si>
    <t>Arm Holdings, Samsung Ventures</t>
  </si>
  <si>
    <t>Phenom</t>
  </si>
  <si>
    <t>PostHog</t>
  </si>
  <si>
    <t>$182M</t>
  </si>
  <si>
    <t>Peak XV Partners</t>
  </si>
  <si>
    <t>Bordrin Motors</t>
  </si>
  <si>
    <t>$362M</t>
  </si>
  <si>
    <t>GupShup</t>
  </si>
  <si>
    <t>$544M</t>
  </si>
  <si>
    <t>Globespan Capital Partners</t>
  </si>
  <si>
    <t>Clarify Health Solutions</t>
  </si>
  <si>
    <t>Rebel Foods</t>
  </si>
  <si>
    <t>$749M</t>
  </si>
  <si>
    <t>Figment</t>
  </si>
  <si>
    <t>$164M</t>
  </si>
  <si>
    <t>Yotpo</t>
  </si>
  <si>
    <t>Panther</t>
  </si>
  <si>
    <t>VideoAmp</t>
  </si>
  <si>
    <t>$532M</t>
  </si>
  <si>
    <t>Salt Security</t>
  </si>
  <si>
    <t>$271M</t>
  </si>
  <si>
    <t>CrowdStrike Falcon Fund</t>
  </si>
  <si>
    <t>Envoy</t>
  </si>
  <si>
    <t>Deliverect</t>
  </si>
  <si>
    <t>Alkeon Capital, Coatue</t>
  </si>
  <si>
    <t>Astranis</t>
  </si>
  <si>
    <t>$703M</t>
  </si>
  <si>
    <t>Andreessen Horowitz, BAM Elevate</t>
  </si>
  <si>
    <t>Away</t>
  </si>
  <si>
    <t>Cabify</t>
  </si>
  <si>
    <t>Mutua MadrileÃ±a</t>
  </si>
  <si>
    <t>Tripledot Studios</t>
  </si>
  <si>
    <t>The Twenty Minute VC</t>
  </si>
  <si>
    <t>Pristyn Care</t>
  </si>
  <si>
    <t>Epidemic Sound</t>
  </si>
  <si>
    <t>$509M</t>
  </si>
  <si>
    <t>Blackstone Group, EQT</t>
  </si>
  <si>
    <t>Papa</t>
  </si>
  <si>
    <t>$241M</t>
  </si>
  <si>
    <t>Maya</t>
  </si>
  <si>
    <t>$502M</t>
  </si>
  <si>
    <t>Degreed</t>
  </si>
  <si>
    <t>Riverwood Capital, Sapphire Ventures</t>
  </si>
  <si>
    <t>Firebolt</t>
  </si>
  <si>
    <t>Alkeon Capital</t>
  </si>
  <si>
    <t>Symphony Communication Services</t>
  </si>
  <si>
    <t>$511M</t>
  </si>
  <si>
    <t>Mitsubishi UFJ Financial Group, Standard Chartered Bank</t>
  </si>
  <si>
    <t>TaxBit</t>
  </si>
  <si>
    <t>IQT</t>
  </si>
  <si>
    <t>Route</t>
  </si>
  <si>
    <t>$289M</t>
  </si>
  <si>
    <t>Hanaco Venture Capital</t>
  </si>
  <si>
    <t>Neysa</t>
  </si>
  <si>
    <t>Fundamental</t>
  </si>
  <si>
    <t>Harmattan AI</t>
  </si>
  <si>
    <t>$242M</t>
  </si>
  <si>
    <t>Dassault Aviation</t>
  </si>
  <si>
    <t>Nium</t>
  </si>
  <si>
    <t>Moore Strategic Ventures</t>
  </si>
  <si>
    <t>Avathon</t>
  </si>
  <si>
    <t>AEI Horizon X, Alan Howard</t>
  </si>
  <si>
    <t>CanSemi</t>
  </si>
  <si>
    <t>$981M</t>
  </si>
  <si>
    <t>Guangzhou Industrial Investment Group</t>
  </si>
  <si>
    <t>FPL Technologies</t>
  </si>
  <si>
    <t>MacRitchie Investments</t>
  </si>
  <si>
    <t>United Imaging Intelligence</t>
  </si>
  <si>
    <t>$139M</t>
  </si>
  <si>
    <t>E Fund, Shangguo Investment Management</t>
  </si>
  <si>
    <t>Aragen Life Sciences</t>
  </si>
  <si>
    <t>Quadria Capital</t>
  </si>
  <si>
    <t>OVO Energy</t>
  </si>
  <si>
    <t>$581M</t>
  </si>
  <si>
    <t>Mitsubishi Corporation</t>
  </si>
  <si>
    <t>Neon</t>
  </si>
  <si>
    <t>$846M</t>
  </si>
  <si>
    <t>BBVA, Propel</t>
  </si>
  <si>
    <t>Xingji Meizu</t>
  </si>
  <si>
    <t>Asia Investment Fund, Harvest Global Investments</t>
  </si>
  <si>
    <t>LONGi Hydrogen Energy</t>
  </si>
  <si>
    <t>Agibot</t>
  </si>
  <si>
    <t>$85M</t>
  </si>
  <si>
    <t>LG Electronics, Mirae Asset</t>
  </si>
  <si>
    <t>EverlyWell</t>
  </si>
  <si>
    <t>Trish Costello</t>
  </si>
  <si>
    <t>Narwal Robotics</t>
  </si>
  <si>
    <t>Beijing Robot Industry Fund, Tencent</t>
  </si>
  <si>
    <t>Included Health</t>
  </si>
  <si>
    <t>Epirus</t>
  </si>
  <si>
    <t>M42</t>
  </si>
  <si>
    <t>At-Bay</t>
  </si>
  <si>
    <t>ION Crossover Partners</t>
  </si>
  <si>
    <t>New Leshi Smart Home</t>
  </si>
  <si>
    <t>JD.com, Sunac China Holdings</t>
  </si>
  <si>
    <t>ONE Championship</t>
  </si>
  <si>
    <t>$565M</t>
  </si>
  <si>
    <t>XPANCEO</t>
  </si>
  <si>
    <t>Opportunity Venture</t>
  </si>
  <si>
    <t>Garner Health</t>
  </si>
  <si>
    <t>$219M</t>
  </si>
  <si>
    <t>Jaguar Microsystems</t>
  </si>
  <si>
    <t>Signifyd</t>
  </si>
  <si>
    <t>$409M</t>
  </si>
  <si>
    <t>GP Club</t>
  </si>
  <si>
    <t>$67M</t>
  </si>
  <si>
    <t>DayOne</t>
  </si>
  <si>
    <t>TEKEVER</t>
  </si>
  <si>
    <t>Baillie Gifford, NATO Innovation Fund</t>
  </si>
  <si>
    <t>RIDI</t>
  </si>
  <si>
    <t>Linear</t>
  </si>
  <si>
    <t>stc pay</t>
  </si>
  <si>
    <t>Western Union</t>
  </si>
  <si>
    <t>Licious</t>
  </si>
  <si>
    <t>$490M</t>
  </si>
  <si>
    <t>Amansa Capital</t>
  </si>
  <si>
    <t>AG1</t>
  </si>
  <si>
    <t>Alpha Wave Global</t>
  </si>
  <si>
    <t>Pilot</t>
  </si>
  <si>
    <t>$172M</t>
  </si>
  <si>
    <t>Bezos Expeditions, Sequoia Capital</t>
  </si>
  <si>
    <t>Jane Software</t>
  </si>
  <si>
    <t>$10M</t>
  </si>
  <si>
    <t>Frontier Growth</t>
  </si>
  <si>
    <t>Gymshark</t>
  </si>
  <si>
    <t>Intercom</t>
  </si>
  <si>
    <t>Yugabyte</t>
  </si>
  <si>
    <t>CoinTracker</t>
  </si>
  <si>
    <t>$102M</t>
  </si>
  <si>
    <t>iTrustCapital Inc.</t>
  </si>
  <si>
    <t>$128M</t>
  </si>
  <si>
    <t>Left Lane Capital</t>
  </si>
  <si>
    <t>Konfio</t>
  </si>
  <si>
    <t>QED Investors, Tarsadia Capital</t>
  </si>
  <si>
    <t>Domestika</t>
  </si>
  <si>
    <t>$130M</t>
  </si>
  <si>
    <t>Betterment</t>
  </si>
  <si>
    <t>Treasury</t>
  </si>
  <si>
    <t>Flock Freight</t>
  </si>
  <si>
    <t>O'Neil Strategic Capital</t>
  </si>
  <si>
    <t>Haihe Biopharma</t>
  </si>
  <si>
    <t>Kr Space</t>
  </si>
  <si>
    <t>Gopher Asset Management, IDG Capital</t>
  </si>
  <si>
    <t>Loadsmart</t>
  </si>
  <si>
    <t>SOFTBANK Latin America Ventures</t>
  </si>
  <si>
    <t>Lukka</t>
  </si>
  <si>
    <t>$201M</t>
  </si>
  <si>
    <t>Animoca Capital</t>
  </si>
  <si>
    <t>Linktree</t>
  </si>
  <si>
    <t>$166M</t>
  </si>
  <si>
    <t>Zum</t>
  </si>
  <si>
    <t>Snorkel AI</t>
  </si>
  <si>
    <t>Accenture Ventures</t>
  </si>
  <si>
    <t>Nothing</t>
  </si>
  <si>
    <t>$454M</t>
  </si>
  <si>
    <t>DistroKid</t>
  </si>
  <si>
    <t>24M Technologies</t>
  </si>
  <si>
    <t>Nuovo Plus</t>
  </si>
  <si>
    <t>Dream Security</t>
  </si>
  <si>
    <t>$154M</t>
  </si>
  <si>
    <t>Chai Discovery</t>
  </si>
  <si>
    <t>General Catalyst, Oak HC/FT</t>
  </si>
  <si>
    <t>Kapital</t>
  </si>
  <si>
    <t>$174M</t>
  </si>
  <si>
    <t>Pelion Venture Partners, Tribe Capital</t>
  </si>
  <si>
    <t>Lila Sciences</t>
  </si>
  <si>
    <t>Periodic Labs</t>
  </si>
  <si>
    <t>Andreessen Horowitz, Felicis</t>
  </si>
  <si>
    <t>Scribe</t>
  </si>
  <si>
    <t>Purplle</t>
  </si>
  <si>
    <t>Abu Dhabi Investment Authority, Premji Invest</t>
  </si>
  <si>
    <t>Clipboard Health</t>
  </si>
  <si>
    <t>$94M</t>
  </si>
  <si>
    <t>Aalyria</t>
  </si>
  <si>
    <t>Battery Ventures, J2 Ventures</t>
  </si>
  <si>
    <t>Higgsfield</t>
  </si>
  <si>
    <t>GFT Ventures</t>
  </si>
  <si>
    <t>Tulip Interfaces</t>
  </si>
  <si>
    <t>Mitsubishi Electric</t>
  </si>
  <si>
    <t>Deepgram</t>
  </si>
  <si>
    <t>$229M</t>
  </si>
  <si>
    <t>Optibus</t>
  </si>
  <si>
    <t>Volvo Group Venture Capital</t>
  </si>
  <si>
    <t>Equashield</t>
  </si>
  <si>
    <t>MasterControl</t>
  </si>
  <si>
    <t>Octane</t>
  </si>
  <si>
    <t>Mapbox</t>
  </si>
  <si>
    <t>Keyfactor</t>
  </si>
  <si>
    <t>Doc.com</t>
  </si>
  <si>
    <t>Silver Rock Group</t>
  </si>
  <si>
    <t>Underdog Fantasy</t>
  </si>
  <si>
    <t>Wilson Wolf Corporation</t>
  </si>
  <si>
    <t>Bio-Techne</t>
  </si>
  <si>
    <t>BYD Semiconductor</t>
  </si>
  <si>
    <t>Curative</t>
  </si>
  <si>
    <t>Upside Vision Fund</t>
  </si>
  <si>
    <t>Zhidou</t>
  </si>
  <si>
    <t>Geely</t>
  </si>
  <si>
    <t>The Good Glamm Group</t>
  </si>
  <si>
    <t>Juwan Technology</t>
  </si>
  <si>
    <t>ClassDojo</t>
  </si>
  <si>
    <t>$191M</t>
  </si>
  <si>
    <t>1mg</t>
  </si>
  <si>
    <t>Tata Digital</t>
  </si>
  <si>
    <t>Gecko Robotics</t>
  </si>
  <si>
    <t>$347M</t>
  </si>
  <si>
    <t>Chipper Cash</t>
  </si>
  <si>
    <t>Flipdish</t>
  </si>
  <si>
    <t>Incode Technologies</t>
  </si>
  <si>
    <t>General Atlantic, SoftBank</t>
  </si>
  <si>
    <t>Kuaikan Manhua</t>
  </si>
  <si>
    <t>Sidewalk Infrastructure Partners</t>
  </si>
  <si>
    <t>Honor</t>
  </si>
  <si>
    <t>CaptivateIQ</t>
  </si>
  <si>
    <t>Accel, ICONIQ Growth</t>
  </si>
  <si>
    <t>airSlate</t>
  </si>
  <si>
    <t>$132M</t>
  </si>
  <si>
    <t>Belief BioMed</t>
  </si>
  <si>
    <t>Ambience Healthcare</t>
  </si>
  <si>
    <t>Andreessen Horowitz, Oak HC/FT</t>
  </si>
  <si>
    <t>Vantaca</t>
  </si>
  <si>
    <t>Cove Hill Partners</t>
  </si>
  <si>
    <t>LangChain</t>
  </si>
  <si>
    <t>$160M</t>
  </si>
  <si>
    <t>Govini</t>
  </si>
  <si>
    <t>Bain Capital</t>
  </si>
  <si>
    <t>MainFunc</t>
  </si>
  <si>
    <t>LG Technology Ventures, SBI Investment</t>
  </si>
  <si>
    <t>Code Metal</t>
  </si>
  <si>
    <t>Goodfire</t>
  </si>
  <si>
    <t>$207M</t>
  </si>
  <si>
    <t>La Renon</t>
  </si>
  <si>
    <t>$46M</t>
  </si>
  <si>
    <t>A91 Partners</t>
  </si>
  <si>
    <t>Instabase</t>
  </si>
  <si>
    <t>$292M</t>
  </si>
  <si>
    <t>SeatGeek</t>
  </si>
  <si>
    <t>Teamworks</t>
  </si>
  <si>
    <t>ETCP</t>
  </si>
  <si>
    <t>inDrive</t>
  </si>
  <si>
    <t>MicroPort CardioFlow</t>
  </si>
  <si>
    <t>Spiber</t>
  </si>
  <si>
    <t>Public</t>
  </si>
  <si>
    <t>TBM</t>
  </si>
  <si>
    <t>SK Group</t>
  </si>
  <si>
    <t>Castore</t>
  </si>
  <si>
    <t>$188M</t>
  </si>
  <si>
    <t>Raine Ventures</t>
  </si>
  <si>
    <t>Moneyview</t>
  </si>
  <si>
    <t>Clean Planet</t>
  </si>
  <si>
    <t>Miura Co</t>
  </si>
  <si>
    <t>AgentSync</t>
  </si>
  <si>
    <t>Craft Ventures, Valor Ventures</t>
  </si>
  <si>
    <t>Workhuman</t>
  </si>
  <si>
    <t>Atlas Venture</t>
  </si>
  <si>
    <t>Viz</t>
  </si>
  <si>
    <t>CIBC Innovation Banking</t>
  </si>
  <si>
    <t>Mensa Brands</t>
  </si>
  <si>
    <t>Gem</t>
  </si>
  <si>
    <t>$148M</t>
  </si>
  <si>
    <t>Copado</t>
  </si>
  <si>
    <t>MindTickle</t>
  </si>
  <si>
    <t>Choco</t>
  </si>
  <si>
    <t>Ada</t>
  </si>
  <si>
    <t>CarDekho</t>
  </si>
  <si>
    <t>LeapFrog Investments</t>
  </si>
  <si>
    <t>Droom</t>
  </si>
  <si>
    <t>Finvolve, IA Growth Opportunities Fund</t>
  </si>
  <si>
    <t>Berlin Brands Group</t>
  </si>
  <si>
    <t>Ardian</t>
  </si>
  <si>
    <t>SeekOut</t>
  </si>
  <si>
    <t>$189M</t>
  </si>
  <si>
    <t>Qumulo</t>
  </si>
  <si>
    <t>BlackRock Private Equity Partners</t>
  </si>
  <si>
    <t>Offchain Labs</t>
  </si>
  <si>
    <t>$124M</t>
  </si>
  <si>
    <t>Human Longevity</t>
  </si>
  <si>
    <t>$370M</t>
  </si>
  <si>
    <t>TVM Capital Healthcare</t>
  </si>
  <si>
    <t>Multichain</t>
  </si>
  <si>
    <t>Dianrong</t>
  </si>
  <si>
    <t>Affirma Capital, Standard Chartered Private Equity</t>
  </si>
  <si>
    <t>BigPanda</t>
  </si>
  <si>
    <t>UBS, Wells Fargo Strategic Capital</t>
  </si>
  <si>
    <t>iCarbonX</t>
  </si>
  <si>
    <t>China Bridge Capital</t>
  </si>
  <si>
    <t>Tealium</t>
  </si>
  <si>
    <t>Georgian, Silver Lake Waterman</t>
  </si>
  <si>
    <t>Unit</t>
  </si>
  <si>
    <t>Stori</t>
  </si>
  <si>
    <t>BAI capital, Notable Capital</t>
  </si>
  <si>
    <t>DANA</t>
  </si>
  <si>
    <t>Our Next Energy</t>
  </si>
  <si>
    <t>Crescent Ventures</t>
  </si>
  <si>
    <t>Vention</t>
  </si>
  <si>
    <t>$244M</t>
  </si>
  <si>
    <t>Investissement Quebec</t>
  </si>
  <si>
    <t>Porter</t>
  </si>
  <si>
    <t>$357M</t>
  </si>
  <si>
    <t>Elev8 Venture Partners</t>
  </si>
  <si>
    <t>ZYBER 365</t>
  </si>
  <si>
    <t>Preply</t>
  </si>
  <si>
    <t>Allica Bank</t>
  </si>
  <si>
    <t>GLG, Sona Asset Management</t>
  </si>
  <si>
    <t>Vectra AI</t>
  </si>
  <si>
    <t>Merama</t>
  </si>
  <si>
    <t>MONASHEES</t>
  </si>
  <si>
    <t>Iyuno-SDI</t>
  </si>
  <si>
    <t>IMM Investment</t>
  </si>
  <si>
    <t>Form Energy</t>
  </si>
  <si>
    <t>boAt</t>
  </si>
  <si>
    <t>Qualcomm Ventures</t>
  </si>
  <si>
    <t>Qdama</t>
  </si>
  <si>
    <t>Hezhi Investment</t>
  </si>
  <si>
    <t>Creatio</t>
  </si>
  <si>
    <t>Helium</t>
  </si>
  <si>
    <t>Torq</t>
  </si>
  <si>
    <t>Merlin Ventures</t>
  </si>
  <si>
    <t>Imprint</t>
  </si>
  <si>
    <t>Hightouch</t>
  </si>
  <si>
    <t>Nerdio</t>
  </si>
  <si>
    <t>Juspay</t>
  </si>
  <si>
    <t>$198M</t>
  </si>
  <si>
    <t>WestBridge Capital</t>
  </si>
  <si>
    <t>Seekr</t>
  </si>
  <si>
    <t>AMD Ventures, Danu Venture Group</t>
  </si>
  <si>
    <t>Tala Health</t>
  </si>
  <si>
    <t>Sofreh Capital</t>
  </si>
  <si>
    <t>Raise Financial Services</t>
  </si>
  <si>
    <t>Hornbill Capital Advisers</t>
  </si>
  <si>
    <t>Esusu</t>
  </si>
  <si>
    <t>Westbound Equity Partners</t>
  </si>
  <si>
    <t>Hailo</t>
  </si>
  <si>
    <t>Gil Agmon, Poalim Equity</t>
  </si>
  <si>
    <t>Oyster</t>
  </si>
  <si>
    <t>ServiceNow Ventures</t>
  </si>
  <si>
    <t>Livspace</t>
  </si>
  <si>
    <t>$478M</t>
  </si>
  <si>
    <t>XLMEC</t>
  </si>
  <si>
    <t>Shiprocket</t>
  </si>
  <si>
    <t>$424M</t>
  </si>
  <si>
    <t>KdT Ventures</t>
  </si>
  <si>
    <t>STARK</t>
  </si>
  <si>
    <t>$77M</t>
  </si>
  <si>
    <t>Rohlik</t>
  </si>
  <si>
    <t>European Bank for Reconstruction and Development</t>
  </si>
  <si>
    <t>Czech Republic</t>
  </si>
  <si>
    <t>V3 Group</t>
  </si>
  <si>
    <t>Arqiva</t>
  </si>
  <si>
    <t>I-care Group</t>
  </si>
  <si>
    <t>$88M</t>
  </si>
  <si>
    <t>Noshaq</t>
  </si>
  <si>
    <t>Modern Health</t>
  </si>
  <si>
    <t>$167M</t>
  </si>
  <si>
    <t>Innovusion</t>
  </si>
  <si>
    <t>Hermitage Capital</t>
  </si>
  <si>
    <t>Brevo</t>
  </si>
  <si>
    <t>General Atlantic, Oakley Capital</t>
  </si>
  <si>
    <t>Fenergo</t>
  </si>
  <si>
    <t>$760M</t>
  </si>
  <si>
    <t>Astorg, Bridgepoint</t>
  </si>
  <si>
    <t>Alisports</t>
  </si>
  <si>
    <t>Alphaeon</t>
  </si>
  <si>
    <t>$223M</t>
  </si>
  <si>
    <t>Sailing Capital</t>
  </si>
  <si>
    <t>E-Life Financial Services</t>
  </si>
  <si>
    <t>Shandong New Growth Drivers Fund</t>
  </si>
  <si>
    <t>UnionTech</t>
  </si>
  <si>
    <t>Beijing E-town International Investment &amp; Development</t>
  </si>
  <si>
    <t>Skyryse</t>
  </si>
  <si>
    <t>$531M</t>
  </si>
  <si>
    <t>Autopilot Ventures, Fidelity</t>
  </si>
  <si>
    <t>Alpaca</t>
  </si>
  <si>
    <t>$274M</t>
  </si>
  <si>
    <t>Drive Capital</t>
  </si>
  <si>
    <t>Basis</t>
  </si>
  <si>
    <t>Accel, Google Ventures</t>
  </si>
  <si>
    <t>CloudBees</t>
  </si>
  <si>
    <t>Happy Money</t>
  </si>
  <si>
    <t>TruStage Ventures</t>
  </si>
  <si>
    <t>Elemy</t>
  </si>
  <si>
    <t>Goodwater Capital, Premji Invest</t>
  </si>
  <si>
    <t>Rebellion Defense</t>
  </si>
  <si>
    <t>Insight Partners, Venrock</t>
  </si>
  <si>
    <t>DevRev</t>
  </si>
  <si>
    <t>$151M</t>
  </si>
  <si>
    <t>Khosla Ventures, Mayfield Fund</t>
  </si>
  <si>
    <t>Dotc United Group</t>
  </si>
  <si>
    <t>Zeus Entertainment</t>
  </si>
  <si>
    <t>Huihe Healthcare</t>
  </si>
  <si>
    <t>$31M</t>
  </si>
  <si>
    <t>Sherpa Healthcare Partners, Taiping Medical and Health Industry Private Equity Investment Fund</t>
  </si>
  <si>
    <t>Spendesk</t>
  </si>
  <si>
    <t>$312M</t>
  </si>
  <si>
    <t>TalkingData</t>
  </si>
  <si>
    <t>VCI Global</t>
  </si>
  <si>
    <t>Tines</t>
  </si>
  <si>
    <t>Goldman Sachs Growth Equity</t>
  </si>
  <si>
    <t>SKIO Matrix</t>
  </si>
  <si>
    <t>RootCloud</t>
  </si>
  <si>
    <t>Enable</t>
  </si>
  <si>
    <t>Teld New Energy</t>
  </si>
  <si>
    <t>$396M</t>
  </si>
  <si>
    <t>CDH Investments, China Reform Holdings Corporation</t>
  </si>
  <si>
    <t>Coralogix</t>
  </si>
  <si>
    <t>NewView Capital</t>
  </si>
  <si>
    <t>NewsBreak</t>
  </si>
  <si>
    <t>L&amp;P Cosmetic</t>
  </si>
  <si>
    <t>$33M</t>
  </si>
  <si>
    <t>Credit Suisse</t>
  </si>
  <si>
    <t>Chemao</t>
  </si>
  <si>
    <t>ZHEFU Holding</t>
  </si>
  <si>
    <t>Keyuan Petrochemicals</t>
  </si>
  <si>
    <t>Shanghai Fosun High Technology</t>
  </si>
  <si>
    <t>Invoca</t>
  </si>
  <si>
    <t>Silver Lake Waterman</t>
  </si>
  <si>
    <t>Nowports</t>
  </si>
  <si>
    <t>$243M</t>
  </si>
  <si>
    <t>Recover</t>
  </si>
  <si>
    <t>Substack</t>
  </si>
  <si>
    <t>Bond, TCG</t>
  </si>
  <si>
    <t>Juniper Square</t>
  </si>
  <si>
    <t>Nasdaq Ventures</t>
  </si>
  <si>
    <t>LumApps</t>
  </si>
  <si>
    <t>Bridgepoint</t>
  </si>
  <si>
    <t>Modal Labs</t>
  </si>
  <si>
    <t>Material Security</t>
  </si>
  <si>
    <t>$162M</t>
  </si>
  <si>
    <t>Caribou</t>
  </si>
  <si>
    <t>Lendbuzz</t>
  </si>
  <si>
    <t>$222M</t>
  </si>
  <si>
    <t>Group1001</t>
  </si>
  <si>
    <t>Deputy</t>
  </si>
  <si>
    <t>$159M</t>
  </si>
  <si>
    <t>Express Employment Professionals</t>
  </si>
  <si>
    <t>Tango Me</t>
  </si>
  <si>
    <t>Humanity Protocol</t>
  </si>
  <si>
    <t>$52M</t>
  </si>
  <si>
    <t>Jump Crypto, Pantera Capital</t>
  </si>
  <si>
    <t>Staffbase</t>
  </si>
  <si>
    <t>Inspur Cloud</t>
  </si>
  <si>
    <t>CCB International, China Minsheng Bank</t>
  </si>
  <si>
    <t>Chief</t>
  </si>
  <si>
    <t>$140M</t>
  </si>
  <si>
    <t>Apna</t>
  </si>
  <si>
    <t>$193M</t>
  </si>
  <si>
    <t>CAIS</t>
  </si>
  <si>
    <t>$406M</t>
  </si>
  <si>
    <t>IntelyCare</t>
  </si>
  <si>
    <t>$171M</t>
  </si>
  <si>
    <t>Janus Henderson Investors</t>
  </si>
  <si>
    <t>G2</t>
  </si>
  <si>
    <t>Permira, Salesforce Ventures</t>
  </si>
  <si>
    <t>Carousell</t>
  </si>
  <si>
    <t>$376M</t>
  </si>
  <si>
    <t>GoTo Group</t>
  </si>
  <si>
    <t>People.ai</t>
  </si>
  <si>
    <t>Akkadian Ventures, Mubadala Capital Ventures</t>
  </si>
  <si>
    <t>eSentire</t>
  </si>
  <si>
    <t>$186M</t>
  </si>
  <si>
    <t>Georgian, La Caisse</t>
  </si>
  <si>
    <t>Beyond Identity</t>
  </si>
  <si>
    <t>$205M</t>
  </si>
  <si>
    <t>Evolution Equity Partners</t>
  </si>
  <si>
    <t>Zego</t>
  </si>
  <si>
    <t>DST Global, General Catalyst</t>
  </si>
  <si>
    <t>Acko</t>
  </si>
  <si>
    <t>Karat</t>
  </si>
  <si>
    <t>Serena Williams</t>
  </si>
  <si>
    <t>Sunbit</t>
  </si>
  <si>
    <t>Group 11</t>
  </si>
  <si>
    <t>SonderMind</t>
  </si>
  <si>
    <t>Drive Capital, Premji Invest</t>
  </si>
  <si>
    <t>Pharmapacks</t>
  </si>
  <si>
    <t>GlobalBees</t>
  </si>
  <si>
    <t>$185M</t>
  </si>
  <si>
    <t>Premji Invest</t>
  </si>
  <si>
    <t>Yijiupi</t>
  </si>
  <si>
    <t>Fundbox</t>
  </si>
  <si>
    <t>Healthcare of Ontario Pension Plan (HOOPP)</t>
  </si>
  <si>
    <t>LEAD</t>
  </si>
  <si>
    <t>GSV Ventures, WestBridge Capital</t>
  </si>
  <si>
    <t>Rightway</t>
  </si>
  <si>
    <t>$239M</t>
  </si>
  <si>
    <t>Infobip</t>
  </si>
  <si>
    <t>One Equity Partners</t>
  </si>
  <si>
    <t>Imply</t>
  </si>
  <si>
    <t>$215M</t>
  </si>
  <si>
    <t>Teleport</t>
  </si>
  <si>
    <t>osapiens</t>
  </si>
  <si>
    <t>Decarbonization Partners</t>
  </si>
  <si>
    <t>Bank of London</t>
  </si>
  <si>
    <t>Mangrove Capital Partners</t>
  </si>
  <si>
    <t>Letu</t>
  </si>
  <si>
    <t>$30M</t>
  </si>
  <si>
    <t>CICC Capital</t>
  </si>
  <si>
    <t>Raisin</t>
  </si>
  <si>
    <t>M&amp;G Investments</t>
  </si>
  <si>
    <t>Climeworks</t>
  </si>
  <si>
    <t>$946M</t>
  </si>
  <si>
    <t>BigPoint Holding, Partners Group</t>
  </si>
  <si>
    <t>Nxin</t>
  </si>
  <si>
    <t>$53M</t>
  </si>
  <si>
    <t>Beijing Junenghesheng Industry Investment Fund, Beijing Shuju Xinrong Investment Management</t>
  </si>
  <si>
    <t>Earnix</t>
  </si>
  <si>
    <t>$98M</t>
  </si>
  <si>
    <t>Amarenco</t>
  </si>
  <si>
    <t>$515M</t>
  </si>
  <si>
    <t>Arjun Infrastructure Partners</t>
  </si>
  <si>
    <t>Cirkul</t>
  </si>
  <si>
    <t>$112M</t>
  </si>
  <si>
    <t>SC.Holdings</t>
  </si>
  <si>
    <t>Rivigo</t>
  </si>
  <si>
    <t>$269M</t>
  </si>
  <si>
    <t>Elevation Capital, Spring Canter Investment</t>
  </si>
  <si>
    <t>Veepee</t>
  </si>
  <si>
    <t>Qatar Holding</t>
  </si>
  <si>
    <t>MobileCoin</t>
  </si>
  <si>
    <t>$107M</t>
  </si>
  <si>
    <t>Future Ventures, General Catalyst</t>
  </si>
  <si>
    <t>Radius Payment Solutions</t>
  </si>
  <si>
    <t>Inflexion</t>
  </si>
  <si>
    <t>Scivita Medical Technology</t>
  </si>
  <si>
    <t>GL Ventures LLC, Lilly Asia Ventures</t>
  </si>
  <si>
    <t>InCred</t>
  </si>
  <si>
    <t>Ranjan Pai</t>
  </si>
  <si>
    <t>Yi'an Holdings</t>
  </si>
  <si>
    <t>Zhongling Shanghai Investment</t>
  </si>
  <si>
    <t>Jiuxian</t>
  </si>
  <si>
    <t>Density</t>
  </si>
  <si>
    <t>Mixpanel</t>
  </si>
  <si>
    <t>Bain Capital Tech Opportunities</t>
  </si>
  <si>
    <t>Sendbird</t>
  </si>
  <si>
    <t>Steadfast Financial</t>
  </si>
  <si>
    <t>Weatherford Capital</t>
  </si>
  <si>
    <t>Luoji Siwei</t>
  </si>
  <si>
    <t>$144M</t>
  </si>
  <si>
    <t>ZhenFund</t>
  </si>
  <si>
    <t>Origin Quantum</t>
  </si>
  <si>
    <t>Zopa</t>
  </si>
  <si>
    <t>$974M</t>
  </si>
  <si>
    <t>A.P. Moller Holding</t>
  </si>
  <si>
    <t>Element Biosciences</t>
  </si>
  <si>
    <t>Bluepha</t>
  </si>
  <si>
    <t>Zhongping Capital</t>
  </si>
  <si>
    <t>Astronergy</t>
  </si>
  <si>
    <t>Yunhao Capital</t>
  </si>
  <si>
    <t>Chint New Energy</t>
  </si>
  <si>
    <t>World Liberty Financial</t>
  </si>
  <si>
    <t>Aijia Home Furnishing Products</t>
  </si>
  <si>
    <t>$146M</t>
  </si>
  <si>
    <t>Tiantu Capital</t>
  </si>
  <si>
    <t>B&amp;C Chemical</t>
  </si>
  <si>
    <t>China Development Bank Capital, Zhongping Capital</t>
  </si>
  <si>
    <t>Miaoshou Doctor</t>
  </si>
  <si>
    <t>Sequoia Capital, Tencent</t>
  </si>
  <si>
    <t>Veritas Finance</t>
  </si>
  <si>
    <t>Multiples</t>
  </si>
  <si>
    <t>Morning Consult</t>
  </si>
  <si>
    <t>Advance Venture Partners</t>
  </si>
  <si>
    <t>Revel</t>
  </si>
  <si>
    <t>Qiyuan Core Power Technology</t>
  </si>
  <si>
    <t>$359M</t>
  </si>
  <si>
    <t>Contemporary Amperex Technology</t>
  </si>
  <si>
    <t>Chando</t>
  </si>
  <si>
    <t>$104M</t>
  </si>
  <si>
    <t>Harvest Capital, L'Oreal</t>
  </si>
  <si>
    <t>Gaussian Robot</t>
  </si>
  <si>
    <t>Jintuo Capital</t>
  </si>
  <si>
    <t>Zihaiguo</t>
  </si>
  <si>
    <t>$80M</t>
  </si>
  <si>
    <t>Beijing Taikang Investment</t>
  </si>
  <si>
    <t>TrustDecision</t>
  </si>
  <si>
    <t>China Merchants Venture Capital</t>
  </si>
  <si>
    <t>Perfios Software Solutions</t>
  </si>
  <si>
    <t>Lanhu</t>
  </si>
  <si>
    <t>GGV Capital</t>
  </si>
  <si>
    <t>Span</t>
  </si>
  <si>
    <t>Eaton Corporation</t>
  </si>
  <si>
    <t>Electric</t>
  </si>
  <si>
    <t>Harmonic Growth Partners</t>
  </si>
  <si>
    <t>Aqua Security</t>
  </si>
  <si>
    <t>G42</t>
  </si>
  <si>
    <t>Microsoft</t>
  </si>
  <si>
    <t>SnapLogic</t>
  </si>
  <si>
    <t>CHEQ</t>
  </si>
  <si>
    <t>Ample</t>
  </si>
  <si>
    <t>$301M</t>
  </si>
  <si>
    <t>Grover</t>
  </si>
  <si>
    <t>$283M</t>
  </si>
  <si>
    <t>Energy Impact Partners</t>
  </si>
  <si>
    <t>FLASH</t>
  </si>
  <si>
    <t>Vista Equity Partners</t>
  </si>
  <si>
    <t>Hasura</t>
  </si>
  <si>
    <t>$137M</t>
  </si>
  <si>
    <t>Mux</t>
  </si>
  <si>
    <t>Carro</t>
  </si>
  <si>
    <t>Cool Japan Fund</t>
  </si>
  <si>
    <t>Minute Media</t>
  </si>
  <si>
    <t>Dawn Capital</t>
  </si>
  <si>
    <t>Vedantu</t>
  </si>
  <si>
    <t>ABC World Asia</t>
  </si>
  <si>
    <t>Taxfix</t>
  </si>
  <si>
    <t>Printful</t>
  </si>
  <si>
    <t>Bregal Sagemount</t>
  </si>
  <si>
    <t>OneFootball</t>
  </si>
  <si>
    <t>Major League Soccer</t>
  </si>
  <si>
    <t>EmployerDirect Healthcare</t>
  </si>
  <si>
    <t>Dundon Capital Partners</t>
  </si>
  <si>
    <t>TechStyle Fashion Group</t>
  </si>
  <si>
    <t>Shining Capital</t>
  </si>
  <si>
    <t>Mobvoi</t>
  </si>
  <si>
    <t>Nanjing Economic Development Juzhi Technology Innovation Investment Partnership, ZGC Group</t>
  </si>
  <si>
    <t>Moka</t>
  </si>
  <si>
    <t>Zhaogang.com</t>
  </si>
  <si>
    <t>$379M</t>
  </si>
  <si>
    <t>West Fund</t>
  </si>
  <si>
    <t>MegaRobo</t>
  </si>
  <si>
    <t>Asia Investment Capital, GGV Capital</t>
  </si>
  <si>
    <t>Ninebot</t>
  </si>
  <si>
    <t>China Mobile Innovation Industry Fund, SDIC Fund Management</t>
  </si>
  <si>
    <t>Beisen</t>
  </si>
  <si>
    <t>Fidelity International, Goldman Sachs</t>
  </si>
  <si>
    <t>HT Aero</t>
  </si>
  <si>
    <t>5Y Capital, IDG Capital</t>
  </si>
  <si>
    <t>Parametrix.ai</t>
  </si>
  <si>
    <t>Shippo</t>
  </si>
  <si>
    <t>Verily</t>
  </si>
  <si>
    <t>Alphabet, Google</t>
  </si>
  <si>
    <t>Qiniu</t>
  </si>
  <si>
    <t>LeadSquared</t>
  </si>
  <si>
    <t>Bluecore</t>
  </si>
  <si>
    <t>$263M</t>
  </si>
  <si>
    <t>Genies</t>
  </si>
  <si>
    <t>Qingju</t>
  </si>
  <si>
    <t>Didi</t>
  </si>
  <si>
    <t>Shouqi Limousine &amp; Chauffeur</t>
  </si>
  <si>
    <t>Baidu, NIO Capital</t>
  </si>
  <si>
    <t>VulcanForms</t>
  </si>
  <si>
    <t>1789 Capital, Eclipse Ventures</t>
  </si>
  <si>
    <t>Unstoppable Domains</t>
  </si>
  <si>
    <t>$72M</t>
  </si>
  <si>
    <t>Pantera Capital</t>
  </si>
  <si>
    <t>Sightline Payments</t>
  </si>
  <si>
    <t>Dune Analytics</t>
  </si>
  <si>
    <t>$79M</t>
  </si>
  <si>
    <t>POIZON</t>
  </si>
  <si>
    <t>assembly</t>
  </si>
  <si>
    <t>Advent International</t>
  </si>
  <si>
    <t>Speak</t>
  </si>
  <si>
    <t>Huma</t>
  </si>
  <si>
    <t>AstraZeneca</t>
  </si>
  <si>
    <t>Altana</t>
  </si>
  <si>
    <t>Fruitist</t>
  </si>
  <si>
    <t>$425M</t>
  </si>
  <si>
    <t>J.P. Morgan Asset Management</t>
  </si>
  <si>
    <t>Cosm</t>
  </si>
  <si>
    <t>Kiteworks</t>
  </si>
  <si>
    <t>$591M</t>
  </si>
  <si>
    <t>Insight Partners, Sixth Street</t>
  </si>
  <si>
    <t>Svante</t>
  </si>
  <si>
    <t>Canada Growth Fund Investment Management</t>
  </si>
  <si>
    <t>World Labs</t>
  </si>
  <si>
    <t>Cisco</t>
  </si>
  <si>
    <t>Rentberry</t>
  </si>
  <si>
    <t>Berkeley Hills Capital, GTM Capital</t>
  </si>
  <si>
    <t>Twelve</t>
  </si>
  <si>
    <t>$883M</t>
  </si>
  <si>
    <t>United Airlines Ventures</t>
  </si>
  <si>
    <t>HIF Global</t>
  </si>
  <si>
    <t>Mitsui O.S.K. Lines</t>
  </si>
  <si>
    <t>Nimble Robotics</t>
  </si>
  <si>
    <t>Cedar Pine, FedEx</t>
  </si>
  <si>
    <t>Moniepoint</t>
  </si>
  <si>
    <t>Development Partners International, LeapFrog Investments</t>
  </si>
  <si>
    <t>Pacific Fusion</t>
  </si>
  <si>
    <t>Halcyon</t>
  </si>
  <si>
    <t>Cisco Investments, Evolution Equity Partners</t>
  </si>
  <si>
    <t>Lighthouse</t>
  </si>
  <si>
    <t>$470M</t>
  </si>
  <si>
    <t>StepFun</t>
  </si>
  <si>
    <t>Shanghai State-owned Capital Investment</t>
  </si>
  <si>
    <t>Cera</t>
  </si>
  <si>
    <t>BDT &amp; MSD Partners, Schroders Capital</t>
  </si>
  <si>
    <t>Truveta</t>
  </si>
  <si>
    <t>Loft Orbital</t>
  </si>
  <si>
    <t>AXIAL Partners, Tikehau Capital</t>
  </si>
  <si>
    <t>GI Water as a Service</t>
  </si>
  <si>
    <t>Al Qunaibet Investment Fund, Al Zamil</t>
  </si>
  <si>
    <t>BuildOps</t>
  </si>
  <si>
    <t>$226M</t>
  </si>
  <si>
    <t>Meritech Capital Partners</t>
  </si>
  <si>
    <t>Cyberhaven</t>
  </si>
  <si>
    <t>Redpanda Data</t>
  </si>
  <si>
    <t>Assured Insurance Technologies</t>
  </si>
  <si>
    <t>Endless</t>
  </si>
  <si>
    <t>Foresight Ventures</t>
  </si>
  <si>
    <t>Nourish</t>
  </si>
  <si>
    <t>CAST AI</t>
  </si>
  <si>
    <t>Pacific Alliance Ventures</t>
  </si>
  <si>
    <t>JSW One</t>
  </si>
  <si>
    <t>Mitsui &amp; Co</t>
  </si>
  <si>
    <t>Owner</t>
  </si>
  <si>
    <t>Headline, Meritech Capital Partners</t>
  </si>
  <si>
    <t>MUBI</t>
  </si>
  <si>
    <t>Fervo Energy</t>
  </si>
  <si>
    <t>Meter</t>
  </si>
  <si>
    <t>Fireflies.ai</t>
  </si>
  <si>
    <t>$19M</t>
  </si>
  <si>
    <t>Halter</t>
  </si>
  <si>
    <t>New Zealand</t>
  </si>
  <si>
    <t>Flexiv</t>
  </si>
  <si>
    <t>Invus</t>
  </si>
  <si>
    <t>Jumbotail</t>
  </si>
  <si>
    <t>SC Ventures</t>
  </si>
  <si>
    <t>Zama</t>
  </si>
  <si>
    <t>Blockchange Ventures, Pantera Capital</t>
  </si>
  <si>
    <t>Isar Aerospace</t>
  </si>
  <si>
    <t>Eldridge Industries</t>
  </si>
  <si>
    <t>The Open Platform</t>
  </si>
  <si>
    <t>$29M</t>
  </si>
  <si>
    <t>Also</t>
  </si>
  <si>
    <t>Airalo</t>
  </si>
  <si>
    <t>$287M</t>
  </si>
  <si>
    <t>Reka AI</t>
  </si>
  <si>
    <t>NVIDIA, Snowflake</t>
  </si>
  <si>
    <t>Enveda Biosciences</t>
  </si>
  <si>
    <t>Apex</t>
  </si>
  <si>
    <t>Interlagos Capital</t>
  </si>
  <si>
    <t>zerohash</t>
  </si>
  <si>
    <t>$275M</t>
  </si>
  <si>
    <t>Interactive Brokers Group</t>
  </si>
  <si>
    <t>RedotPay</t>
  </si>
  <si>
    <t>Goodwater Capital</t>
  </si>
  <si>
    <t>Thyme Care</t>
  </si>
  <si>
    <t>$234M</t>
  </si>
  <si>
    <t>Radia</t>
  </si>
  <si>
    <t>Good Growth Capital</t>
  </si>
  <si>
    <t>Eve</t>
  </si>
  <si>
    <t>Fintech-IT Group</t>
  </si>
  <si>
    <t>Ukraine-Moldova American Enterprise Fund</t>
  </si>
  <si>
    <t>Ukraine</t>
  </si>
  <si>
    <t>SheMed</t>
  </si>
  <si>
    <t>Substrate</t>
  </si>
  <si>
    <t>Beacon Software</t>
  </si>
  <si>
    <t>D1 Capital Partners, General Catalyst</t>
  </si>
  <si>
    <t>Cornerstone Robotics</t>
  </si>
  <si>
    <t>Hong Kong Investment Corporation Limited</t>
  </si>
  <si>
    <t>Forterra</t>
  </si>
  <si>
    <t>Project Prometheus</t>
  </si>
  <si>
    <t>Jeff Bezos</t>
  </si>
  <si>
    <t>RapidSOS</t>
  </si>
  <si>
    <t>$455M</t>
  </si>
  <si>
    <t>Apax Partners</t>
  </si>
  <si>
    <t>AA-I Technologies</t>
  </si>
  <si>
    <t>Heven AeroTech</t>
  </si>
  <si>
    <t>IonQ</t>
  </si>
  <si>
    <t>Palmetto</t>
  </si>
  <si>
    <t>Moody</t>
  </si>
  <si>
    <t>5Y Capital, Kohlberg Kravis Roberts &amp; Co.</t>
  </si>
  <si>
    <t>Mythical Games</t>
  </si>
  <si>
    <t>$297M</t>
  </si>
  <si>
    <t>Eightco Holdings</t>
  </si>
  <si>
    <t>BigID</t>
  </si>
  <si>
    <t>Riverwood Capital</t>
  </si>
  <si>
    <t>SmartMore Corporation Limited</t>
  </si>
  <si>
    <t>Good Choice Company</t>
  </si>
  <si>
    <t>$39M</t>
  </si>
  <si>
    <t>Polarium</t>
  </si>
  <si>
    <t>$227M</t>
  </si>
  <si>
    <t>AMF</t>
  </si>
  <si>
    <t>reMarkable</t>
  </si>
  <si>
    <t>$24M</t>
  </si>
  <si>
    <t>Habi</t>
  </si>
  <si>
    <t>Homebrew, SOFTBANK Latin America Ventures</t>
  </si>
  <si>
    <t>Opn</t>
  </si>
  <si>
    <t>SCB 10X, SPARX Group</t>
  </si>
  <si>
    <t>Semperis</t>
  </si>
  <si>
    <t>Hercules Capital, JP Morgan</t>
  </si>
  <si>
    <t>TransferMate</t>
  </si>
  <si>
    <t>RPMI Railpen</t>
  </si>
  <si>
    <t>Pebl</t>
  </si>
  <si>
    <t>Eldridge Industries, Norwest</t>
  </si>
  <si>
    <t>JupiterOne</t>
  </si>
  <si>
    <t>Tribe Capital</t>
  </si>
  <si>
    <t>Ultima Genomics</t>
  </si>
  <si>
    <t>Immuta</t>
  </si>
  <si>
    <t>EcoVadis</t>
  </si>
  <si>
    <t>Astorg, Beyond Net Zero</t>
  </si>
  <si>
    <t>Vendr</t>
  </si>
  <si>
    <t>Craft Ventures, SoftBank Vision Fund</t>
  </si>
  <si>
    <t>Turntide Technologies</t>
  </si>
  <si>
    <t>Climate Investment</t>
  </si>
  <si>
    <t>thatgamecompany</t>
  </si>
  <si>
    <t>Sequoia Capital, TPG</t>
  </si>
  <si>
    <t>Zongmu</t>
  </si>
  <si>
    <t>Caitong Capital, Dongyang State-Owned Assets Investment</t>
  </si>
  <si>
    <t>Yunyinggu</t>
  </si>
  <si>
    <t>Visby Medical</t>
  </si>
  <si>
    <t>$383M</t>
  </si>
  <si>
    <t>Catalio Capital Management</t>
  </si>
  <si>
    <t>FourKites</t>
  </si>
  <si>
    <t>Flexe</t>
  </si>
  <si>
    <t>Tebra</t>
  </si>
  <si>
    <t>$387M</t>
  </si>
  <si>
    <t>Hildred Capital</t>
  </si>
  <si>
    <t>JLSemi</t>
  </si>
  <si>
    <t>$90M</t>
  </si>
  <si>
    <t>Exterro</t>
  </si>
  <si>
    <t>Coller Capital, CVC Secondary Partners (Formerly known as Glendower Capital)</t>
  </si>
  <si>
    <t>Prodege</t>
  </si>
  <si>
    <t>Paystand</t>
  </si>
  <si>
    <t>Freenome</t>
  </si>
  <si>
    <t>Roche</t>
  </si>
  <si>
    <t>SAIC Mobility</t>
  </si>
  <si>
    <t>SAIC Motor</t>
  </si>
  <si>
    <t>TerraPower</t>
  </si>
  <si>
    <t>Bill Gates, SK Group</t>
  </si>
  <si>
    <t>Zebec</t>
  </si>
  <si>
    <t>$43M</t>
  </si>
  <si>
    <t>Distributed Global, Solana Ventures</t>
  </si>
  <si>
    <t>Terawatt Infrastructure</t>
  </si>
  <si>
    <t>Vision Ridge Capital Partners</t>
  </si>
  <si>
    <t>Swiftly</t>
  </si>
  <si>
    <t>BRV Capital Management</t>
  </si>
  <si>
    <t>LINE MAN Wongnai</t>
  </si>
  <si>
    <t>GIC, LINE Plus Corporation</t>
  </si>
  <si>
    <t>Satispay</t>
  </si>
  <si>
    <t>Stability AI</t>
  </si>
  <si>
    <t>WPP</t>
  </si>
  <si>
    <t>Xanadu</t>
  </si>
  <si>
    <t>$231M</t>
  </si>
  <si>
    <t>Cambridge Mobile Telematics</t>
  </si>
  <si>
    <t>Gokin Solar</t>
  </si>
  <si>
    <t>IDG Capital, Zhuhai Huafa Group</t>
  </si>
  <si>
    <t>MNT-Halan</t>
  </si>
  <si>
    <t>International Finance Corporation</t>
  </si>
  <si>
    <t>Egypt</t>
  </si>
  <si>
    <t>Atmosphere</t>
  </si>
  <si>
    <t>S3 Ventures, Sageview Capital</t>
  </si>
  <si>
    <t>Aqara</t>
  </si>
  <si>
    <t>Character.ai</t>
  </si>
  <si>
    <t>SiEngine Technology</t>
  </si>
  <si>
    <t>China State-owned Enterprise Structural Adjustment Fund</t>
  </si>
  <si>
    <t>Adept AI</t>
  </si>
  <si>
    <t>General Catalyst, Spark Capital</t>
  </si>
  <si>
    <t>IQM Quantum Computers</t>
  </si>
  <si>
    <t>Ten Eleven Ventures</t>
  </si>
  <si>
    <t>Vidio</t>
  </si>
  <si>
    <t>Dian Swastatika Sentosa</t>
  </si>
  <si>
    <t>Awardco</t>
  </si>
  <si>
    <t>Sixth Street, Spectrum Equity</t>
  </si>
  <si>
    <t>Flo Health</t>
  </si>
  <si>
    <t>Sygnum</t>
  </si>
  <si>
    <t>Blueground</t>
  </si>
  <si>
    <t>Susquehanna Private Equity Investments</t>
  </si>
  <si>
    <t>Xreal</t>
  </si>
  <si>
    <t>Pudong Venture Capital</t>
  </si>
  <si>
    <t>BFMeta</t>
  </si>
  <si>
    <t>Ohmium</t>
  </si>
  <si>
    <t>3M</t>
  </si>
  <si>
    <t>Avenue One</t>
  </si>
  <si>
    <t>Gradiant</t>
  </si>
  <si>
    <t>BoltRock Holdings, Centaurus Capital LP</t>
  </si>
  <si>
    <t>Restaurant365</t>
  </si>
  <si>
    <t>$438M</t>
  </si>
  <si>
    <t>GO</t>
  </si>
  <si>
    <t>Fidelity International, Okayama Kotsu</t>
  </si>
  <si>
    <t>DocPlanner</t>
  </si>
  <si>
    <t>Goldman Sachs Growth Equity, One Peak</t>
  </si>
  <si>
    <t>Poland</t>
  </si>
  <si>
    <t>Kong Studios, Inc.</t>
  </si>
  <si>
    <t>DSC Investment</t>
  </si>
  <si>
    <t>VectorBuilder</t>
  </si>
  <si>
    <t>Guangzhou Yuexiu Industrial Investment Fund</t>
  </si>
  <si>
    <t>1Komma5Â°</t>
  </si>
  <si>
    <t>Sabanci Climate Technologies</t>
  </si>
  <si>
    <t>Typeface</t>
  </si>
  <si>
    <t>Pigment</t>
  </si>
  <si>
    <t>HawkEye 360</t>
  </si>
  <si>
    <t>Center15 Capital, NightDragon</t>
  </si>
  <si>
    <t>Flashbots</t>
  </si>
  <si>
    <t>Paradigm</t>
  </si>
  <si>
    <t>Fullcryo</t>
  </si>
  <si>
    <t>$158M</t>
  </si>
  <si>
    <t>CCB Equity, Chengtong Mixed Reform</t>
  </si>
  <si>
    <t>Imbue</t>
  </si>
  <si>
    <t>$232M</t>
  </si>
  <si>
    <t>Astera Institute</t>
  </si>
  <si>
    <t>Stegra</t>
  </si>
  <si>
    <t>AMF, GIC</t>
  </si>
  <si>
    <t>Verkor</t>
  </si>
  <si>
    <t>Macquarie Group</t>
  </si>
  <si>
    <t>Electric Hydrogen</t>
  </si>
  <si>
    <t>Energy Impact Partners, Fifth Wall</t>
  </si>
  <si>
    <t>Lyten</t>
  </si>
  <si>
    <t>The Luxembourg Future Fund</t>
  </si>
  <si>
    <t>Prove</t>
  </si>
  <si>
    <t>$246M</t>
  </si>
  <si>
    <t>Capital One Ventures, MassMutual Ventures</t>
  </si>
  <si>
    <t>Rong Semiconductor</t>
  </si>
  <si>
    <t>Xing Wang, Yu Renrong</t>
  </si>
  <si>
    <t>Anhui YOFC Advanced Semiconductor</t>
  </si>
  <si>
    <t>$669M</t>
  </si>
  <si>
    <t>Jiangcheng Fund, Yangtze River Industrial Investment Group</t>
  </si>
  <si>
    <t>01.AI</t>
  </si>
  <si>
    <t>Alibaba Cloud</t>
  </si>
  <si>
    <t>Rokid</t>
  </si>
  <si>
    <t>Wuhan Jiangxia Technology Investment</t>
  </si>
  <si>
    <t>Andalusia Labs</t>
  </si>
  <si>
    <t>Tamara</t>
  </si>
  <si>
    <t>$556M</t>
  </si>
  <si>
    <t>Sanabil, Saudi National Bank</t>
  </si>
  <si>
    <t>SolarSpace</t>
  </si>
  <si>
    <t>Silicon Box</t>
  </si>
  <si>
    <t>Insitro</t>
  </si>
  <si>
    <t>Picnic</t>
  </si>
  <si>
    <t>Bill &amp; Melinda Gates Foundation</t>
  </si>
  <si>
    <t>Krutrim</t>
  </si>
  <si>
    <t>Z47</t>
  </si>
  <si>
    <t>DataSnipper</t>
  </si>
  <si>
    <t>Yuanxin Satellite</t>
  </si>
  <si>
    <t>$944M</t>
  </si>
  <si>
    <t>China Development Bank</t>
  </si>
  <si>
    <t>Bugcrowd</t>
  </si>
  <si>
    <t>Polyhedra Network</t>
  </si>
  <si>
    <t>$45M</t>
  </si>
  <si>
    <t>IntraBio</t>
  </si>
  <si>
    <t>$51M</t>
  </si>
  <si>
    <t>io.net</t>
  </si>
  <si>
    <t>Hack VC</t>
  </si>
  <si>
    <t>QI Tech</t>
  </si>
  <si>
    <t>Xaira Therapeutics</t>
  </si>
  <si>
    <t>ARCH Venture Partners, Foresite Capital</t>
  </si>
  <si>
    <t>Monad</t>
  </si>
  <si>
    <t>OKX Ventures</t>
  </si>
  <si>
    <t>LY.com</t>
  </si>
  <si>
    <t>Overseas Chinese Town Holdings</t>
  </si>
  <si>
    <t>Profound</t>
  </si>
  <si>
    <t>$155M</t>
  </si>
  <si>
    <t>MatX</t>
  </si>
  <si>
    <t>Jane Street Capital, Situational Awareness</t>
  </si>
  <si>
    <t>Mesh</t>
  </si>
  <si>
    <t>Dragonfly</t>
  </si>
  <si>
    <t>Nominal</t>
  </si>
  <si>
    <t>UFORCE</t>
  </si>
  <si>
    <t>Lakestar, Shield Capital</t>
  </si>
  <si>
    <t>Eridu AI</t>
  </si>
  <si>
    <t>Capricorn Investment Group, Hudson River Trading</t>
  </si>
  <si>
    <t>Upscale AI</t>
  </si>
  <si>
    <t>Premji Invest, Tiger Global Management</t>
  </si>
  <si>
    <t>Aaru</t>
  </si>
  <si>
    <t>YQN</t>
  </si>
  <si>
    <t>CITIC Capital Holdings, Source Code Capital</t>
  </si>
  <si>
    <t>Serval</t>
  </si>
  <si>
    <t>$122M</t>
  </si>
  <si>
    <t>Tools For Humanity</t>
  </si>
  <si>
    <t>Blockchain Capital</t>
  </si>
  <si>
    <t>Resolve.ai</t>
  </si>
  <si>
    <t>Zyphra</t>
  </si>
  <si>
    <t>BrainCo</t>
  </si>
  <si>
    <t>IDG Capital, Walden International</t>
  </si>
  <si>
    <t>Defense Unicorns</t>
  </si>
  <si>
    <t>Aikido Security</t>
  </si>
  <si>
    <t>ZaiNar</t>
  </si>
  <si>
    <t>Happiness Ventures</t>
  </si>
  <si>
    <t>LiveKit</t>
  </si>
  <si>
    <t>Tandem</t>
  </si>
  <si>
    <t>PaleBlueDot AI</t>
  </si>
  <si>
    <t>Tomorrow.io</t>
  </si>
  <si>
    <t>HarbourVest Partners, Stonecourt Capital</t>
  </si>
  <si>
    <t>Midi Health</t>
  </si>
  <si>
    <t>TRM Labs</t>
  </si>
  <si>
    <t>Positron</t>
  </si>
  <si>
    <t>ARENA Private Wealth, Jump Trading</t>
  </si>
  <si>
    <t>Solace</t>
  </si>
  <si>
    <t>OLIX</t>
  </si>
  <si>
    <t>Hummingbird Ventures</t>
  </si>
  <si>
    <t>Splashtop</t>
  </si>
  <si>
    <t>$99M</t>
  </si>
  <si>
    <t>Shift Technology</t>
  </si>
  <si>
    <t>Guidewire Software</t>
  </si>
  <si>
    <t>NoBroker</t>
  </si>
  <si>
    <t>Chinac.com</t>
  </si>
  <si>
    <t>Orient Securities Capital Investment</t>
  </si>
  <si>
    <t>Juanpi</t>
  </si>
  <si>
    <t>$136M</t>
  </si>
  <si>
    <t>China Merchants Bank, Tiantu Capital</t>
  </si>
  <si>
    <t>NAVER Z</t>
  </si>
  <si>
    <t>$208M</t>
  </si>
  <si>
    <t>Krafton</t>
  </si>
  <si>
    <t>Gelato</t>
  </si>
  <si>
    <t>Turo</t>
  </si>
  <si>
    <t>Allen &amp; Company, Manhattan Venture Partners (MVP)</t>
  </si>
  <si>
    <t>LetsGetChecked</t>
  </si>
  <si>
    <t>Stax</t>
  </si>
  <si>
    <t>Fulcrum Equity Partners</t>
  </si>
  <si>
    <t>Oxyzo</t>
  </si>
  <si>
    <t>Alpha Wave Global, Creation Investments Capital Management, LLC</t>
  </si>
  <si>
    <t>Teya</t>
  </si>
  <si>
    <t>Payhawk</t>
  </si>
  <si>
    <t>Tarana Wireless</t>
  </si>
  <si>
    <t>Digital Alpha</t>
  </si>
  <si>
    <t>Savage X Fenty</t>
  </si>
  <si>
    <t>BlueVoyant</t>
  </si>
  <si>
    <t>$666M</t>
  </si>
  <si>
    <t>Liberty Strategic Capital</t>
  </si>
  <si>
    <t>UST</t>
  </si>
  <si>
    <t>Securonix</t>
  </si>
  <si>
    <t>Plus</t>
  </si>
  <si>
    <t>ClearVue Partners, FountainVest Partners</t>
  </si>
  <si>
    <t>Tractable</t>
  </si>
  <si>
    <t>PPRO</t>
  </si>
  <si>
    <t>$463M</t>
  </si>
  <si>
    <t>Eldridge Industries, JP Morgan</t>
  </si>
  <si>
    <t>Eat Just</t>
  </si>
  <si>
    <t>The Ahimsa Foundation, VegInvest</t>
  </si>
  <si>
    <t>Sift</t>
  </si>
  <si>
    <t>BostonGene</t>
  </si>
  <si>
    <t>NEC Corporation</t>
  </si>
  <si>
    <t>Xendit</t>
  </si>
  <si>
    <t>Coatue, Insight Partners</t>
  </si>
  <si>
    <t>Gauntlet</t>
  </si>
  <si>
    <t>Aibee</t>
  </si>
  <si>
    <t>Xiaomi</t>
  </si>
  <si>
    <t>ShipBob</t>
  </si>
  <si>
    <t>Picsart</t>
  </si>
  <si>
    <t>Darwinbox</t>
  </si>
  <si>
    <t>Fabric</t>
  </si>
  <si>
    <t>Visier</t>
  </si>
  <si>
    <t>PandaDoc</t>
  </si>
  <si>
    <t>$57M</t>
  </si>
  <si>
    <t>Indico Capital Partners</t>
  </si>
  <si>
    <t>Sisense</t>
  </si>
  <si>
    <t>Forte</t>
  </si>
  <si>
    <t>Kora</t>
  </si>
  <si>
    <t>Jellysmack</t>
  </si>
  <si>
    <t>$16M</t>
  </si>
  <si>
    <t>Tiger Data (creators of TimescaleDB)</t>
  </si>
  <si>
    <t>Amperity</t>
  </si>
  <si>
    <t>$187M</t>
  </si>
  <si>
    <t>HighSage Ventures</t>
  </si>
  <si>
    <t>Ivalua</t>
  </si>
  <si>
    <t>Ardian, Tiger Global Management</t>
  </si>
  <si>
    <t>Commonwealth Fusion Systems</t>
  </si>
  <si>
    <t>Clearcover</t>
  </si>
  <si>
    <t>Facily</t>
  </si>
  <si>
    <t>Goodwater Capital, Prosus</t>
  </si>
  <si>
    <t>Nature's Fynd</t>
  </si>
  <si>
    <t>Standard Cognition</t>
  </si>
  <si>
    <t>Resilience</t>
  </si>
  <si>
    <t>OfferUp</t>
  </si>
  <si>
    <t>Pobts</t>
  </si>
  <si>
    <t>Ajaib</t>
  </si>
  <si>
    <t>Wisk Aero</t>
  </si>
  <si>
    <t>The Boeing Company</t>
  </si>
  <si>
    <t>MGX</t>
  </si>
  <si>
    <t>Malta</t>
  </si>
  <si>
    <t>Scandit</t>
  </si>
  <si>
    <t>PatSnap</t>
  </si>
  <si>
    <t>SoftBank Vision Fund, Tencent</t>
  </si>
  <si>
    <t>Quizlet</t>
  </si>
  <si>
    <t>Interos</t>
  </si>
  <si>
    <t>Blue Owl, Structural Capital</t>
  </si>
  <si>
    <t>C2FO</t>
  </si>
  <si>
    <t>$568M</t>
  </si>
  <si>
    <t>Axelar Network</t>
  </si>
  <si>
    <t>Masterworks</t>
  </si>
  <si>
    <t>Hotmart</t>
  </si>
  <si>
    <t>YipitData</t>
  </si>
  <si>
    <t>Bringg</t>
  </si>
  <si>
    <t>Clara</t>
  </si>
  <si>
    <t>Citi Ventures</t>
  </si>
  <si>
    <t>CommerceIQ</t>
  </si>
  <si>
    <t>$196M</t>
  </si>
  <si>
    <t>Betterfly</t>
  </si>
  <si>
    <t>Glade Brook Capital Partners</t>
  </si>
  <si>
    <t>Newsela</t>
  </si>
  <si>
    <t>Franklin Templeton, TCV</t>
  </si>
  <si>
    <t>Sidecar Health</t>
  </si>
  <si>
    <t>Expel</t>
  </si>
  <si>
    <t>CapitalG, Paladin Capital Group</t>
  </si>
  <si>
    <t>EBANX</t>
  </si>
  <si>
    <t>Owkin</t>
  </si>
  <si>
    <t>Bristol-Myers Squibb</t>
  </si>
  <si>
    <t>GoGuardian</t>
  </si>
  <si>
    <t>FreshBooks</t>
  </si>
  <si>
    <t>Accomplice</t>
  </si>
  <si>
    <t>WeLab</t>
  </si>
  <si>
    <t>Cider</t>
  </si>
  <si>
    <t>Omio</t>
  </si>
  <si>
    <t>Kinnevik, Temasek Holdings</t>
  </si>
  <si>
    <t>MinIO</t>
  </si>
  <si>
    <t>$126M</t>
  </si>
  <si>
    <t>Intel Capital</t>
  </si>
  <si>
    <t>Mark43</t>
  </si>
  <si>
    <t>The Spruce House Partnership, Tiger Global Management</t>
  </si>
  <si>
    <t>Evidation Health</t>
  </si>
  <si>
    <t>$259M</t>
  </si>
  <si>
    <t>Kaiser Permanente Ventures, OMERS Private Equity</t>
  </si>
  <si>
    <t>Glia</t>
  </si>
  <si>
    <t>FabFitFun</t>
  </si>
  <si>
    <t>Milano Investment Partners SGR</t>
  </si>
  <si>
    <t>Dental Monitoring</t>
  </si>
  <si>
    <t>$332M</t>
  </si>
  <si>
    <t>ISALT, Lazard Elaia Capital</t>
  </si>
  <si>
    <t>Kopi Kenangan</t>
  </si>
  <si>
    <t>Tybourne Capital Management</t>
  </si>
  <si>
    <t>Movile</t>
  </si>
  <si>
    <t>Prosus Ventures</t>
  </si>
  <si>
    <t>Solo.io</t>
  </si>
  <si>
    <t>Immunai</t>
  </si>
  <si>
    <t>Chrono24</t>
  </si>
  <si>
    <t>Cristiano Ronaldo</t>
  </si>
  <si>
    <t>Healthcare.com</t>
  </si>
  <si>
    <t>Hildred Capital Partners</t>
  </si>
  <si>
    <t>The Zebra</t>
  </si>
  <si>
    <t>Hedosophia</t>
  </si>
  <si>
    <t>Rothy's</t>
  </si>
  <si>
    <t>Alpargatas</t>
  </si>
  <si>
    <t>HMD</t>
  </si>
  <si>
    <t>Ginko Ventures</t>
  </si>
  <si>
    <t>Simply</t>
  </si>
  <si>
    <t>$92M</t>
  </si>
  <si>
    <t>Vagaro</t>
  </si>
  <si>
    <t>FTV Capital</t>
  </si>
  <si>
    <t>Motorway</t>
  </si>
  <si>
    <t>ICONIQ Growth, Index Ventures</t>
  </si>
  <si>
    <t>Semios</t>
  </si>
  <si>
    <t>Morningside</t>
  </si>
  <si>
    <t>Dubizzle Group</t>
  </si>
  <si>
    <t>Patpat</t>
  </si>
  <si>
    <t>Momenta</t>
  </si>
  <si>
    <t>Grab</t>
  </si>
  <si>
    <t>Injective</t>
  </si>
  <si>
    <t>Place</t>
  </si>
  <si>
    <t>ProLogium Technology</t>
  </si>
  <si>
    <t>China Reform Health Management and Services Group Co Ltd</t>
  </si>
  <si>
    <t>Taiwan</t>
  </si>
  <si>
    <t>Fiture</t>
  </si>
  <si>
    <t>All-Stars Investment, BAI capital</t>
  </si>
  <si>
    <t>JMGO</t>
  </si>
  <si>
    <t>$377M</t>
  </si>
  <si>
    <t>IDG Capital, Oppo</t>
  </si>
  <si>
    <t>GoGoX</t>
  </si>
  <si>
    <t>BOCOM International, Cyberport Macro Fund</t>
  </si>
  <si>
    <t>Cadence Solutions</t>
  </si>
  <si>
    <t>Scalapay</t>
  </si>
  <si>
    <t>$443M</t>
  </si>
  <si>
    <t>Poste Italiane</t>
  </si>
  <si>
    <t>Fenbeitong</t>
  </si>
  <si>
    <t>MadeiraMadeira</t>
  </si>
  <si>
    <t>Dynamo, SOFTBANK Latin America Ventures</t>
  </si>
  <si>
    <t>Kujiale</t>
  </si>
  <si>
    <t>Jollychic</t>
  </si>
  <si>
    <t>Agile Robots AG</t>
  </si>
  <si>
    <t>Foxconn Industrial Internet</t>
  </si>
  <si>
    <t>Deeproute</t>
  </si>
  <si>
    <t>Great Wall Motors</t>
  </si>
  <si>
    <t>Orca Bio</t>
  </si>
  <si>
    <t>$442M</t>
  </si>
  <si>
    <t>EcoFlow Tech</t>
  </si>
  <si>
    <t>OrCam Technologies</t>
  </si>
  <si>
    <t>$86M</t>
  </si>
  <si>
    <t>Clal Insurance, Meitav Investment House</t>
  </si>
  <si>
    <t>Hujiang Education Technologies</t>
  </si>
  <si>
    <t>Zhuanzhuan</t>
  </si>
  <si>
    <t>$990M</t>
  </si>
  <si>
    <t>Maimai</t>
  </si>
  <si>
    <t>LMAX Group</t>
  </si>
  <si>
    <t>BeiBei</t>
  </si>
  <si>
    <t>New Horizon Capital, Northern Light Venture Capital</t>
  </si>
  <si>
    <t>Numbrs</t>
  </si>
  <si>
    <t>$109M</t>
  </si>
  <si>
    <t>Saidler &amp; Co.</t>
  </si>
  <si>
    <t>KKW Beauty</t>
  </si>
  <si>
    <t>Coty</t>
  </si>
  <si>
    <t>Tezign</t>
  </si>
  <si>
    <t>Squirrel Ai Learning</t>
  </si>
  <si>
    <t>VNLIFE</t>
  </si>
  <si>
    <t>Dragoneer Investment Group, General Atlantic</t>
  </si>
  <si>
    <t>Kakao Enterprise</t>
  </si>
  <si>
    <t>Hy</t>
  </si>
  <si>
    <t>Interswitch</t>
  </si>
  <si>
    <t>$321M</t>
  </si>
  <si>
    <t>Visa</t>
  </si>
  <si>
    <t>LinkDoc Technology</t>
  </si>
  <si>
    <t>Alibaba Health Information Technology</t>
  </si>
  <si>
    <t>Tresata</t>
  </si>
  <si>
    <t>GCP Capital Partners</t>
  </si>
  <si>
    <t>Mia.com</t>
  </si>
  <si>
    <t>Bitfury Group</t>
  </si>
  <si>
    <t>Korelya Capital</t>
  </si>
  <si>
    <t>Benlai</t>
  </si>
  <si>
    <t>$349M</t>
  </si>
  <si>
    <t>Mingde Holdings</t>
  </si>
  <si>
    <t>DXY</t>
  </si>
  <si>
    <t>$682M</t>
  </si>
  <si>
    <t>Contrast Security</t>
  </si>
  <si>
    <t>Formation Bio</t>
  </si>
  <si>
    <t>$528M</t>
  </si>
  <si>
    <t>58 Daojia</t>
  </si>
  <si>
    <t>Banma Network Technologies</t>
  </si>
  <si>
    <t>Mofang Gongyu</t>
  </si>
  <si>
    <t>Playco</t>
  </si>
  <si>
    <t>Huikedu Group</t>
  </si>
  <si>
    <t>China Oceanwide</t>
  </si>
  <si>
    <t>Knowbox</t>
  </si>
  <si>
    <t>Yidian Zixun</t>
  </si>
  <si>
    <t>Long De Cheng Zhang Culture Communication</t>
  </si>
  <si>
    <t>Qualia</t>
  </si>
  <si>
    <t>Zwift</t>
  </si>
  <si>
    <t>Arrail Dental Clinic</t>
  </si>
  <si>
    <t>Red Ventures</t>
  </si>
  <si>
    <t>Aircall</t>
  </si>
  <si>
    <t>HubSpot Ventures</t>
  </si>
  <si>
    <t>Orbbec</t>
  </si>
  <si>
    <t>COSMOplat</t>
  </si>
  <si>
    <t>$317M</t>
  </si>
  <si>
    <t>Hongtai Fund</t>
  </si>
  <si>
    <t>Xforceplus</t>
  </si>
  <si>
    <t>Mammoth Biosciences</t>
  </si>
  <si>
    <t>YH Global</t>
  </si>
  <si>
    <t>HNF, Yonghua Capital</t>
  </si>
  <si>
    <t>Haomo.AI</t>
  </si>
  <si>
    <t>Jiuzhi Ziben</t>
  </si>
  <si>
    <t>REEF</t>
  </si>
  <si>
    <t>Mubadala Capital Ventures, SoftBank</t>
  </si>
  <si>
    <t>Capsule</t>
  </si>
  <si>
    <t>Quantum Metric</t>
  </si>
  <si>
    <t>FXiaoKe</t>
  </si>
  <si>
    <t>Eastern Bell Capital</t>
  </si>
  <si>
    <t>SmartAsset</t>
  </si>
  <si>
    <t>TTV Capital</t>
  </si>
  <si>
    <t>Lookout</t>
  </si>
  <si>
    <t>Yidao Yongche</t>
  </si>
  <si>
    <t>$790M</t>
  </si>
  <si>
    <t>China CITIC Bank</t>
  </si>
  <si>
    <t>Xiaozhu.com</t>
  </si>
  <si>
    <t>$572M</t>
  </si>
  <si>
    <t>Advantech Capital, YF Capital</t>
  </si>
  <si>
    <t>Hyperchain Technology</t>
  </si>
  <si>
    <t>E Fund Management Co.,LTD.</t>
  </si>
  <si>
    <t>Moviebook</t>
  </si>
  <si>
    <t>Yao Capital</t>
  </si>
  <si>
    <t>Klook</t>
  </si>
  <si>
    <t>Vitruvian Partners</t>
  </si>
  <si>
    <t>Anyscale</t>
  </si>
  <si>
    <t>Addition, Intel Capital</t>
  </si>
  <si>
    <t>Newlink</t>
  </si>
  <si>
    <t>Shandong Green Development Fund</t>
  </si>
  <si>
    <t>Tenglong Holding Group</t>
  </si>
  <si>
    <t>Morgan Stanley Venture Partners, Nanshan Capital</t>
  </si>
  <si>
    <t>APUS Group</t>
  </si>
  <si>
    <t>$116M</t>
  </si>
  <si>
    <t>Chengwei Capital, Qiming Venture Partners</t>
  </si>
  <si>
    <t>Tencent Trusted Doctors</t>
  </si>
  <si>
    <t>Gaw Capital Partners, HSG</t>
  </si>
  <si>
    <t>Orchard</t>
  </si>
  <si>
    <t>Infarm</t>
  </si>
  <si>
    <t>InvestCloud</t>
  </si>
  <si>
    <t>$54M</t>
  </si>
  <si>
    <t>Clearlake Capital Group, Motive Partners</t>
  </si>
  <si>
    <t>Revolution Precrafted</t>
  </si>
  <si>
    <t>500 Global</t>
  </si>
  <si>
    <t>Sennder</t>
  </si>
  <si>
    <t>Womai</t>
  </si>
  <si>
    <t>Taikang Insurance Group</t>
  </si>
  <si>
    <t>Haydon</t>
  </si>
  <si>
    <t>Lamabang</t>
  </si>
  <si>
    <t>Suning.com</t>
  </si>
  <si>
    <t>1KMXC</t>
  </si>
  <si>
    <t>Haoteng Asia</t>
  </si>
  <si>
    <t>Vise</t>
  </si>
  <si>
    <t>Augury</t>
  </si>
  <si>
    <t>$369M</t>
  </si>
  <si>
    <t>Lightrock</t>
  </si>
  <si>
    <t>Lydia</t>
  </si>
  <si>
    <t>Accel, Dragoneer Investment Group</t>
  </si>
  <si>
    <t>SmartMi International Limited</t>
  </si>
  <si>
    <t>Wifi Skeleton Key</t>
  </si>
  <si>
    <t>Eight Roads Ventures</t>
  </si>
  <si>
    <t>Pentera</t>
  </si>
  <si>
    <t>Meero</t>
  </si>
  <si>
    <t>$324M</t>
  </si>
  <si>
    <t>Alven, Eurazeo</t>
  </si>
  <si>
    <t>Huasheng Haoche</t>
  </si>
  <si>
    <t>Crescent Point</t>
  </si>
  <si>
    <t>Swile</t>
  </si>
  <si>
    <t>Hedosophia, SoftBank</t>
  </si>
  <si>
    <t>Emplifi</t>
  </si>
  <si>
    <t>CargoX</t>
  </si>
  <si>
    <t>SOFTBANK Latin America Ventures, Tencent</t>
  </si>
  <si>
    <t>XTransfer</t>
  </si>
  <si>
    <t>$168M</t>
  </si>
  <si>
    <t>Lianshang Literature</t>
  </si>
  <si>
    <t>$20M</t>
  </si>
  <si>
    <t>HOPU Investment Management Company</t>
  </si>
  <si>
    <t>GeoComply</t>
  </si>
  <si>
    <t>Arctos Sports Partners, Norwest</t>
  </si>
  <si>
    <t>Carson Group</t>
  </si>
  <si>
    <t>Kendra Scott Design</t>
  </si>
  <si>
    <t>65 Equity Partners</t>
  </si>
  <si>
    <t>VNG</t>
  </si>
  <si>
    <t>$500K</t>
  </si>
  <si>
    <t>CyberAgent Capital</t>
  </si>
  <si>
    <t>JD.ID</t>
  </si>
  <si>
    <t>Gojek</t>
  </si>
  <si>
    <t>Grupo Axo</t>
  </si>
  <si>
    <t>Xiaoice</t>
  </si>
  <si>
    <t>Quikr</t>
  </si>
  <si>
    <t>Kinnevik, Tiger Global Management</t>
  </si>
  <si>
    <t>Beamery</t>
  </si>
  <si>
    <t>Factorial</t>
  </si>
  <si>
    <t>Atomico</t>
  </si>
  <si>
    <t>Open Financial Technologies</t>
  </si>
  <si>
    <t>IIFL Finance</t>
  </si>
  <si>
    <t>MSquared</t>
  </si>
  <si>
    <t>Andreessen Horowitz, SoftBank Vision Fund</t>
  </si>
  <si>
    <t>UPSIDE Foods</t>
  </si>
  <si>
    <t>Abu Dhabi Growth Fund, Temasek Holdings</t>
  </si>
  <si>
    <t>NexHealth</t>
  </si>
  <si>
    <t>Buckley Ventures</t>
  </si>
  <si>
    <t>Instabox</t>
  </si>
  <si>
    <t>Swedbank Robur</t>
  </si>
  <si>
    <t>iSpot.tv</t>
  </si>
  <si>
    <t>Webull</t>
  </si>
  <si>
    <t>Univers</t>
  </si>
  <si>
    <t>AESC</t>
  </si>
  <si>
    <t>Nissan Motor</t>
  </si>
  <si>
    <t>valuation</t>
  </si>
  <si>
    <t>funding</t>
  </si>
  <si>
    <t>efficiency</t>
  </si>
  <si>
    <t>category</t>
  </si>
  <si>
    <t>log efficiency</t>
  </si>
  <si>
    <t/>
  </si>
  <si>
    <t>Funded</t>
  </si>
  <si>
    <t>Bootstrapped</t>
  </si>
  <si>
    <t>company</t>
  </si>
  <si>
    <t>country</t>
  </si>
  <si>
    <t>continent</t>
  </si>
  <si>
    <t>Russia</t>
  </si>
  <si>
    <t>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</si>
</sst>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BE94-D655-4F6F-8DE2-D46C17F07D82}">
  <dimension ref="A1:F1706"/>
  <sheetViews>
    <sheetView workbookViewId="0">
      <selection activeCell="C6" sqref="C6"/>
    </sheetView>
  </sheetViews>
  <sheetFormatPr defaultRowHeight="15" x14ac:dyDescent="0.25"/>
  <cols>
    <col min="1" max="1" width="26.85546875" customWidth="1"/>
    <col min="2" max="3" width="8.42578125" customWidth="1"/>
    <col min="4" max="4" width="40.7109375" customWidth="1"/>
    <col min="5" max="5" width="20" bestFit="1" customWidth="1"/>
    <col min="6" max="6" width="1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11</v>
      </c>
    </row>
    <row r="6" spans="1:6" x14ac:dyDescent="0.25">
      <c r="A6" t="s">
        <v>26</v>
      </c>
      <c r="B6" t="s">
        <v>27</v>
      </c>
      <c r="C6" t="s">
        <v>14</v>
      </c>
      <c r="D6" t="s">
        <v>28</v>
      </c>
      <c r="E6" t="s">
        <v>10</v>
      </c>
      <c r="F6" t="s">
        <v>11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20</v>
      </c>
      <c r="F7" t="s">
        <v>21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10</v>
      </c>
      <c r="F8" t="s">
        <v>11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11</v>
      </c>
    </row>
    <row r="10" spans="1:6" x14ac:dyDescent="0.25">
      <c r="A10" t="s">
        <v>41</v>
      </c>
      <c r="B10" t="s">
        <v>42</v>
      </c>
      <c r="C10" t="s">
        <v>18</v>
      </c>
      <c r="D10" t="s">
        <v>43</v>
      </c>
      <c r="E10" t="s">
        <v>44</v>
      </c>
      <c r="F10" t="s">
        <v>21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</row>
    <row r="12" spans="1:6" x14ac:dyDescent="0.25">
      <c r="A12" t="s">
        <v>51</v>
      </c>
      <c r="B12" t="s">
        <v>52</v>
      </c>
      <c r="C12" t="s">
        <v>53</v>
      </c>
      <c r="D12" t="s">
        <v>54</v>
      </c>
      <c r="E12" t="s">
        <v>20</v>
      </c>
      <c r="F12" t="s">
        <v>21</v>
      </c>
    </row>
    <row r="13" spans="1:6" x14ac:dyDescent="0.25">
      <c r="A13" t="s">
        <v>55</v>
      </c>
      <c r="B13" t="s">
        <v>56</v>
      </c>
      <c r="C13" t="s">
        <v>35</v>
      </c>
      <c r="D13" t="s">
        <v>57</v>
      </c>
      <c r="E13" t="s">
        <v>44</v>
      </c>
      <c r="F13" t="s">
        <v>21</v>
      </c>
    </row>
    <row r="14" spans="1:6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</row>
    <row r="15" spans="1:6" x14ac:dyDescent="0.25">
      <c r="A15" t="s">
        <v>64</v>
      </c>
      <c r="B15" t="s">
        <v>65</v>
      </c>
      <c r="C15" t="s">
        <v>47</v>
      </c>
      <c r="D15" t="s">
        <v>66</v>
      </c>
      <c r="E15" t="s">
        <v>49</v>
      </c>
      <c r="F15" t="s">
        <v>50</v>
      </c>
    </row>
    <row r="16" spans="1:6" x14ac:dyDescent="0.25">
      <c r="A16" t="s">
        <v>67</v>
      </c>
      <c r="B16" t="s">
        <v>65</v>
      </c>
      <c r="C16" t="s">
        <v>68</v>
      </c>
      <c r="D16" t="s">
        <v>69</v>
      </c>
      <c r="E16" t="s">
        <v>10</v>
      </c>
      <c r="F16" t="s">
        <v>11</v>
      </c>
    </row>
    <row r="17" spans="1:6" x14ac:dyDescent="0.25">
      <c r="A17" t="s">
        <v>70</v>
      </c>
      <c r="B17" t="s">
        <v>71</v>
      </c>
      <c r="C17" t="s">
        <v>47</v>
      </c>
      <c r="D17" t="s">
        <v>72</v>
      </c>
      <c r="E17" t="s">
        <v>10</v>
      </c>
      <c r="F17" t="s">
        <v>11</v>
      </c>
    </row>
    <row r="18" spans="1:6" x14ac:dyDescent="0.25">
      <c r="A18" t="s">
        <v>73</v>
      </c>
      <c r="B18" t="s">
        <v>74</v>
      </c>
      <c r="C18" t="s">
        <v>75</v>
      </c>
      <c r="D18" t="s">
        <v>76</v>
      </c>
      <c r="E18" t="s">
        <v>10</v>
      </c>
      <c r="F18" t="s">
        <v>11</v>
      </c>
    </row>
    <row r="19" spans="1:6" x14ac:dyDescent="0.25">
      <c r="A19" t="s">
        <v>77</v>
      </c>
      <c r="B19" t="s">
        <v>78</v>
      </c>
      <c r="C19" t="s">
        <v>47</v>
      </c>
      <c r="D19" t="s">
        <v>79</v>
      </c>
      <c r="E19" t="s">
        <v>10</v>
      </c>
      <c r="F19" t="s">
        <v>11</v>
      </c>
    </row>
    <row r="20" spans="1:6" x14ac:dyDescent="0.25">
      <c r="A20" t="s">
        <v>80</v>
      </c>
      <c r="B20" t="s">
        <v>78</v>
      </c>
      <c r="C20" t="s">
        <v>81</v>
      </c>
      <c r="D20" t="s">
        <v>82</v>
      </c>
      <c r="E20" t="s">
        <v>10</v>
      </c>
      <c r="F20" t="s">
        <v>11</v>
      </c>
    </row>
    <row r="21" spans="1:6" x14ac:dyDescent="0.25">
      <c r="A21" t="s">
        <v>83</v>
      </c>
      <c r="B21" t="s">
        <v>84</v>
      </c>
      <c r="C21" t="s">
        <v>85</v>
      </c>
      <c r="D21" t="s">
        <v>86</v>
      </c>
      <c r="E21" t="s">
        <v>10</v>
      </c>
      <c r="F21" t="s">
        <v>11</v>
      </c>
    </row>
    <row r="22" spans="1:6" x14ac:dyDescent="0.25">
      <c r="A22" t="s">
        <v>87</v>
      </c>
      <c r="B22" t="s">
        <v>84</v>
      </c>
      <c r="C22" t="s">
        <v>88</v>
      </c>
      <c r="D22" t="s">
        <v>89</v>
      </c>
      <c r="E22" t="s">
        <v>10</v>
      </c>
      <c r="F22" t="s">
        <v>11</v>
      </c>
    </row>
    <row r="23" spans="1:6" x14ac:dyDescent="0.25">
      <c r="A23" t="s">
        <v>90</v>
      </c>
      <c r="B23" t="s">
        <v>91</v>
      </c>
      <c r="C23" t="s">
        <v>14</v>
      </c>
      <c r="D23" t="s">
        <v>92</v>
      </c>
      <c r="E23" t="s">
        <v>10</v>
      </c>
      <c r="F23" t="s">
        <v>11</v>
      </c>
    </row>
    <row r="24" spans="1:6" x14ac:dyDescent="0.25">
      <c r="A24" t="s">
        <v>93</v>
      </c>
      <c r="B24" t="s">
        <v>91</v>
      </c>
      <c r="C24" t="s">
        <v>53</v>
      </c>
      <c r="D24" t="s">
        <v>94</v>
      </c>
      <c r="E24" t="s">
        <v>20</v>
      </c>
      <c r="F24" t="s">
        <v>21</v>
      </c>
    </row>
    <row r="25" spans="1:6" x14ac:dyDescent="0.25">
      <c r="A25" t="s">
        <v>95</v>
      </c>
      <c r="B25" t="s">
        <v>91</v>
      </c>
      <c r="C25" t="s">
        <v>96</v>
      </c>
      <c r="D25" t="s">
        <v>97</v>
      </c>
      <c r="E25" t="s">
        <v>10</v>
      </c>
      <c r="F25" t="s">
        <v>11</v>
      </c>
    </row>
    <row r="26" spans="1:6" x14ac:dyDescent="0.25">
      <c r="A26" t="s">
        <v>98</v>
      </c>
      <c r="B26" t="s">
        <v>99</v>
      </c>
      <c r="C26" t="s">
        <v>81</v>
      </c>
      <c r="D26" t="s">
        <v>100</v>
      </c>
      <c r="E26" t="s">
        <v>10</v>
      </c>
      <c r="F26" t="s">
        <v>11</v>
      </c>
    </row>
    <row r="27" spans="1:6" x14ac:dyDescent="0.25">
      <c r="A27" t="s">
        <v>101</v>
      </c>
      <c r="B27" t="s">
        <v>99</v>
      </c>
      <c r="C27" t="s">
        <v>102</v>
      </c>
      <c r="D27" t="s">
        <v>103</v>
      </c>
      <c r="E27" t="s">
        <v>10</v>
      </c>
      <c r="F27" t="s">
        <v>11</v>
      </c>
    </row>
    <row r="28" spans="1:6" x14ac:dyDescent="0.25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</row>
    <row r="29" spans="1:6" x14ac:dyDescent="0.25">
      <c r="A29" t="s">
        <v>110</v>
      </c>
      <c r="B29" t="s">
        <v>111</v>
      </c>
      <c r="C29" t="s">
        <v>81</v>
      </c>
      <c r="D29" t="s">
        <v>112</v>
      </c>
      <c r="E29" t="s">
        <v>10</v>
      </c>
      <c r="F29" t="s">
        <v>11</v>
      </c>
    </row>
    <row r="30" spans="1:6" x14ac:dyDescent="0.25">
      <c r="A30" t="s">
        <v>113</v>
      </c>
      <c r="B30" t="s">
        <v>111</v>
      </c>
      <c r="C30" t="s">
        <v>114</v>
      </c>
      <c r="D30" t="s">
        <v>115</v>
      </c>
      <c r="E30" t="s">
        <v>20</v>
      </c>
      <c r="F30" t="s">
        <v>21</v>
      </c>
    </row>
    <row r="31" spans="1:6" x14ac:dyDescent="0.25">
      <c r="A31" t="s">
        <v>116</v>
      </c>
      <c r="B31" t="s">
        <v>111</v>
      </c>
      <c r="C31" t="s">
        <v>18</v>
      </c>
      <c r="D31" t="s">
        <v>117</v>
      </c>
      <c r="E31" t="s">
        <v>10</v>
      </c>
      <c r="F31" t="s">
        <v>11</v>
      </c>
    </row>
    <row r="32" spans="1:6" x14ac:dyDescent="0.25">
      <c r="A32" t="s">
        <v>118</v>
      </c>
      <c r="B32" t="s">
        <v>119</v>
      </c>
      <c r="C32" t="s">
        <v>85</v>
      </c>
      <c r="D32" t="s">
        <v>120</v>
      </c>
      <c r="E32" t="s">
        <v>44</v>
      </c>
      <c r="F32" t="s">
        <v>21</v>
      </c>
    </row>
    <row r="33" spans="1:6" x14ac:dyDescent="0.25">
      <c r="A33" t="s">
        <v>121</v>
      </c>
      <c r="B33" t="s">
        <v>122</v>
      </c>
      <c r="C33" t="s">
        <v>47</v>
      </c>
      <c r="D33" t="s">
        <v>123</v>
      </c>
      <c r="E33" t="s">
        <v>20</v>
      </c>
      <c r="F33" t="s">
        <v>21</v>
      </c>
    </row>
    <row r="34" spans="1:6" x14ac:dyDescent="0.25">
      <c r="A34" t="s">
        <v>124</v>
      </c>
      <c r="B34" t="s">
        <v>35</v>
      </c>
      <c r="C34" t="s">
        <v>125</v>
      </c>
      <c r="D34" t="s">
        <v>126</v>
      </c>
      <c r="E34" t="s">
        <v>10</v>
      </c>
      <c r="F34" t="s">
        <v>11</v>
      </c>
    </row>
    <row r="35" spans="1:6" x14ac:dyDescent="0.25">
      <c r="A35" t="s">
        <v>127</v>
      </c>
      <c r="B35" t="s">
        <v>35</v>
      </c>
      <c r="C35" t="s">
        <v>53</v>
      </c>
      <c r="D35" t="s">
        <v>128</v>
      </c>
      <c r="E35" t="s">
        <v>49</v>
      </c>
      <c r="F35" t="s">
        <v>50</v>
      </c>
    </row>
    <row r="36" spans="1:6" x14ac:dyDescent="0.25">
      <c r="A36" t="s">
        <v>129</v>
      </c>
      <c r="B36" t="s">
        <v>35</v>
      </c>
      <c r="C36" t="s">
        <v>125</v>
      </c>
      <c r="D36" t="s">
        <v>130</v>
      </c>
      <c r="E36" t="s">
        <v>10</v>
      </c>
      <c r="F36" t="s">
        <v>11</v>
      </c>
    </row>
    <row r="37" spans="1:6" x14ac:dyDescent="0.25">
      <c r="A37" t="s">
        <v>131</v>
      </c>
      <c r="B37" t="s">
        <v>31</v>
      </c>
      <c r="C37" t="s">
        <v>85</v>
      </c>
      <c r="E37" t="s">
        <v>20</v>
      </c>
      <c r="F37" t="s">
        <v>21</v>
      </c>
    </row>
    <row r="38" spans="1:6" x14ac:dyDescent="0.25">
      <c r="A38" t="s">
        <v>132</v>
      </c>
      <c r="B38" t="s">
        <v>133</v>
      </c>
      <c r="C38" t="s">
        <v>85</v>
      </c>
      <c r="D38" t="s">
        <v>134</v>
      </c>
      <c r="E38" t="s">
        <v>20</v>
      </c>
      <c r="F38" t="s">
        <v>21</v>
      </c>
    </row>
    <row r="39" spans="1:6" x14ac:dyDescent="0.25">
      <c r="A39" t="s">
        <v>135</v>
      </c>
      <c r="B39" t="s">
        <v>133</v>
      </c>
      <c r="C39" t="s">
        <v>136</v>
      </c>
      <c r="D39" t="s">
        <v>137</v>
      </c>
      <c r="E39" t="s">
        <v>10</v>
      </c>
      <c r="F39" t="s">
        <v>11</v>
      </c>
    </row>
    <row r="40" spans="1:6" x14ac:dyDescent="0.25">
      <c r="A40" t="s">
        <v>138</v>
      </c>
      <c r="B40" t="s">
        <v>139</v>
      </c>
      <c r="C40" t="s">
        <v>140</v>
      </c>
      <c r="D40" t="s">
        <v>141</v>
      </c>
      <c r="E40" t="s">
        <v>10</v>
      </c>
      <c r="F40" t="s">
        <v>11</v>
      </c>
    </row>
    <row r="41" spans="1:6" x14ac:dyDescent="0.25">
      <c r="A41" t="s">
        <v>142</v>
      </c>
      <c r="B41" t="s">
        <v>139</v>
      </c>
      <c r="C41" t="s">
        <v>143</v>
      </c>
      <c r="D41" t="s">
        <v>144</v>
      </c>
      <c r="E41" t="s">
        <v>20</v>
      </c>
      <c r="F41" t="s">
        <v>21</v>
      </c>
    </row>
    <row r="42" spans="1:6" x14ac:dyDescent="0.25">
      <c r="A42" t="s">
        <v>145</v>
      </c>
      <c r="B42" t="s">
        <v>139</v>
      </c>
      <c r="C42" t="s">
        <v>53</v>
      </c>
      <c r="D42" t="s">
        <v>146</v>
      </c>
      <c r="E42" t="s">
        <v>20</v>
      </c>
      <c r="F42" t="s">
        <v>21</v>
      </c>
    </row>
    <row r="43" spans="1:6" x14ac:dyDescent="0.25">
      <c r="A43" t="s">
        <v>147</v>
      </c>
      <c r="B43" t="s">
        <v>139</v>
      </c>
      <c r="C43" t="s">
        <v>47</v>
      </c>
      <c r="D43" t="s">
        <v>148</v>
      </c>
      <c r="E43" t="s">
        <v>10</v>
      </c>
      <c r="F43" t="s">
        <v>11</v>
      </c>
    </row>
    <row r="44" spans="1:6" x14ac:dyDescent="0.25">
      <c r="A44" t="s">
        <v>149</v>
      </c>
      <c r="B44" t="s">
        <v>139</v>
      </c>
      <c r="C44" t="s">
        <v>47</v>
      </c>
      <c r="D44" t="s">
        <v>150</v>
      </c>
      <c r="E44" t="s">
        <v>151</v>
      </c>
      <c r="F44" t="s">
        <v>50</v>
      </c>
    </row>
    <row r="45" spans="1:6" x14ac:dyDescent="0.25">
      <c r="A45" t="s">
        <v>152</v>
      </c>
      <c r="B45" t="s">
        <v>102</v>
      </c>
      <c r="C45" t="s">
        <v>81</v>
      </c>
      <c r="D45" t="s">
        <v>153</v>
      </c>
      <c r="E45" t="s">
        <v>20</v>
      </c>
      <c r="F45" t="s">
        <v>21</v>
      </c>
    </row>
    <row r="46" spans="1:6" x14ac:dyDescent="0.25">
      <c r="A46" t="s">
        <v>154</v>
      </c>
      <c r="B46" t="s">
        <v>75</v>
      </c>
      <c r="C46" t="s">
        <v>155</v>
      </c>
      <c r="D46" t="s">
        <v>156</v>
      </c>
      <c r="E46" t="s">
        <v>10</v>
      </c>
      <c r="F46" t="s">
        <v>11</v>
      </c>
    </row>
    <row r="47" spans="1:6" x14ac:dyDescent="0.25">
      <c r="A47" t="s">
        <v>157</v>
      </c>
      <c r="B47" t="s">
        <v>75</v>
      </c>
      <c r="C47" t="s">
        <v>158</v>
      </c>
      <c r="D47" t="s">
        <v>159</v>
      </c>
      <c r="E47" t="s">
        <v>20</v>
      </c>
      <c r="F47" t="s">
        <v>21</v>
      </c>
    </row>
    <row r="48" spans="1:6" x14ac:dyDescent="0.25">
      <c r="A48" t="s">
        <v>160</v>
      </c>
      <c r="B48" t="s">
        <v>75</v>
      </c>
      <c r="C48" t="s">
        <v>125</v>
      </c>
      <c r="D48" t="s">
        <v>161</v>
      </c>
      <c r="E48" t="s">
        <v>10</v>
      </c>
      <c r="F48" t="s">
        <v>11</v>
      </c>
    </row>
    <row r="49" spans="1:6" x14ac:dyDescent="0.25">
      <c r="A49" t="s">
        <v>162</v>
      </c>
      <c r="B49" t="s">
        <v>75</v>
      </c>
      <c r="C49" t="s">
        <v>163</v>
      </c>
      <c r="D49" t="s">
        <v>164</v>
      </c>
      <c r="E49" t="s">
        <v>20</v>
      </c>
      <c r="F49" t="s">
        <v>21</v>
      </c>
    </row>
    <row r="50" spans="1:6" x14ac:dyDescent="0.25">
      <c r="A50" t="s">
        <v>165</v>
      </c>
      <c r="B50" t="s">
        <v>75</v>
      </c>
      <c r="C50" t="s">
        <v>125</v>
      </c>
      <c r="D50" t="s">
        <v>166</v>
      </c>
      <c r="E50" t="s">
        <v>10</v>
      </c>
      <c r="F50" t="s">
        <v>11</v>
      </c>
    </row>
    <row r="51" spans="1:6" x14ac:dyDescent="0.25">
      <c r="A51" t="s">
        <v>167</v>
      </c>
      <c r="B51" t="s">
        <v>75</v>
      </c>
      <c r="C51" t="s">
        <v>125</v>
      </c>
      <c r="D51" t="s">
        <v>156</v>
      </c>
      <c r="E51" t="s">
        <v>10</v>
      </c>
      <c r="F51" t="s">
        <v>11</v>
      </c>
    </row>
    <row r="52" spans="1:6" x14ac:dyDescent="0.25">
      <c r="A52" t="s">
        <v>168</v>
      </c>
      <c r="B52" t="s">
        <v>75</v>
      </c>
      <c r="C52" t="s">
        <v>125</v>
      </c>
      <c r="D52" t="s">
        <v>169</v>
      </c>
      <c r="E52" t="s">
        <v>170</v>
      </c>
      <c r="F52" t="s">
        <v>50</v>
      </c>
    </row>
    <row r="53" spans="1:6" x14ac:dyDescent="0.25">
      <c r="A53" t="s">
        <v>171</v>
      </c>
      <c r="B53" t="s">
        <v>75</v>
      </c>
      <c r="C53" t="s">
        <v>53</v>
      </c>
      <c r="D53" t="s">
        <v>172</v>
      </c>
      <c r="E53" t="s">
        <v>49</v>
      </c>
      <c r="F53" t="s">
        <v>50</v>
      </c>
    </row>
    <row r="54" spans="1:6" x14ac:dyDescent="0.25">
      <c r="A54" t="s">
        <v>173</v>
      </c>
      <c r="B54" t="s">
        <v>75</v>
      </c>
      <c r="C54" t="s">
        <v>174</v>
      </c>
      <c r="D54" t="s">
        <v>175</v>
      </c>
      <c r="E54" t="s">
        <v>10</v>
      </c>
      <c r="F54" t="s">
        <v>11</v>
      </c>
    </row>
    <row r="55" spans="1:6" x14ac:dyDescent="0.25">
      <c r="A55" t="s">
        <v>176</v>
      </c>
      <c r="B55" t="s">
        <v>75</v>
      </c>
      <c r="C55" t="s">
        <v>47</v>
      </c>
      <c r="D55" t="s">
        <v>177</v>
      </c>
      <c r="E55" t="s">
        <v>44</v>
      </c>
      <c r="F55" t="s">
        <v>21</v>
      </c>
    </row>
    <row r="56" spans="1:6" x14ac:dyDescent="0.25">
      <c r="A56" t="s">
        <v>178</v>
      </c>
      <c r="B56" t="s">
        <v>179</v>
      </c>
      <c r="C56" t="s">
        <v>81</v>
      </c>
      <c r="E56" t="s">
        <v>20</v>
      </c>
      <c r="F56" t="s">
        <v>21</v>
      </c>
    </row>
    <row r="57" spans="1:6" x14ac:dyDescent="0.25">
      <c r="A57" t="s">
        <v>180</v>
      </c>
      <c r="B57" t="s">
        <v>179</v>
      </c>
      <c r="C57" s="1">
        <v>0</v>
      </c>
      <c r="E57" t="s">
        <v>10</v>
      </c>
      <c r="F57" t="s">
        <v>11</v>
      </c>
    </row>
    <row r="58" spans="1:6" x14ac:dyDescent="0.25">
      <c r="A58" t="s">
        <v>181</v>
      </c>
      <c r="B58" t="s">
        <v>179</v>
      </c>
      <c r="C58" t="s">
        <v>47</v>
      </c>
      <c r="D58" t="s">
        <v>182</v>
      </c>
      <c r="E58" t="s">
        <v>10</v>
      </c>
      <c r="F58" t="s">
        <v>11</v>
      </c>
    </row>
    <row r="59" spans="1:6" x14ac:dyDescent="0.25">
      <c r="A59" t="s">
        <v>183</v>
      </c>
      <c r="B59" t="s">
        <v>179</v>
      </c>
      <c r="C59" t="s">
        <v>47</v>
      </c>
      <c r="D59" t="s">
        <v>184</v>
      </c>
      <c r="E59" t="s">
        <v>170</v>
      </c>
      <c r="F59" t="s">
        <v>50</v>
      </c>
    </row>
    <row r="60" spans="1:6" x14ac:dyDescent="0.25">
      <c r="A60" t="s">
        <v>185</v>
      </c>
      <c r="B60" t="s">
        <v>179</v>
      </c>
      <c r="C60" t="s">
        <v>81</v>
      </c>
      <c r="D60" t="s">
        <v>186</v>
      </c>
      <c r="E60" t="s">
        <v>187</v>
      </c>
      <c r="F60" t="s">
        <v>50</v>
      </c>
    </row>
    <row r="61" spans="1:6" x14ac:dyDescent="0.25">
      <c r="A61" t="s">
        <v>188</v>
      </c>
      <c r="B61" t="s">
        <v>189</v>
      </c>
      <c r="C61" t="s">
        <v>190</v>
      </c>
      <c r="D61" t="s">
        <v>191</v>
      </c>
      <c r="E61" t="s">
        <v>10</v>
      </c>
      <c r="F61" t="s">
        <v>11</v>
      </c>
    </row>
    <row r="62" spans="1:6" x14ac:dyDescent="0.25">
      <c r="A62" t="s">
        <v>192</v>
      </c>
      <c r="B62" t="s">
        <v>189</v>
      </c>
      <c r="C62" t="s">
        <v>193</v>
      </c>
      <c r="D62" t="s">
        <v>194</v>
      </c>
      <c r="E62" t="s">
        <v>10</v>
      </c>
      <c r="F62" t="s">
        <v>11</v>
      </c>
    </row>
    <row r="63" spans="1:6" x14ac:dyDescent="0.25">
      <c r="A63" t="s">
        <v>195</v>
      </c>
      <c r="B63" t="s">
        <v>189</v>
      </c>
      <c r="C63" t="s">
        <v>81</v>
      </c>
      <c r="D63" t="s">
        <v>196</v>
      </c>
      <c r="E63" t="s">
        <v>10</v>
      </c>
      <c r="F63" t="s">
        <v>11</v>
      </c>
    </row>
    <row r="64" spans="1:6" x14ac:dyDescent="0.25">
      <c r="A64" t="s">
        <v>197</v>
      </c>
      <c r="B64" t="s">
        <v>189</v>
      </c>
      <c r="C64" t="s">
        <v>47</v>
      </c>
      <c r="D64" t="s">
        <v>120</v>
      </c>
      <c r="E64" t="s">
        <v>170</v>
      </c>
      <c r="F64" t="s">
        <v>50</v>
      </c>
    </row>
    <row r="65" spans="1:6" x14ac:dyDescent="0.25">
      <c r="A65" t="s">
        <v>198</v>
      </c>
      <c r="B65" t="s">
        <v>199</v>
      </c>
      <c r="C65" s="1">
        <v>0</v>
      </c>
      <c r="E65" t="s">
        <v>10</v>
      </c>
      <c r="F65" t="s">
        <v>11</v>
      </c>
    </row>
    <row r="66" spans="1:6" x14ac:dyDescent="0.25">
      <c r="A66" t="s">
        <v>200</v>
      </c>
      <c r="B66" t="s">
        <v>199</v>
      </c>
      <c r="C66" t="s">
        <v>201</v>
      </c>
      <c r="D66" t="s">
        <v>202</v>
      </c>
      <c r="E66" t="s">
        <v>10</v>
      </c>
      <c r="F66" t="s">
        <v>11</v>
      </c>
    </row>
    <row r="67" spans="1:6" x14ac:dyDescent="0.25">
      <c r="A67" t="s">
        <v>203</v>
      </c>
      <c r="B67" t="s">
        <v>199</v>
      </c>
      <c r="C67" t="s">
        <v>85</v>
      </c>
      <c r="D67" t="s">
        <v>169</v>
      </c>
      <c r="E67" t="s">
        <v>20</v>
      </c>
      <c r="F67" t="s">
        <v>21</v>
      </c>
    </row>
    <row r="68" spans="1:6" x14ac:dyDescent="0.25">
      <c r="A68" t="s">
        <v>204</v>
      </c>
      <c r="B68" t="s">
        <v>199</v>
      </c>
      <c r="C68" t="s">
        <v>205</v>
      </c>
      <c r="D68" t="s">
        <v>206</v>
      </c>
      <c r="E68" t="s">
        <v>10</v>
      </c>
      <c r="F68" t="s">
        <v>11</v>
      </c>
    </row>
    <row r="69" spans="1:6" x14ac:dyDescent="0.25">
      <c r="A69" t="s">
        <v>207</v>
      </c>
      <c r="B69" t="s">
        <v>199</v>
      </c>
      <c r="C69" t="s">
        <v>47</v>
      </c>
      <c r="D69" t="s">
        <v>15</v>
      </c>
      <c r="E69" t="s">
        <v>10</v>
      </c>
      <c r="F69" t="s">
        <v>11</v>
      </c>
    </row>
    <row r="70" spans="1:6" x14ac:dyDescent="0.25">
      <c r="A70" t="s">
        <v>208</v>
      </c>
      <c r="B70" t="s">
        <v>199</v>
      </c>
      <c r="C70" t="s">
        <v>53</v>
      </c>
      <c r="D70" t="s">
        <v>209</v>
      </c>
      <c r="E70" t="s">
        <v>210</v>
      </c>
      <c r="F70" t="s">
        <v>50</v>
      </c>
    </row>
    <row r="71" spans="1:6" x14ac:dyDescent="0.25">
      <c r="A71" t="s">
        <v>211</v>
      </c>
      <c r="B71" t="s">
        <v>199</v>
      </c>
      <c r="C71" t="s">
        <v>125</v>
      </c>
      <c r="D71" t="s">
        <v>212</v>
      </c>
      <c r="E71" t="s">
        <v>10</v>
      </c>
      <c r="F71" t="s">
        <v>11</v>
      </c>
    </row>
    <row r="72" spans="1:6" x14ac:dyDescent="0.25">
      <c r="A72" t="s">
        <v>213</v>
      </c>
      <c r="B72" t="s">
        <v>199</v>
      </c>
      <c r="C72" t="s">
        <v>125</v>
      </c>
      <c r="D72" t="s">
        <v>214</v>
      </c>
      <c r="E72" t="s">
        <v>49</v>
      </c>
      <c r="F72" t="s">
        <v>50</v>
      </c>
    </row>
    <row r="73" spans="1:6" x14ac:dyDescent="0.25">
      <c r="A73" t="s">
        <v>215</v>
      </c>
      <c r="B73" t="s">
        <v>199</v>
      </c>
      <c r="C73" t="s">
        <v>216</v>
      </c>
      <c r="D73" t="s">
        <v>217</v>
      </c>
      <c r="E73" t="s">
        <v>10</v>
      </c>
      <c r="F73" t="s">
        <v>11</v>
      </c>
    </row>
    <row r="74" spans="1:6" x14ac:dyDescent="0.25">
      <c r="A74" t="s">
        <v>218</v>
      </c>
      <c r="B74" t="s">
        <v>219</v>
      </c>
      <c r="C74" t="s">
        <v>220</v>
      </c>
      <c r="D74" t="s">
        <v>221</v>
      </c>
      <c r="E74" t="s">
        <v>222</v>
      </c>
      <c r="F74" t="s">
        <v>50</v>
      </c>
    </row>
    <row r="75" spans="1:6" x14ac:dyDescent="0.25">
      <c r="A75" t="s">
        <v>223</v>
      </c>
      <c r="B75" t="s">
        <v>219</v>
      </c>
      <c r="C75" t="s">
        <v>224</v>
      </c>
      <c r="D75" t="s">
        <v>225</v>
      </c>
      <c r="E75" t="s">
        <v>10</v>
      </c>
      <c r="F75" t="s">
        <v>11</v>
      </c>
    </row>
    <row r="76" spans="1:6" x14ac:dyDescent="0.25">
      <c r="A76" t="s">
        <v>226</v>
      </c>
      <c r="B76" t="s">
        <v>219</v>
      </c>
      <c r="C76" t="s">
        <v>227</v>
      </c>
      <c r="D76" t="s">
        <v>228</v>
      </c>
      <c r="E76" t="s">
        <v>10</v>
      </c>
      <c r="F76" t="s">
        <v>11</v>
      </c>
    </row>
    <row r="77" spans="1:6" x14ac:dyDescent="0.25">
      <c r="A77" t="s">
        <v>229</v>
      </c>
      <c r="B77" t="s">
        <v>219</v>
      </c>
      <c r="C77" t="s">
        <v>125</v>
      </c>
      <c r="D77" t="s">
        <v>97</v>
      </c>
      <c r="E77" t="s">
        <v>230</v>
      </c>
      <c r="F77" t="s">
        <v>50</v>
      </c>
    </row>
    <row r="78" spans="1:6" x14ac:dyDescent="0.25">
      <c r="A78" t="s">
        <v>231</v>
      </c>
      <c r="B78" t="s">
        <v>219</v>
      </c>
      <c r="C78" t="s">
        <v>47</v>
      </c>
      <c r="D78" t="s">
        <v>232</v>
      </c>
      <c r="E78" t="s">
        <v>10</v>
      </c>
      <c r="F78" t="s">
        <v>11</v>
      </c>
    </row>
    <row r="79" spans="1:6" x14ac:dyDescent="0.25">
      <c r="A79" t="s">
        <v>233</v>
      </c>
      <c r="B79" t="s">
        <v>219</v>
      </c>
      <c r="C79" t="s">
        <v>234</v>
      </c>
      <c r="D79" t="s">
        <v>235</v>
      </c>
      <c r="E79" t="s">
        <v>10</v>
      </c>
      <c r="F79" t="s">
        <v>11</v>
      </c>
    </row>
    <row r="80" spans="1:6" x14ac:dyDescent="0.25">
      <c r="A80" t="s">
        <v>236</v>
      </c>
      <c r="B80" t="s">
        <v>219</v>
      </c>
      <c r="C80" t="s">
        <v>237</v>
      </c>
      <c r="D80" t="s">
        <v>238</v>
      </c>
      <c r="E80" t="s">
        <v>10</v>
      </c>
      <c r="F80" t="s">
        <v>11</v>
      </c>
    </row>
    <row r="81" spans="1:6" x14ac:dyDescent="0.25">
      <c r="A81" t="s">
        <v>239</v>
      </c>
      <c r="B81" t="s">
        <v>240</v>
      </c>
      <c r="C81" t="s">
        <v>241</v>
      </c>
      <c r="D81" t="s">
        <v>242</v>
      </c>
      <c r="E81" t="s">
        <v>10</v>
      </c>
      <c r="F81" t="s">
        <v>11</v>
      </c>
    </row>
    <row r="82" spans="1:6" x14ac:dyDescent="0.25">
      <c r="A82" t="s">
        <v>243</v>
      </c>
      <c r="B82" t="s">
        <v>240</v>
      </c>
      <c r="C82" t="s">
        <v>244</v>
      </c>
      <c r="D82" t="s">
        <v>245</v>
      </c>
      <c r="E82" t="s">
        <v>10</v>
      </c>
      <c r="F82" t="s">
        <v>11</v>
      </c>
    </row>
    <row r="83" spans="1:6" x14ac:dyDescent="0.25">
      <c r="A83" t="s">
        <v>246</v>
      </c>
      <c r="B83" t="s">
        <v>240</v>
      </c>
      <c r="C83" t="s">
        <v>247</v>
      </c>
      <c r="D83" t="s">
        <v>248</v>
      </c>
      <c r="E83" t="s">
        <v>10</v>
      </c>
      <c r="F83" t="s">
        <v>11</v>
      </c>
    </row>
    <row r="84" spans="1:6" x14ac:dyDescent="0.25">
      <c r="A84" t="s">
        <v>249</v>
      </c>
      <c r="B84" t="s">
        <v>240</v>
      </c>
      <c r="C84" t="s">
        <v>250</v>
      </c>
      <c r="D84" t="s">
        <v>251</v>
      </c>
      <c r="E84" t="s">
        <v>108</v>
      </c>
      <c r="F84" t="s">
        <v>109</v>
      </c>
    </row>
    <row r="85" spans="1:6" x14ac:dyDescent="0.25">
      <c r="A85" t="s">
        <v>252</v>
      </c>
      <c r="B85" t="s">
        <v>240</v>
      </c>
      <c r="C85" t="s">
        <v>253</v>
      </c>
      <c r="D85" t="s">
        <v>254</v>
      </c>
      <c r="E85" t="s">
        <v>10</v>
      </c>
      <c r="F85" t="s">
        <v>11</v>
      </c>
    </row>
    <row r="86" spans="1:6" x14ac:dyDescent="0.25">
      <c r="A86" t="s">
        <v>255</v>
      </c>
      <c r="B86" t="s">
        <v>240</v>
      </c>
      <c r="C86" t="s">
        <v>256</v>
      </c>
      <c r="D86" t="s">
        <v>257</v>
      </c>
      <c r="E86" t="s">
        <v>10</v>
      </c>
      <c r="F86" t="s">
        <v>11</v>
      </c>
    </row>
    <row r="87" spans="1:6" x14ac:dyDescent="0.25">
      <c r="A87" t="s">
        <v>258</v>
      </c>
      <c r="B87" t="s">
        <v>240</v>
      </c>
      <c r="C87" t="s">
        <v>81</v>
      </c>
      <c r="D87" t="s">
        <v>259</v>
      </c>
      <c r="E87" t="s">
        <v>10</v>
      </c>
      <c r="F87" t="s">
        <v>11</v>
      </c>
    </row>
    <row r="88" spans="1:6" x14ac:dyDescent="0.25">
      <c r="A88" t="s">
        <v>260</v>
      </c>
      <c r="B88" t="s">
        <v>240</v>
      </c>
      <c r="C88" s="1">
        <v>0</v>
      </c>
      <c r="D88" t="s">
        <v>261</v>
      </c>
      <c r="E88" t="s">
        <v>10</v>
      </c>
      <c r="F88" t="s">
        <v>11</v>
      </c>
    </row>
    <row r="89" spans="1:6" x14ac:dyDescent="0.25">
      <c r="A89" t="s">
        <v>262</v>
      </c>
      <c r="B89" t="s">
        <v>240</v>
      </c>
      <c r="C89" t="s">
        <v>81</v>
      </c>
      <c r="D89" t="s">
        <v>263</v>
      </c>
      <c r="E89" t="s">
        <v>20</v>
      </c>
      <c r="F89" t="s">
        <v>21</v>
      </c>
    </row>
    <row r="90" spans="1:6" x14ac:dyDescent="0.25">
      <c r="A90" t="s">
        <v>264</v>
      </c>
      <c r="B90" t="s">
        <v>240</v>
      </c>
      <c r="C90" t="s">
        <v>53</v>
      </c>
      <c r="D90" t="s">
        <v>265</v>
      </c>
      <c r="E90" t="s">
        <v>20</v>
      </c>
      <c r="F90" t="s">
        <v>21</v>
      </c>
    </row>
    <row r="91" spans="1:6" x14ac:dyDescent="0.25">
      <c r="A91" t="s">
        <v>266</v>
      </c>
      <c r="B91" t="s">
        <v>240</v>
      </c>
      <c r="C91" t="s">
        <v>267</v>
      </c>
      <c r="D91" t="s">
        <v>268</v>
      </c>
      <c r="E91" t="s">
        <v>10</v>
      </c>
      <c r="F91" t="s">
        <v>11</v>
      </c>
    </row>
    <row r="92" spans="1:6" x14ac:dyDescent="0.25">
      <c r="A92" t="s">
        <v>269</v>
      </c>
      <c r="B92" t="s">
        <v>240</v>
      </c>
      <c r="C92" t="s">
        <v>47</v>
      </c>
      <c r="D92" t="s">
        <v>270</v>
      </c>
      <c r="E92" t="s">
        <v>10</v>
      </c>
      <c r="F92" t="s">
        <v>11</v>
      </c>
    </row>
    <row r="93" spans="1:6" x14ac:dyDescent="0.25">
      <c r="A93" t="s">
        <v>271</v>
      </c>
      <c r="B93" t="s">
        <v>240</v>
      </c>
      <c r="C93" t="s">
        <v>47</v>
      </c>
      <c r="D93" t="s">
        <v>272</v>
      </c>
      <c r="E93" t="s">
        <v>273</v>
      </c>
      <c r="F93" t="s">
        <v>21</v>
      </c>
    </row>
    <row r="94" spans="1:6" x14ac:dyDescent="0.25">
      <c r="A94" t="s">
        <v>274</v>
      </c>
      <c r="B94" t="s">
        <v>240</v>
      </c>
      <c r="C94" t="s">
        <v>81</v>
      </c>
      <c r="D94" t="s">
        <v>161</v>
      </c>
      <c r="E94" t="s">
        <v>275</v>
      </c>
      <c r="F94" t="s">
        <v>21</v>
      </c>
    </row>
    <row r="95" spans="1:6" x14ac:dyDescent="0.25">
      <c r="A95" t="s">
        <v>276</v>
      </c>
      <c r="B95" t="s">
        <v>240</v>
      </c>
      <c r="C95" t="s">
        <v>277</v>
      </c>
      <c r="D95" t="s">
        <v>159</v>
      </c>
      <c r="E95" t="s">
        <v>44</v>
      </c>
      <c r="F95" t="s">
        <v>21</v>
      </c>
    </row>
    <row r="96" spans="1:6" x14ac:dyDescent="0.25">
      <c r="A96" t="s">
        <v>278</v>
      </c>
      <c r="B96" t="s">
        <v>240</v>
      </c>
      <c r="C96" t="s">
        <v>125</v>
      </c>
      <c r="D96" t="s">
        <v>82</v>
      </c>
      <c r="E96" t="s">
        <v>10</v>
      </c>
      <c r="F96" t="s">
        <v>11</v>
      </c>
    </row>
    <row r="97" spans="1:6" x14ac:dyDescent="0.25">
      <c r="A97" t="s">
        <v>279</v>
      </c>
      <c r="B97" t="s">
        <v>240</v>
      </c>
      <c r="C97" t="s">
        <v>280</v>
      </c>
      <c r="D97" t="s">
        <v>281</v>
      </c>
      <c r="E97" t="s">
        <v>10</v>
      </c>
      <c r="F97" t="s">
        <v>11</v>
      </c>
    </row>
    <row r="98" spans="1:6" x14ac:dyDescent="0.25">
      <c r="A98" t="s">
        <v>282</v>
      </c>
      <c r="B98" t="s">
        <v>14</v>
      </c>
      <c r="C98" t="s">
        <v>283</v>
      </c>
      <c r="D98" t="s">
        <v>284</v>
      </c>
      <c r="E98" t="s">
        <v>10</v>
      </c>
      <c r="F98" t="s">
        <v>11</v>
      </c>
    </row>
    <row r="99" spans="1:6" x14ac:dyDescent="0.25">
      <c r="A99" t="s">
        <v>285</v>
      </c>
      <c r="B99" t="s">
        <v>14</v>
      </c>
      <c r="C99" t="s">
        <v>286</v>
      </c>
      <c r="D99" t="s">
        <v>287</v>
      </c>
      <c r="E99" t="s">
        <v>44</v>
      </c>
      <c r="F99" t="s">
        <v>21</v>
      </c>
    </row>
    <row r="100" spans="1:6" x14ac:dyDescent="0.25">
      <c r="A100" t="s">
        <v>288</v>
      </c>
      <c r="B100" t="s">
        <v>14</v>
      </c>
      <c r="C100" t="s">
        <v>47</v>
      </c>
      <c r="D100" t="s">
        <v>289</v>
      </c>
      <c r="E100" t="s">
        <v>170</v>
      </c>
      <c r="F100" t="s">
        <v>50</v>
      </c>
    </row>
    <row r="101" spans="1:6" x14ac:dyDescent="0.25">
      <c r="A101" t="s">
        <v>290</v>
      </c>
      <c r="B101" t="s">
        <v>14</v>
      </c>
      <c r="C101" t="s">
        <v>291</v>
      </c>
      <c r="D101" t="s">
        <v>292</v>
      </c>
      <c r="E101" t="s">
        <v>10</v>
      </c>
      <c r="F101" t="s">
        <v>11</v>
      </c>
    </row>
    <row r="102" spans="1:6" x14ac:dyDescent="0.25">
      <c r="A102" t="s">
        <v>293</v>
      </c>
      <c r="B102" t="s">
        <v>14</v>
      </c>
      <c r="C102" t="s">
        <v>47</v>
      </c>
      <c r="D102" t="s">
        <v>254</v>
      </c>
      <c r="E102" t="s">
        <v>294</v>
      </c>
      <c r="F102" t="s">
        <v>21</v>
      </c>
    </row>
    <row r="103" spans="1:6" x14ac:dyDescent="0.25">
      <c r="A103" t="s">
        <v>295</v>
      </c>
      <c r="B103" t="s">
        <v>14</v>
      </c>
      <c r="C103" t="s">
        <v>81</v>
      </c>
      <c r="D103" t="s">
        <v>296</v>
      </c>
      <c r="E103" t="s">
        <v>49</v>
      </c>
      <c r="F103" t="s">
        <v>50</v>
      </c>
    </row>
    <row r="104" spans="1:6" x14ac:dyDescent="0.25">
      <c r="A104" t="s">
        <v>297</v>
      </c>
      <c r="B104" t="s">
        <v>14</v>
      </c>
      <c r="C104" t="s">
        <v>298</v>
      </c>
      <c r="D104" t="s">
        <v>299</v>
      </c>
      <c r="E104" t="s">
        <v>20</v>
      </c>
      <c r="F104" t="s">
        <v>21</v>
      </c>
    </row>
    <row r="105" spans="1:6" x14ac:dyDescent="0.25">
      <c r="A105" t="s">
        <v>300</v>
      </c>
      <c r="B105" t="s">
        <v>14</v>
      </c>
      <c r="C105" t="s">
        <v>47</v>
      </c>
      <c r="D105" t="s">
        <v>107</v>
      </c>
      <c r="E105" t="s">
        <v>10</v>
      </c>
      <c r="F105" t="s">
        <v>11</v>
      </c>
    </row>
    <row r="106" spans="1:6" x14ac:dyDescent="0.25">
      <c r="A106" t="s">
        <v>301</v>
      </c>
      <c r="B106" t="s">
        <v>14</v>
      </c>
      <c r="C106" t="s">
        <v>47</v>
      </c>
      <c r="D106" t="s">
        <v>302</v>
      </c>
      <c r="E106" t="s">
        <v>10</v>
      </c>
      <c r="F106" t="s">
        <v>11</v>
      </c>
    </row>
    <row r="107" spans="1:6" x14ac:dyDescent="0.25">
      <c r="A107" t="s">
        <v>303</v>
      </c>
      <c r="B107" t="s">
        <v>14</v>
      </c>
      <c r="C107" t="s">
        <v>304</v>
      </c>
      <c r="D107" t="s">
        <v>148</v>
      </c>
      <c r="E107" t="s">
        <v>10</v>
      </c>
      <c r="F107" t="s">
        <v>11</v>
      </c>
    </row>
    <row r="108" spans="1:6" x14ac:dyDescent="0.25">
      <c r="A108" t="s">
        <v>305</v>
      </c>
      <c r="B108" t="s">
        <v>14</v>
      </c>
      <c r="C108" t="s">
        <v>306</v>
      </c>
      <c r="E108" t="s">
        <v>44</v>
      </c>
      <c r="F108" t="s">
        <v>21</v>
      </c>
    </row>
    <row r="109" spans="1:6" x14ac:dyDescent="0.25">
      <c r="A109" t="s">
        <v>307</v>
      </c>
      <c r="B109" t="s">
        <v>14</v>
      </c>
      <c r="C109" t="s">
        <v>125</v>
      </c>
      <c r="D109" t="s">
        <v>308</v>
      </c>
      <c r="E109" t="s">
        <v>20</v>
      </c>
      <c r="F109" t="s">
        <v>21</v>
      </c>
    </row>
    <row r="110" spans="1:6" x14ac:dyDescent="0.25">
      <c r="A110" t="s">
        <v>124</v>
      </c>
      <c r="B110" t="s">
        <v>14</v>
      </c>
      <c r="C110" t="s">
        <v>125</v>
      </c>
      <c r="D110" t="s">
        <v>309</v>
      </c>
      <c r="E110" t="s">
        <v>49</v>
      </c>
      <c r="F110" t="s">
        <v>50</v>
      </c>
    </row>
    <row r="111" spans="1:6" x14ac:dyDescent="0.25">
      <c r="A111" t="s">
        <v>310</v>
      </c>
      <c r="B111" t="s">
        <v>14</v>
      </c>
      <c r="C111" t="s">
        <v>47</v>
      </c>
      <c r="D111" t="s">
        <v>311</v>
      </c>
      <c r="E111" t="s">
        <v>49</v>
      </c>
      <c r="F111" t="s">
        <v>50</v>
      </c>
    </row>
    <row r="112" spans="1:6" x14ac:dyDescent="0.25">
      <c r="A112" t="s">
        <v>312</v>
      </c>
      <c r="B112" t="s">
        <v>14</v>
      </c>
      <c r="C112" t="s">
        <v>53</v>
      </c>
      <c r="D112" t="s">
        <v>313</v>
      </c>
      <c r="E112" t="s">
        <v>10</v>
      </c>
      <c r="F112" t="s">
        <v>11</v>
      </c>
    </row>
    <row r="113" spans="1:6" x14ac:dyDescent="0.25">
      <c r="A113" t="s">
        <v>314</v>
      </c>
      <c r="B113" t="s">
        <v>14</v>
      </c>
      <c r="C113" t="s">
        <v>315</v>
      </c>
      <c r="D113" t="s">
        <v>316</v>
      </c>
      <c r="E113" t="s">
        <v>170</v>
      </c>
      <c r="F113" t="s">
        <v>50</v>
      </c>
    </row>
    <row r="114" spans="1:6" x14ac:dyDescent="0.25">
      <c r="A114" t="s">
        <v>317</v>
      </c>
      <c r="B114" t="s">
        <v>18</v>
      </c>
      <c r="C114" t="s">
        <v>47</v>
      </c>
      <c r="D114" t="s">
        <v>318</v>
      </c>
      <c r="E114" t="s">
        <v>319</v>
      </c>
      <c r="F114" t="s">
        <v>50</v>
      </c>
    </row>
    <row r="115" spans="1:6" x14ac:dyDescent="0.25">
      <c r="A115" t="s">
        <v>320</v>
      </c>
      <c r="B115" t="s">
        <v>18</v>
      </c>
      <c r="C115" t="s">
        <v>321</v>
      </c>
      <c r="D115" t="s">
        <v>322</v>
      </c>
      <c r="E115" t="s">
        <v>10</v>
      </c>
      <c r="F115" t="s">
        <v>11</v>
      </c>
    </row>
    <row r="116" spans="1:6" x14ac:dyDescent="0.25">
      <c r="A116" t="s">
        <v>323</v>
      </c>
      <c r="B116" t="s">
        <v>18</v>
      </c>
      <c r="C116" t="s">
        <v>324</v>
      </c>
      <c r="D116" t="s">
        <v>325</v>
      </c>
      <c r="E116" t="s">
        <v>326</v>
      </c>
      <c r="F116" t="s">
        <v>21</v>
      </c>
    </row>
    <row r="117" spans="1:6" x14ac:dyDescent="0.25">
      <c r="A117" t="s">
        <v>327</v>
      </c>
      <c r="B117" t="s">
        <v>18</v>
      </c>
      <c r="C117" t="s">
        <v>328</v>
      </c>
      <c r="D117" t="s">
        <v>177</v>
      </c>
      <c r="E117" t="s">
        <v>329</v>
      </c>
      <c r="F117" t="s">
        <v>50</v>
      </c>
    </row>
    <row r="118" spans="1:6" x14ac:dyDescent="0.25">
      <c r="A118" t="s">
        <v>330</v>
      </c>
      <c r="B118" t="s">
        <v>18</v>
      </c>
      <c r="C118" t="s">
        <v>125</v>
      </c>
      <c r="D118" t="s">
        <v>331</v>
      </c>
      <c r="E118" t="s">
        <v>10</v>
      </c>
      <c r="F118" t="s">
        <v>11</v>
      </c>
    </row>
    <row r="119" spans="1:6" x14ac:dyDescent="0.25">
      <c r="A119" t="s">
        <v>332</v>
      </c>
      <c r="B119" t="s">
        <v>18</v>
      </c>
      <c r="C119" t="s">
        <v>333</v>
      </c>
      <c r="D119" t="s">
        <v>130</v>
      </c>
      <c r="E119" t="s">
        <v>20</v>
      </c>
      <c r="F119" t="s">
        <v>21</v>
      </c>
    </row>
    <row r="120" spans="1:6" x14ac:dyDescent="0.25">
      <c r="A120" t="s">
        <v>334</v>
      </c>
      <c r="B120" t="s">
        <v>18</v>
      </c>
      <c r="C120" t="s">
        <v>47</v>
      </c>
      <c r="D120" t="s">
        <v>335</v>
      </c>
      <c r="E120" t="s">
        <v>10</v>
      </c>
      <c r="F120" t="s">
        <v>11</v>
      </c>
    </row>
    <row r="121" spans="1:6" x14ac:dyDescent="0.25">
      <c r="A121" t="s">
        <v>336</v>
      </c>
      <c r="B121" t="s">
        <v>18</v>
      </c>
      <c r="C121" t="s">
        <v>125</v>
      </c>
      <c r="D121" t="s">
        <v>337</v>
      </c>
      <c r="E121" t="s">
        <v>10</v>
      </c>
      <c r="F121" t="s">
        <v>11</v>
      </c>
    </row>
    <row r="122" spans="1:6" x14ac:dyDescent="0.25">
      <c r="A122" t="s">
        <v>338</v>
      </c>
      <c r="B122" t="s">
        <v>18</v>
      </c>
      <c r="C122" t="s">
        <v>47</v>
      </c>
      <c r="D122" t="s">
        <v>339</v>
      </c>
      <c r="E122" t="s">
        <v>49</v>
      </c>
      <c r="F122" t="s">
        <v>50</v>
      </c>
    </row>
    <row r="123" spans="1:6" x14ac:dyDescent="0.25">
      <c r="A123" t="s">
        <v>340</v>
      </c>
      <c r="B123" t="s">
        <v>18</v>
      </c>
      <c r="C123" t="s">
        <v>125</v>
      </c>
      <c r="D123" t="s">
        <v>341</v>
      </c>
      <c r="E123" t="s">
        <v>62</v>
      </c>
      <c r="F123" t="s">
        <v>63</v>
      </c>
    </row>
    <row r="124" spans="1:6" x14ac:dyDescent="0.25">
      <c r="A124" t="s">
        <v>342</v>
      </c>
      <c r="B124" t="s">
        <v>18</v>
      </c>
      <c r="C124" t="s">
        <v>47</v>
      </c>
      <c r="D124" t="s">
        <v>343</v>
      </c>
      <c r="E124" t="s">
        <v>10</v>
      </c>
      <c r="F124" t="s">
        <v>11</v>
      </c>
    </row>
    <row r="125" spans="1:6" x14ac:dyDescent="0.25">
      <c r="A125" t="s">
        <v>344</v>
      </c>
      <c r="B125" t="s">
        <v>18</v>
      </c>
      <c r="C125" t="s">
        <v>345</v>
      </c>
      <c r="D125" t="s">
        <v>346</v>
      </c>
      <c r="E125" t="s">
        <v>10</v>
      </c>
      <c r="F125" t="s">
        <v>11</v>
      </c>
    </row>
    <row r="126" spans="1:6" x14ac:dyDescent="0.25">
      <c r="A126" t="s">
        <v>347</v>
      </c>
      <c r="B126" t="s">
        <v>18</v>
      </c>
      <c r="C126" t="s">
        <v>348</v>
      </c>
      <c r="D126" t="s">
        <v>349</v>
      </c>
      <c r="E126" t="s">
        <v>350</v>
      </c>
      <c r="F126" t="s">
        <v>21</v>
      </c>
    </row>
    <row r="127" spans="1:6" x14ac:dyDescent="0.25">
      <c r="A127" t="s">
        <v>351</v>
      </c>
      <c r="B127" t="s">
        <v>18</v>
      </c>
      <c r="C127" t="s">
        <v>125</v>
      </c>
      <c r="D127" t="s">
        <v>15</v>
      </c>
      <c r="E127" t="s">
        <v>10</v>
      </c>
      <c r="F127" t="s">
        <v>11</v>
      </c>
    </row>
    <row r="128" spans="1:6" x14ac:dyDescent="0.25">
      <c r="A128" t="s">
        <v>352</v>
      </c>
      <c r="B128" t="s">
        <v>18</v>
      </c>
      <c r="C128" t="s">
        <v>47</v>
      </c>
      <c r="D128" t="s">
        <v>353</v>
      </c>
      <c r="E128" t="s">
        <v>10</v>
      </c>
      <c r="F128" t="s">
        <v>11</v>
      </c>
    </row>
    <row r="129" spans="1:6" x14ac:dyDescent="0.25">
      <c r="A129" t="s">
        <v>354</v>
      </c>
      <c r="B129" t="s">
        <v>18</v>
      </c>
      <c r="C129" t="s">
        <v>355</v>
      </c>
      <c r="E129" t="s">
        <v>294</v>
      </c>
      <c r="F129" t="s">
        <v>21</v>
      </c>
    </row>
    <row r="130" spans="1:6" x14ac:dyDescent="0.25">
      <c r="A130" t="s">
        <v>356</v>
      </c>
      <c r="B130" t="s">
        <v>18</v>
      </c>
      <c r="C130" t="s">
        <v>125</v>
      </c>
      <c r="D130" t="s">
        <v>357</v>
      </c>
      <c r="E130" t="s">
        <v>44</v>
      </c>
      <c r="F130" t="s">
        <v>21</v>
      </c>
    </row>
    <row r="131" spans="1:6" x14ac:dyDescent="0.25">
      <c r="A131" t="s">
        <v>358</v>
      </c>
      <c r="B131" t="s">
        <v>18</v>
      </c>
      <c r="C131" t="s">
        <v>47</v>
      </c>
      <c r="E131" t="s">
        <v>20</v>
      </c>
      <c r="F131" t="s">
        <v>21</v>
      </c>
    </row>
    <row r="132" spans="1:6" x14ac:dyDescent="0.25">
      <c r="A132" t="s">
        <v>359</v>
      </c>
      <c r="B132" t="s">
        <v>18</v>
      </c>
      <c r="C132" s="1">
        <v>0</v>
      </c>
      <c r="E132" t="s">
        <v>360</v>
      </c>
      <c r="F132" t="s">
        <v>50</v>
      </c>
    </row>
    <row r="133" spans="1:6" x14ac:dyDescent="0.25">
      <c r="A133" t="s">
        <v>361</v>
      </c>
      <c r="B133" t="s">
        <v>18</v>
      </c>
      <c r="C133" t="s">
        <v>362</v>
      </c>
      <c r="E133" t="s">
        <v>20</v>
      </c>
      <c r="F133" t="s">
        <v>21</v>
      </c>
    </row>
    <row r="134" spans="1:6" x14ac:dyDescent="0.25">
      <c r="A134" t="s">
        <v>363</v>
      </c>
      <c r="B134" t="s">
        <v>18</v>
      </c>
      <c r="C134" t="s">
        <v>364</v>
      </c>
      <c r="D134" t="s">
        <v>148</v>
      </c>
      <c r="E134" t="s">
        <v>365</v>
      </c>
      <c r="F134" t="s">
        <v>11</v>
      </c>
    </row>
    <row r="135" spans="1:6" x14ac:dyDescent="0.25">
      <c r="A135" t="s">
        <v>366</v>
      </c>
      <c r="B135" t="s">
        <v>18</v>
      </c>
      <c r="C135" t="s">
        <v>47</v>
      </c>
      <c r="D135" t="s">
        <v>66</v>
      </c>
      <c r="E135" t="s">
        <v>10</v>
      </c>
      <c r="F135" t="s">
        <v>11</v>
      </c>
    </row>
    <row r="136" spans="1:6" x14ac:dyDescent="0.25">
      <c r="A136" t="s">
        <v>367</v>
      </c>
      <c r="B136" t="s">
        <v>18</v>
      </c>
      <c r="C136" t="s">
        <v>47</v>
      </c>
      <c r="D136" t="s">
        <v>368</v>
      </c>
      <c r="E136" t="s">
        <v>10</v>
      </c>
      <c r="F136" t="s">
        <v>11</v>
      </c>
    </row>
    <row r="137" spans="1:6" x14ac:dyDescent="0.25">
      <c r="A137" t="s">
        <v>369</v>
      </c>
      <c r="B137" t="s">
        <v>18</v>
      </c>
      <c r="C137" t="s">
        <v>370</v>
      </c>
      <c r="D137" t="s">
        <v>15</v>
      </c>
      <c r="E137" t="s">
        <v>10</v>
      </c>
      <c r="F137" t="s">
        <v>11</v>
      </c>
    </row>
    <row r="138" spans="1:6" x14ac:dyDescent="0.25">
      <c r="A138" t="s">
        <v>371</v>
      </c>
      <c r="B138" t="s">
        <v>18</v>
      </c>
      <c r="C138" t="s">
        <v>372</v>
      </c>
      <c r="D138" t="s">
        <v>373</v>
      </c>
      <c r="E138" t="s">
        <v>10</v>
      </c>
      <c r="F138" t="s">
        <v>11</v>
      </c>
    </row>
    <row r="139" spans="1:6" x14ac:dyDescent="0.25">
      <c r="A139" t="s">
        <v>374</v>
      </c>
      <c r="B139" t="s">
        <v>114</v>
      </c>
      <c r="C139" t="s">
        <v>375</v>
      </c>
      <c r="D139" t="s">
        <v>376</v>
      </c>
      <c r="E139" t="s">
        <v>10</v>
      </c>
      <c r="F139" t="s">
        <v>11</v>
      </c>
    </row>
    <row r="140" spans="1:6" x14ac:dyDescent="0.25">
      <c r="A140" t="s">
        <v>377</v>
      </c>
      <c r="B140" t="s">
        <v>114</v>
      </c>
      <c r="C140" t="s">
        <v>125</v>
      </c>
      <c r="D140" t="s">
        <v>378</v>
      </c>
      <c r="E140" t="s">
        <v>10</v>
      </c>
      <c r="F140" t="s">
        <v>11</v>
      </c>
    </row>
    <row r="141" spans="1:6" x14ac:dyDescent="0.25">
      <c r="A141" t="s">
        <v>379</v>
      </c>
      <c r="B141" t="s">
        <v>114</v>
      </c>
      <c r="C141" t="s">
        <v>125</v>
      </c>
      <c r="D141" t="s">
        <v>380</v>
      </c>
      <c r="E141" t="s">
        <v>10</v>
      </c>
      <c r="F141" t="s">
        <v>11</v>
      </c>
    </row>
    <row r="142" spans="1:6" x14ac:dyDescent="0.25">
      <c r="A142" t="s">
        <v>381</v>
      </c>
      <c r="B142" t="s">
        <v>114</v>
      </c>
      <c r="C142" t="s">
        <v>382</v>
      </c>
      <c r="D142" t="s">
        <v>383</v>
      </c>
      <c r="E142" t="s">
        <v>384</v>
      </c>
      <c r="F142" t="s">
        <v>21</v>
      </c>
    </row>
    <row r="143" spans="1:6" x14ac:dyDescent="0.25">
      <c r="A143" t="s">
        <v>385</v>
      </c>
      <c r="B143" t="s">
        <v>114</v>
      </c>
      <c r="C143" t="s">
        <v>386</v>
      </c>
      <c r="D143" t="s">
        <v>331</v>
      </c>
      <c r="E143" t="s">
        <v>10</v>
      </c>
      <c r="F143" t="s">
        <v>11</v>
      </c>
    </row>
    <row r="144" spans="1:6" x14ac:dyDescent="0.25">
      <c r="A144" t="s">
        <v>387</v>
      </c>
      <c r="B144" t="s">
        <v>114</v>
      </c>
      <c r="C144" t="s">
        <v>388</v>
      </c>
      <c r="D144" t="s">
        <v>389</v>
      </c>
      <c r="E144" t="s">
        <v>10</v>
      </c>
      <c r="F144" t="s">
        <v>11</v>
      </c>
    </row>
    <row r="145" spans="1:6" x14ac:dyDescent="0.25">
      <c r="A145" t="s">
        <v>390</v>
      </c>
      <c r="B145" t="s">
        <v>114</v>
      </c>
      <c r="C145" t="s">
        <v>125</v>
      </c>
      <c r="D145" t="s">
        <v>391</v>
      </c>
      <c r="E145" t="s">
        <v>365</v>
      </c>
      <c r="F145" t="s">
        <v>11</v>
      </c>
    </row>
    <row r="146" spans="1:6" x14ac:dyDescent="0.25">
      <c r="A146" t="s">
        <v>392</v>
      </c>
      <c r="B146" t="s">
        <v>114</v>
      </c>
      <c r="C146" t="s">
        <v>393</v>
      </c>
      <c r="D146" t="s">
        <v>394</v>
      </c>
      <c r="E146" t="s">
        <v>49</v>
      </c>
      <c r="F146" t="s">
        <v>50</v>
      </c>
    </row>
    <row r="147" spans="1:6" x14ac:dyDescent="0.25">
      <c r="A147" t="s">
        <v>395</v>
      </c>
      <c r="B147" t="s">
        <v>114</v>
      </c>
      <c r="C147" t="s">
        <v>396</v>
      </c>
      <c r="D147" t="s">
        <v>248</v>
      </c>
      <c r="E147" t="s">
        <v>10</v>
      </c>
      <c r="F147" t="s">
        <v>11</v>
      </c>
    </row>
    <row r="148" spans="1:6" x14ac:dyDescent="0.25">
      <c r="A148" t="s">
        <v>397</v>
      </c>
      <c r="B148" t="s">
        <v>114</v>
      </c>
      <c r="C148" t="s">
        <v>125</v>
      </c>
      <c r="D148" t="s">
        <v>398</v>
      </c>
      <c r="E148" t="s">
        <v>10</v>
      </c>
      <c r="F148" t="s">
        <v>11</v>
      </c>
    </row>
    <row r="149" spans="1:6" x14ac:dyDescent="0.25">
      <c r="A149" t="s">
        <v>399</v>
      </c>
      <c r="B149" t="s">
        <v>114</v>
      </c>
      <c r="C149" t="s">
        <v>125</v>
      </c>
      <c r="D149" t="s">
        <v>400</v>
      </c>
      <c r="E149" t="s">
        <v>20</v>
      </c>
      <c r="F149" t="s">
        <v>21</v>
      </c>
    </row>
    <row r="150" spans="1:6" x14ac:dyDescent="0.25">
      <c r="A150" t="s">
        <v>401</v>
      </c>
      <c r="B150" t="s">
        <v>114</v>
      </c>
      <c r="C150" t="s">
        <v>125</v>
      </c>
      <c r="E150" t="s">
        <v>49</v>
      </c>
      <c r="F150" t="s">
        <v>50</v>
      </c>
    </row>
    <row r="151" spans="1:6" x14ac:dyDescent="0.25">
      <c r="A151" t="s">
        <v>402</v>
      </c>
      <c r="B151" t="s">
        <v>114</v>
      </c>
      <c r="C151" t="s">
        <v>283</v>
      </c>
      <c r="D151" t="s">
        <v>148</v>
      </c>
      <c r="E151" t="s">
        <v>10</v>
      </c>
      <c r="F151" t="s">
        <v>11</v>
      </c>
    </row>
    <row r="152" spans="1:6" x14ac:dyDescent="0.25">
      <c r="A152" t="s">
        <v>403</v>
      </c>
      <c r="B152" t="s">
        <v>114</v>
      </c>
      <c r="C152" t="s">
        <v>47</v>
      </c>
      <c r="D152" t="s">
        <v>404</v>
      </c>
      <c r="E152" t="s">
        <v>10</v>
      </c>
      <c r="F152" t="s">
        <v>11</v>
      </c>
    </row>
    <row r="153" spans="1:6" x14ac:dyDescent="0.25">
      <c r="A153" t="s">
        <v>405</v>
      </c>
      <c r="B153" t="s">
        <v>114</v>
      </c>
      <c r="C153" t="s">
        <v>406</v>
      </c>
      <c r="D153" t="s">
        <v>407</v>
      </c>
      <c r="E153" t="s">
        <v>10</v>
      </c>
      <c r="F153" t="s">
        <v>11</v>
      </c>
    </row>
    <row r="154" spans="1:6" x14ac:dyDescent="0.25">
      <c r="A154" t="s">
        <v>408</v>
      </c>
      <c r="B154" t="s">
        <v>114</v>
      </c>
      <c r="C154" t="s">
        <v>47</v>
      </c>
      <c r="D154" t="s">
        <v>409</v>
      </c>
      <c r="E154" t="s">
        <v>10</v>
      </c>
      <c r="F154" t="s">
        <v>11</v>
      </c>
    </row>
    <row r="155" spans="1:6" x14ac:dyDescent="0.25">
      <c r="A155" t="s">
        <v>410</v>
      </c>
      <c r="B155" t="s">
        <v>114</v>
      </c>
      <c r="C155" t="s">
        <v>47</v>
      </c>
      <c r="D155" t="s">
        <v>411</v>
      </c>
      <c r="E155" t="s">
        <v>365</v>
      </c>
      <c r="F155" t="s">
        <v>11</v>
      </c>
    </row>
    <row r="156" spans="1:6" x14ac:dyDescent="0.25">
      <c r="A156" t="s">
        <v>412</v>
      </c>
      <c r="B156" t="s">
        <v>114</v>
      </c>
      <c r="C156" t="s">
        <v>125</v>
      </c>
      <c r="D156" t="s">
        <v>413</v>
      </c>
      <c r="E156" t="s">
        <v>10</v>
      </c>
      <c r="F156" t="s">
        <v>11</v>
      </c>
    </row>
    <row r="157" spans="1:6" x14ac:dyDescent="0.25">
      <c r="A157" t="s">
        <v>414</v>
      </c>
      <c r="B157" t="s">
        <v>114</v>
      </c>
      <c r="C157" t="s">
        <v>47</v>
      </c>
      <c r="D157" t="s">
        <v>415</v>
      </c>
      <c r="E157" t="s">
        <v>10</v>
      </c>
      <c r="F157" t="s">
        <v>11</v>
      </c>
    </row>
    <row r="158" spans="1:6" x14ac:dyDescent="0.25">
      <c r="A158" t="s">
        <v>416</v>
      </c>
      <c r="B158" t="s">
        <v>114</v>
      </c>
      <c r="C158" t="s">
        <v>417</v>
      </c>
      <c r="D158" t="s">
        <v>418</v>
      </c>
      <c r="E158" t="s">
        <v>10</v>
      </c>
      <c r="F158" t="s">
        <v>11</v>
      </c>
    </row>
    <row r="159" spans="1:6" x14ac:dyDescent="0.25">
      <c r="A159" t="s">
        <v>419</v>
      </c>
      <c r="B159" t="s">
        <v>114</v>
      </c>
      <c r="C159" t="s">
        <v>47</v>
      </c>
      <c r="D159" t="s">
        <v>420</v>
      </c>
      <c r="E159" t="s">
        <v>44</v>
      </c>
      <c r="F159" t="s">
        <v>21</v>
      </c>
    </row>
    <row r="160" spans="1:6" x14ac:dyDescent="0.25">
      <c r="A160" t="s">
        <v>421</v>
      </c>
      <c r="B160" t="s">
        <v>114</v>
      </c>
      <c r="C160" t="s">
        <v>125</v>
      </c>
      <c r="D160" t="s">
        <v>422</v>
      </c>
      <c r="E160" t="s">
        <v>294</v>
      </c>
      <c r="F160" t="s">
        <v>21</v>
      </c>
    </row>
    <row r="161" spans="1:6" x14ac:dyDescent="0.25">
      <c r="A161" t="s">
        <v>423</v>
      </c>
      <c r="B161" t="s">
        <v>114</v>
      </c>
      <c r="C161" t="s">
        <v>47</v>
      </c>
      <c r="D161" t="s">
        <v>424</v>
      </c>
      <c r="E161" t="s">
        <v>10</v>
      </c>
      <c r="F161" t="s">
        <v>11</v>
      </c>
    </row>
    <row r="162" spans="1:6" x14ac:dyDescent="0.25">
      <c r="A162" t="s">
        <v>425</v>
      </c>
      <c r="B162" t="s">
        <v>114</v>
      </c>
      <c r="C162" t="s">
        <v>426</v>
      </c>
      <c r="D162" t="s">
        <v>137</v>
      </c>
      <c r="E162" t="s">
        <v>365</v>
      </c>
      <c r="F162" t="s">
        <v>11</v>
      </c>
    </row>
    <row r="163" spans="1:6" x14ac:dyDescent="0.25">
      <c r="A163" t="s">
        <v>427</v>
      </c>
      <c r="B163" t="s">
        <v>114</v>
      </c>
      <c r="C163" t="s">
        <v>428</v>
      </c>
      <c r="D163" t="s">
        <v>429</v>
      </c>
      <c r="E163" t="s">
        <v>10</v>
      </c>
      <c r="F163" t="s">
        <v>11</v>
      </c>
    </row>
    <row r="164" spans="1:6" x14ac:dyDescent="0.25">
      <c r="A164" t="s">
        <v>430</v>
      </c>
      <c r="B164" t="s">
        <v>114</v>
      </c>
      <c r="C164" t="s">
        <v>125</v>
      </c>
      <c r="D164" t="s">
        <v>431</v>
      </c>
      <c r="E164" t="s">
        <v>20</v>
      </c>
      <c r="F164" t="s">
        <v>21</v>
      </c>
    </row>
    <row r="165" spans="1:6" x14ac:dyDescent="0.25">
      <c r="A165" t="s">
        <v>432</v>
      </c>
      <c r="B165" t="s">
        <v>114</v>
      </c>
      <c r="C165" t="s">
        <v>53</v>
      </c>
      <c r="D165" t="s">
        <v>433</v>
      </c>
      <c r="E165" t="s">
        <v>44</v>
      </c>
      <c r="F165" t="s">
        <v>21</v>
      </c>
    </row>
    <row r="166" spans="1:6" x14ac:dyDescent="0.25">
      <c r="A166" t="s">
        <v>434</v>
      </c>
      <c r="B166" t="s">
        <v>114</v>
      </c>
      <c r="C166" t="s">
        <v>47</v>
      </c>
      <c r="D166" t="s">
        <v>254</v>
      </c>
      <c r="E166" t="s">
        <v>20</v>
      </c>
      <c r="F166" t="s">
        <v>21</v>
      </c>
    </row>
    <row r="167" spans="1:6" x14ac:dyDescent="0.25">
      <c r="A167" t="s">
        <v>435</v>
      </c>
      <c r="B167" t="s">
        <v>114</v>
      </c>
      <c r="C167" t="s">
        <v>436</v>
      </c>
      <c r="D167" t="s">
        <v>437</v>
      </c>
      <c r="E167" t="s">
        <v>210</v>
      </c>
      <c r="F167" t="s">
        <v>50</v>
      </c>
    </row>
    <row r="168" spans="1:6" x14ac:dyDescent="0.25">
      <c r="A168" t="s">
        <v>438</v>
      </c>
      <c r="B168" t="s">
        <v>114</v>
      </c>
      <c r="C168" t="s">
        <v>439</v>
      </c>
      <c r="D168" t="s">
        <v>440</v>
      </c>
      <c r="E168" t="s">
        <v>44</v>
      </c>
      <c r="F168" t="s">
        <v>21</v>
      </c>
    </row>
    <row r="169" spans="1:6" x14ac:dyDescent="0.25">
      <c r="A169" t="s">
        <v>441</v>
      </c>
      <c r="B169" t="s">
        <v>114</v>
      </c>
      <c r="C169" t="s">
        <v>47</v>
      </c>
      <c r="D169" t="s">
        <v>442</v>
      </c>
      <c r="E169" t="s">
        <v>44</v>
      </c>
      <c r="F169" t="s">
        <v>21</v>
      </c>
    </row>
    <row r="170" spans="1:6" x14ac:dyDescent="0.25">
      <c r="A170" t="s">
        <v>443</v>
      </c>
      <c r="B170" t="s">
        <v>88</v>
      </c>
      <c r="C170" t="s">
        <v>444</v>
      </c>
      <c r="D170" t="s">
        <v>302</v>
      </c>
      <c r="E170" t="s">
        <v>445</v>
      </c>
      <c r="F170" t="s">
        <v>50</v>
      </c>
    </row>
    <row r="171" spans="1:6" x14ac:dyDescent="0.25">
      <c r="A171" t="s">
        <v>446</v>
      </c>
      <c r="B171" t="s">
        <v>88</v>
      </c>
      <c r="C171" t="s">
        <v>447</v>
      </c>
      <c r="D171" t="s">
        <v>448</v>
      </c>
      <c r="E171" t="s">
        <v>187</v>
      </c>
      <c r="F171" t="s">
        <v>50</v>
      </c>
    </row>
    <row r="172" spans="1:6" x14ac:dyDescent="0.25">
      <c r="A172" t="s">
        <v>449</v>
      </c>
      <c r="B172" t="s">
        <v>88</v>
      </c>
      <c r="C172" t="s">
        <v>81</v>
      </c>
      <c r="D172" t="s">
        <v>450</v>
      </c>
      <c r="E172" t="s">
        <v>20</v>
      </c>
      <c r="F172" t="s">
        <v>21</v>
      </c>
    </row>
    <row r="173" spans="1:6" x14ac:dyDescent="0.25">
      <c r="A173" t="s">
        <v>451</v>
      </c>
      <c r="B173" t="s">
        <v>88</v>
      </c>
      <c r="C173" t="s">
        <v>125</v>
      </c>
      <c r="D173" t="s">
        <v>452</v>
      </c>
      <c r="E173" t="s">
        <v>10</v>
      </c>
      <c r="F173" t="s">
        <v>11</v>
      </c>
    </row>
    <row r="174" spans="1:6" x14ac:dyDescent="0.25">
      <c r="A174" t="s">
        <v>453</v>
      </c>
      <c r="B174" t="s">
        <v>88</v>
      </c>
      <c r="C174" t="s">
        <v>47</v>
      </c>
      <c r="D174" t="s">
        <v>454</v>
      </c>
      <c r="E174" t="s">
        <v>20</v>
      </c>
      <c r="F174" t="s">
        <v>21</v>
      </c>
    </row>
    <row r="175" spans="1:6" x14ac:dyDescent="0.25">
      <c r="A175" t="s">
        <v>455</v>
      </c>
      <c r="B175" t="s">
        <v>88</v>
      </c>
      <c r="C175" t="s">
        <v>456</v>
      </c>
      <c r="D175" t="s">
        <v>457</v>
      </c>
      <c r="E175" t="s">
        <v>10</v>
      </c>
      <c r="F175" t="s">
        <v>11</v>
      </c>
    </row>
    <row r="176" spans="1:6" x14ac:dyDescent="0.25">
      <c r="A176" t="s">
        <v>458</v>
      </c>
      <c r="B176" t="s">
        <v>88</v>
      </c>
      <c r="C176" t="s">
        <v>47</v>
      </c>
      <c r="D176" t="s">
        <v>459</v>
      </c>
      <c r="E176" t="s">
        <v>10</v>
      </c>
      <c r="F176" t="s">
        <v>11</v>
      </c>
    </row>
    <row r="177" spans="1:6" x14ac:dyDescent="0.25">
      <c r="A177" t="s">
        <v>460</v>
      </c>
      <c r="B177" t="s">
        <v>88</v>
      </c>
      <c r="C177" t="s">
        <v>47</v>
      </c>
      <c r="D177" t="s">
        <v>461</v>
      </c>
      <c r="E177" t="s">
        <v>20</v>
      </c>
      <c r="F177" t="s">
        <v>21</v>
      </c>
    </row>
    <row r="178" spans="1:6" x14ac:dyDescent="0.25">
      <c r="A178" t="s">
        <v>462</v>
      </c>
      <c r="B178" t="s">
        <v>88</v>
      </c>
      <c r="C178" t="s">
        <v>125</v>
      </c>
      <c r="D178" t="s">
        <v>463</v>
      </c>
      <c r="E178" t="s">
        <v>20</v>
      </c>
      <c r="F178" t="s">
        <v>21</v>
      </c>
    </row>
    <row r="179" spans="1:6" x14ac:dyDescent="0.25">
      <c r="A179" t="s">
        <v>464</v>
      </c>
      <c r="B179" t="s">
        <v>88</v>
      </c>
      <c r="C179" t="s">
        <v>47</v>
      </c>
      <c r="D179" t="s">
        <v>465</v>
      </c>
      <c r="E179" t="s">
        <v>20</v>
      </c>
      <c r="F179" t="s">
        <v>21</v>
      </c>
    </row>
    <row r="180" spans="1:6" x14ac:dyDescent="0.25">
      <c r="A180" t="s">
        <v>466</v>
      </c>
      <c r="B180" t="s">
        <v>88</v>
      </c>
      <c r="C180" t="s">
        <v>47</v>
      </c>
      <c r="D180" t="s">
        <v>66</v>
      </c>
      <c r="E180" t="s">
        <v>10</v>
      </c>
      <c r="F180" t="s">
        <v>11</v>
      </c>
    </row>
    <row r="181" spans="1:6" x14ac:dyDescent="0.25">
      <c r="A181" t="s">
        <v>467</v>
      </c>
      <c r="B181" t="s">
        <v>88</v>
      </c>
      <c r="C181" t="s">
        <v>468</v>
      </c>
      <c r="D181" t="s">
        <v>469</v>
      </c>
      <c r="E181" t="s">
        <v>10</v>
      </c>
      <c r="F181" t="s">
        <v>11</v>
      </c>
    </row>
    <row r="182" spans="1:6" x14ac:dyDescent="0.25">
      <c r="A182" t="s">
        <v>470</v>
      </c>
      <c r="B182" t="s">
        <v>88</v>
      </c>
      <c r="C182" t="s">
        <v>471</v>
      </c>
      <c r="D182" t="s">
        <v>79</v>
      </c>
      <c r="E182" t="s">
        <v>10</v>
      </c>
      <c r="F182" t="s">
        <v>11</v>
      </c>
    </row>
    <row r="183" spans="1:6" x14ac:dyDescent="0.25">
      <c r="A183" t="s">
        <v>472</v>
      </c>
      <c r="B183" t="s">
        <v>88</v>
      </c>
      <c r="C183" t="s">
        <v>473</v>
      </c>
      <c r="D183" t="s">
        <v>474</v>
      </c>
      <c r="E183" t="s">
        <v>273</v>
      </c>
      <c r="F183" t="s">
        <v>21</v>
      </c>
    </row>
    <row r="184" spans="1:6" x14ac:dyDescent="0.25">
      <c r="A184" t="s">
        <v>475</v>
      </c>
      <c r="B184" t="s">
        <v>88</v>
      </c>
      <c r="C184" t="s">
        <v>47</v>
      </c>
      <c r="D184" t="s">
        <v>476</v>
      </c>
      <c r="E184" t="s">
        <v>49</v>
      </c>
      <c r="F184" t="s">
        <v>50</v>
      </c>
    </row>
    <row r="185" spans="1:6" x14ac:dyDescent="0.25">
      <c r="A185" t="s">
        <v>477</v>
      </c>
      <c r="B185" t="s">
        <v>88</v>
      </c>
      <c r="C185" t="s">
        <v>478</v>
      </c>
      <c r="D185" t="s">
        <v>156</v>
      </c>
      <c r="E185" t="s">
        <v>10</v>
      </c>
      <c r="F185" t="s">
        <v>11</v>
      </c>
    </row>
    <row r="186" spans="1:6" x14ac:dyDescent="0.25">
      <c r="A186" t="s">
        <v>479</v>
      </c>
      <c r="B186" t="s">
        <v>88</v>
      </c>
      <c r="C186" t="s">
        <v>480</v>
      </c>
      <c r="D186" t="s">
        <v>476</v>
      </c>
      <c r="E186" t="s">
        <v>10</v>
      </c>
      <c r="F186" t="s">
        <v>11</v>
      </c>
    </row>
    <row r="187" spans="1:6" x14ac:dyDescent="0.25">
      <c r="A187" t="s">
        <v>481</v>
      </c>
      <c r="B187" t="s">
        <v>88</v>
      </c>
      <c r="C187" t="s">
        <v>482</v>
      </c>
      <c r="D187" t="s">
        <v>483</v>
      </c>
      <c r="E187" t="s">
        <v>10</v>
      </c>
      <c r="F187" t="s">
        <v>11</v>
      </c>
    </row>
    <row r="188" spans="1:6" x14ac:dyDescent="0.25">
      <c r="A188" t="s">
        <v>484</v>
      </c>
      <c r="B188" t="s">
        <v>88</v>
      </c>
      <c r="C188" t="s">
        <v>485</v>
      </c>
      <c r="D188" t="s">
        <v>339</v>
      </c>
      <c r="E188" t="s">
        <v>10</v>
      </c>
      <c r="F188" t="s">
        <v>11</v>
      </c>
    </row>
    <row r="189" spans="1:6" x14ac:dyDescent="0.25">
      <c r="A189" t="s">
        <v>486</v>
      </c>
      <c r="B189" t="s">
        <v>88</v>
      </c>
      <c r="C189" t="s">
        <v>487</v>
      </c>
      <c r="D189" t="s">
        <v>488</v>
      </c>
      <c r="E189" t="s">
        <v>10</v>
      </c>
      <c r="F189" t="s">
        <v>11</v>
      </c>
    </row>
    <row r="190" spans="1:6" x14ac:dyDescent="0.25">
      <c r="A190" t="s">
        <v>489</v>
      </c>
      <c r="B190" t="s">
        <v>88</v>
      </c>
      <c r="C190" t="s">
        <v>125</v>
      </c>
      <c r="D190" t="s">
        <v>490</v>
      </c>
      <c r="E190" t="s">
        <v>187</v>
      </c>
      <c r="F190" t="s">
        <v>50</v>
      </c>
    </row>
    <row r="191" spans="1:6" x14ac:dyDescent="0.25">
      <c r="A191" t="s">
        <v>491</v>
      </c>
      <c r="B191" t="s">
        <v>88</v>
      </c>
      <c r="C191" t="s">
        <v>492</v>
      </c>
      <c r="D191" t="s">
        <v>493</v>
      </c>
      <c r="E191" t="s">
        <v>230</v>
      </c>
      <c r="F191" t="s">
        <v>50</v>
      </c>
    </row>
    <row r="192" spans="1:6" x14ac:dyDescent="0.25">
      <c r="A192" t="s">
        <v>494</v>
      </c>
      <c r="B192" t="s">
        <v>88</v>
      </c>
      <c r="C192" t="s">
        <v>495</v>
      </c>
      <c r="D192" t="s">
        <v>496</v>
      </c>
      <c r="E192" t="s">
        <v>10</v>
      </c>
      <c r="F192" t="s">
        <v>11</v>
      </c>
    </row>
    <row r="193" spans="1:6" x14ac:dyDescent="0.25">
      <c r="A193" t="s">
        <v>497</v>
      </c>
      <c r="B193" t="s">
        <v>88</v>
      </c>
      <c r="C193" t="s">
        <v>498</v>
      </c>
      <c r="D193" t="s">
        <v>15</v>
      </c>
      <c r="E193" t="s">
        <v>10</v>
      </c>
      <c r="F193" t="s">
        <v>11</v>
      </c>
    </row>
    <row r="194" spans="1:6" x14ac:dyDescent="0.25">
      <c r="A194" t="s">
        <v>499</v>
      </c>
      <c r="B194" t="s">
        <v>88</v>
      </c>
      <c r="C194" t="s">
        <v>125</v>
      </c>
      <c r="D194" t="s">
        <v>500</v>
      </c>
      <c r="E194" t="s">
        <v>187</v>
      </c>
      <c r="F194" t="s">
        <v>50</v>
      </c>
    </row>
    <row r="195" spans="1:6" x14ac:dyDescent="0.25">
      <c r="A195" t="s">
        <v>501</v>
      </c>
      <c r="B195" t="s">
        <v>88</v>
      </c>
      <c r="C195" t="s">
        <v>125</v>
      </c>
      <c r="D195" t="s">
        <v>476</v>
      </c>
      <c r="E195" t="s">
        <v>10</v>
      </c>
      <c r="F195" t="s">
        <v>11</v>
      </c>
    </row>
    <row r="196" spans="1:6" x14ac:dyDescent="0.25">
      <c r="A196" t="s">
        <v>502</v>
      </c>
      <c r="B196" t="s">
        <v>88</v>
      </c>
      <c r="C196" t="s">
        <v>81</v>
      </c>
      <c r="D196" t="s">
        <v>503</v>
      </c>
      <c r="E196" t="s">
        <v>20</v>
      </c>
      <c r="F196" t="s">
        <v>21</v>
      </c>
    </row>
    <row r="197" spans="1:6" x14ac:dyDescent="0.25">
      <c r="A197" t="s">
        <v>504</v>
      </c>
      <c r="B197" t="s">
        <v>88</v>
      </c>
      <c r="C197" t="s">
        <v>505</v>
      </c>
      <c r="D197" t="s">
        <v>506</v>
      </c>
      <c r="E197" t="s">
        <v>170</v>
      </c>
      <c r="F197" t="s">
        <v>50</v>
      </c>
    </row>
    <row r="198" spans="1:6" x14ac:dyDescent="0.25">
      <c r="A198" t="s">
        <v>507</v>
      </c>
      <c r="B198" t="s">
        <v>88</v>
      </c>
      <c r="C198" t="s">
        <v>508</v>
      </c>
      <c r="D198" t="s">
        <v>509</v>
      </c>
      <c r="E198" t="s">
        <v>44</v>
      </c>
      <c r="F198" t="s">
        <v>21</v>
      </c>
    </row>
    <row r="199" spans="1:6" x14ac:dyDescent="0.25">
      <c r="A199" t="s">
        <v>510</v>
      </c>
      <c r="B199" t="s">
        <v>88</v>
      </c>
      <c r="C199" t="s">
        <v>511</v>
      </c>
      <c r="D199" t="s">
        <v>254</v>
      </c>
      <c r="E199" t="s">
        <v>10</v>
      </c>
      <c r="F199" t="s">
        <v>11</v>
      </c>
    </row>
    <row r="200" spans="1:6" x14ac:dyDescent="0.25">
      <c r="A200" t="s">
        <v>512</v>
      </c>
      <c r="B200" t="s">
        <v>88</v>
      </c>
      <c r="C200" t="s">
        <v>513</v>
      </c>
      <c r="D200" t="s">
        <v>514</v>
      </c>
      <c r="E200" t="s">
        <v>10</v>
      </c>
      <c r="F200" t="s">
        <v>11</v>
      </c>
    </row>
    <row r="201" spans="1:6" x14ac:dyDescent="0.25">
      <c r="A201" t="s">
        <v>515</v>
      </c>
      <c r="B201" t="s">
        <v>88</v>
      </c>
      <c r="C201" t="s">
        <v>516</v>
      </c>
      <c r="D201" t="s">
        <v>517</v>
      </c>
      <c r="E201" t="s">
        <v>10</v>
      </c>
      <c r="F201" t="s">
        <v>11</v>
      </c>
    </row>
    <row r="202" spans="1:6" x14ac:dyDescent="0.25">
      <c r="A202" t="s">
        <v>518</v>
      </c>
      <c r="B202" t="s">
        <v>85</v>
      </c>
      <c r="C202" t="s">
        <v>125</v>
      </c>
      <c r="D202" t="s">
        <v>519</v>
      </c>
      <c r="E202" t="s">
        <v>10</v>
      </c>
      <c r="F202" t="s">
        <v>11</v>
      </c>
    </row>
    <row r="203" spans="1:6" x14ac:dyDescent="0.25">
      <c r="A203" t="s">
        <v>520</v>
      </c>
      <c r="B203" t="s">
        <v>85</v>
      </c>
      <c r="C203" t="s">
        <v>521</v>
      </c>
      <c r="D203" t="s">
        <v>506</v>
      </c>
      <c r="E203" t="s">
        <v>522</v>
      </c>
      <c r="F203" t="s">
        <v>50</v>
      </c>
    </row>
    <row r="204" spans="1:6" x14ac:dyDescent="0.25">
      <c r="A204" t="s">
        <v>523</v>
      </c>
      <c r="B204" t="s">
        <v>85</v>
      </c>
      <c r="C204" t="s">
        <v>47</v>
      </c>
      <c r="D204" t="s">
        <v>524</v>
      </c>
      <c r="E204" t="s">
        <v>525</v>
      </c>
      <c r="F204" t="s">
        <v>526</v>
      </c>
    </row>
    <row r="205" spans="1:6" x14ac:dyDescent="0.25">
      <c r="A205" t="s">
        <v>527</v>
      </c>
      <c r="B205" t="s">
        <v>85</v>
      </c>
      <c r="C205" t="s">
        <v>528</v>
      </c>
      <c r="D205" t="s">
        <v>177</v>
      </c>
      <c r="E205" t="s">
        <v>10</v>
      </c>
      <c r="F205" t="s">
        <v>11</v>
      </c>
    </row>
    <row r="206" spans="1:6" x14ac:dyDescent="0.25">
      <c r="A206" t="s">
        <v>529</v>
      </c>
      <c r="B206" t="s">
        <v>85</v>
      </c>
      <c r="C206" t="s">
        <v>530</v>
      </c>
      <c r="D206" t="s">
        <v>531</v>
      </c>
      <c r="E206" t="s">
        <v>10</v>
      </c>
      <c r="F206" t="s">
        <v>11</v>
      </c>
    </row>
    <row r="207" spans="1:6" x14ac:dyDescent="0.25">
      <c r="A207" t="s">
        <v>532</v>
      </c>
      <c r="B207" t="s">
        <v>85</v>
      </c>
      <c r="C207" t="s">
        <v>125</v>
      </c>
      <c r="D207" t="s">
        <v>533</v>
      </c>
      <c r="E207" t="s">
        <v>10</v>
      </c>
      <c r="F207" t="s">
        <v>11</v>
      </c>
    </row>
    <row r="208" spans="1:6" x14ac:dyDescent="0.25">
      <c r="A208" t="s">
        <v>534</v>
      </c>
      <c r="B208" t="s">
        <v>85</v>
      </c>
      <c r="C208" t="s">
        <v>535</v>
      </c>
      <c r="D208" t="s">
        <v>536</v>
      </c>
      <c r="E208" t="s">
        <v>329</v>
      </c>
      <c r="F208" t="s">
        <v>50</v>
      </c>
    </row>
    <row r="209" spans="1:6" x14ac:dyDescent="0.25">
      <c r="A209" t="s">
        <v>537</v>
      </c>
      <c r="B209" t="s">
        <v>85</v>
      </c>
      <c r="C209" s="1">
        <v>0</v>
      </c>
      <c r="D209" t="s">
        <v>538</v>
      </c>
      <c r="E209" t="s">
        <v>20</v>
      </c>
      <c r="F209" t="s">
        <v>21</v>
      </c>
    </row>
    <row r="210" spans="1:6" x14ac:dyDescent="0.25">
      <c r="A210" t="s">
        <v>539</v>
      </c>
      <c r="B210" t="s">
        <v>85</v>
      </c>
      <c r="C210" t="s">
        <v>47</v>
      </c>
      <c r="D210" t="s">
        <v>335</v>
      </c>
      <c r="E210" t="s">
        <v>10</v>
      </c>
      <c r="F210" t="s">
        <v>11</v>
      </c>
    </row>
    <row r="211" spans="1:6" x14ac:dyDescent="0.25">
      <c r="A211" t="s">
        <v>540</v>
      </c>
      <c r="B211" t="s">
        <v>85</v>
      </c>
      <c r="C211" t="s">
        <v>541</v>
      </c>
      <c r="D211" t="s">
        <v>542</v>
      </c>
      <c r="E211" t="s">
        <v>10</v>
      </c>
      <c r="F211" t="s">
        <v>11</v>
      </c>
    </row>
    <row r="212" spans="1:6" x14ac:dyDescent="0.25">
      <c r="A212" t="s">
        <v>543</v>
      </c>
      <c r="B212" t="s">
        <v>85</v>
      </c>
      <c r="C212" t="s">
        <v>544</v>
      </c>
      <c r="D212" t="s">
        <v>545</v>
      </c>
      <c r="E212" t="s">
        <v>546</v>
      </c>
      <c r="F212" t="s">
        <v>109</v>
      </c>
    </row>
    <row r="213" spans="1:6" x14ac:dyDescent="0.25">
      <c r="A213" t="s">
        <v>547</v>
      </c>
      <c r="B213" t="s">
        <v>85</v>
      </c>
      <c r="C213" t="s">
        <v>125</v>
      </c>
      <c r="D213" t="s">
        <v>548</v>
      </c>
      <c r="E213" t="s">
        <v>10</v>
      </c>
      <c r="F213" t="s">
        <v>11</v>
      </c>
    </row>
    <row r="214" spans="1:6" x14ac:dyDescent="0.25">
      <c r="A214" t="s">
        <v>549</v>
      </c>
      <c r="B214" t="s">
        <v>85</v>
      </c>
      <c r="C214" t="s">
        <v>550</v>
      </c>
      <c r="D214" t="s">
        <v>389</v>
      </c>
      <c r="E214" t="s">
        <v>10</v>
      </c>
      <c r="F214" t="s">
        <v>11</v>
      </c>
    </row>
    <row r="215" spans="1:6" x14ac:dyDescent="0.25">
      <c r="A215" t="s">
        <v>551</v>
      </c>
      <c r="B215" t="s">
        <v>85</v>
      </c>
      <c r="C215" t="s">
        <v>552</v>
      </c>
      <c r="D215" t="s">
        <v>553</v>
      </c>
      <c r="E215" t="s">
        <v>554</v>
      </c>
      <c r="F215" t="s">
        <v>526</v>
      </c>
    </row>
    <row r="216" spans="1:6" x14ac:dyDescent="0.25">
      <c r="A216" t="s">
        <v>555</v>
      </c>
      <c r="B216" t="s">
        <v>85</v>
      </c>
      <c r="C216" t="s">
        <v>556</v>
      </c>
      <c r="E216" t="s">
        <v>10</v>
      </c>
      <c r="F216" t="s">
        <v>11</v>
      </c>
    </row>
    <row r="217" spans="1:6" x14ac:dyDescent="0.25">
      <c r="A217" t="s">
        <v>557</v>
      </c>
      <c r="B217" t="s">
        <v>85</v>
      </c>
      <c r="C217" t="s">
        <v>558</v>
      </c>
      <c r="D217" t="s">
        <v>559</v>
      </c>
      <c r="E217" t="s">
        <v>20</v>
      </c>
      <c r="F217" t="s">
        <v>21</v>
      </c>
    </row>
    <row r="218" spans="1:6" x14ac:dyDescent="0.25">
      <c r="A218" t="s">
        <v>560</v>
      </c>
      <c r="B218" t="s">
        <v>85</v>
      </c>
      <c r="C218" t="s">
        <v>47</v>
      </c>
      <c r="D218" t="s">
        <v>561</v>
      </c>
      <c r="E218" t="s">
        <v>554</v>
      </c>
      <c r="F218" t="s">
        <v>526</v>
      </c>
    </row>
    <row r="219" spans="1:6" x14ac:dyDescent="0.25">
      <c r="A219" t="s">
        <v>562</v>
      </c>
      <c r="B219" t="s">
        <v>85</v>
      </c>
      <c r="C219" t="s">
        <v>47</v>
      </c>
      <c r="D219" t="s">
        <v>563</v>
      </c>
      <c r="E219" t="s">
        <v>20</v>
      </c>
      <c r="F219" t="s">
        <v>21</v>
      </c>
    </row>
    <row r="220" spans="1:6" x14ac:dyDescent="0.25">
      <c r="A220" t="s">
        <v>564</v>
      </c>
      <c r="B220" t="s">
        <v>85</v>
      </c>
      <c r="C220" t="s">
        <v>565</v>
      </c>
      <c r="D220" t="s">
        <v>566</v>
      </c>
      <c r="E220" t="s">
        <v>365</v>
      </c>
      <c r="F220" t="s">
        <v>11</v>
      </c>
    </row>
    <row r="221" spans="1:6" x14ac:dyDescent="0.25">
      <c r="A221" t="s">
        <v>567</v>
      </c>
      <c r="B221" t="s">
        <v>85</v>
      </c>
      <c r="C221" t="s">
        <v>280</v>
      </c>
      <c r="D221" t="s">
        <v>568</v>
      </c>
      <c r="E221" t="s">
        <v>44</v>
      </c>
      <c r="F221" t="s">
        <v>21</v>
      </c>
    </row>
    <row r="222" spans="1:6" x14ac:dyDescent="0.25">
      <c r="A222" t="s">
        <v>569</v>
      </c>
      <c r="B222" t="s">
        <v>85</v>
      </c>
      <c r="C222" t="s">
        <v>47</v>
      </c>
      <c r="D222" t="s">
        <v>570</v>
      </c>
      <c r="E222" t="s">
        <v>44</v>
      </c>
      <c r="F222" t="s">
        <v>21</v>
      </c>
    </row>
    <row r="223" spans="1:6" x14ac:dyDescent="0.25">
      <c r="A223" t="s">
        <v>571</v>
      </c>
      <c r="B223" t="s">
        <v>85</v>
      </c>
      <c r="C223" s="1">
        <v>0</v>
      </c>
      <c r="E223" t="s">
        <v>350</v>
      </c>
      <c r="F223" t="s">
        <v>21</v>
      </c>
    </row>
    <row r="224" spans="1:6" x14ac:dyDescent="0.25">
      <c r="A224" t="s">
        <v>572</v>
      </c>
      <c r="B224" t="s">
        <v>85</v>
      </c>
      <c r="C224" t="s">
        <v>573</v>
      </c>
      <c r="D224" t="s">
        <v>130</v>
      </c>
      <c r="E224" t="s">
        <v>49</v>
      </c>
      <c r="F224" t="s">
        <v>50</v>
      </c>
    </row>
    <row r="225" spans="1:6" x14ac:dyDescent="0.25">
      <c r="A225" t="s">
        <v>574</v>
      </c>
      <c r="B225" t="s">
        <v>85</v>
      </c>
      <c r="C225" t="s">
        <v>575</v>
      </c>
      <c r="D225" t="s">
        <v>576</v>
      </c>
      <c r="E225" t="s">
        <v>20</v>
      </c>
      <c r="F225" t="s">
        <v>21</v>
      </c>
    </row>
    <row r="226" spans="1:6" x14ac:dyDescent="0.25">
      <c r="A226" t="s">
        <v>577</v>
      </c>
      <c r="B226" t="s">
        <v>85</v>
      </c>
      <c r="C226" t="s">
        <v>125</v>
      </c>
      <c r="D226" t="s">
        <v>578</v>
      </c>
      <c r="E226" t="s">
        <v>20</v>
      </c>
      <c r="F226" t="s">
        <v>21</v>
      </c>
    </row>
    <row r="227" spans="1:6" x14ac:dyDescent="0.25">
      <c r="A227" t="s">
        <v>579</v>
      </c>
      <c r="B227" t="s">
        <v>85</v>
      </c>
      <c r="C227" t="s">
        <v>580</v>
      </c>
      <c r="D227" t="s">
        <v>581</v>
      </c>
      <c r="E227" t="s">
        <v>20</v>
      </c>
      <c r="F227" t="s">
        <v>21</v>
      </c>
    </row>
    <row r="228" spans="1:6" x14ac:dyDescent="0.25">
      <c r="A228" t="s">
        <v>582</v>
      </c>
      <c r="B228" t="s">
        <v>85</v>
      </c>
      <c r="C228" t="s">
        <v>583</v>
      </c>
      <c r="D228" t="s">
        <v>316</v>
      </c>
      <c r="E228" t="s">
        <v>10</v>
      </c>
      <c r="F228" t="s">
        <v>11</v>
      </c>
    </row>
    <row r="229" spans="1:6" x14ac:dyDescent="0.25">
      <c r="A229" t="s">
        <v>584</v>
      </c>
      <c r="B229" t="s">
        <v>85</v>
      </c>
      <c r="C229" t="s">
        <v>585</v>
      </c>
      <c r="D229" t="s">
        <v>586</v>
      </c>
      <c r="E229" t="s">
        <v>365</v>
      </c>
      <c r="F229" t="s">
        <v>11</v>
      </c>
    </row>
    <row r="230" spans="1:6" x14ac:dyDescent="0.25">
      <c r="A230" t="s">
        <v>587</v>
      </c>
      <c r="B230" t="s">
        <v>85</v>
      </c>
      <c r="C230" t="s">
        <v>47</v>
      </c>
      <c r="D230" t="s">
        <v>588</v>
      </c>
      <c r="E230" t="s">
        <v>44</v>
      </c>
      <c r="F230" t="s">
        <v>21</v>
      </c>
    </row>
    <row r="231" spans="1:6" x14ac:dyDescent="0.25">
      <c r="A231" t="s">
        <v>589</v>
      </c>
      <c r="B231" t="s">
        <v>85</v>
      </c>
      <c r="C231" t="s">
        <v>372</v>
      </c>
      <c r="D231" t="s">
        <v>590</v>
      </c>
      <c r="E231" t="s">
        <v>10</v>
      </c>
      <c r="F231" t="s">
        <v>11</v>
      </c>
    </row>
    <row r="232" spans="1:6" x14ac:dyDescent="0.25">
      <c r="A232" t="s">
        <v>591</v>
      </c>
      <c r="B232" t="s">
        <v>85</v>
      </c>
      <c r="C232" t="s">
        <v>592</v>
      </c>
      <c r="D232" t="s">
        <v>593</v>
      </c>
      <c r="E232" t="s">
        <v>10</v>
      </c>
      <c r="F232" t="s">
        <v>11</v>
      </c>
    </row>
    <row r="233" spans="1:6" x14ac:dyDescent="0.25">
      <c r="A233" t="s">
        <v>594</v>
      </c>
      <c r="B233" t="s">
        <v>85</v>
      </c>
      <c r="C233" t="s">
        <v>47</v>
      </c>
      <c r="D233" t="s">
        <v>595</v>
      </c>
      <c r="E233" t="s">
        <v>151</v>
      </c>
      <c r="F233" t="s">
        <v>50</v>
      </c>
    </row>
    <row r="234" spans="1:6" x14ac:dyDescent="0.25">
      <c r="A234" t="s">
        <v>596</v>
      </c>
      <c r="B234" t="s">
        <v>85</v>
      </c>
      <c r="C234" t="s">
        <v>47</v>
      </c>
      <c r="D234" t="s">
        <v>597</v>
      </c>
      <c r="E234" t="s">
        <v>10</v>
      </c>
      <c r="F234" t="s">
        <v>11</v>
      </c>
    </row>
    <row r="235" spans="1:6" x14ac:dyDescent="0.25">
      <c r="A235" t="s">
        <v>598</v>
      </c>
      <c r="B235" t="s">
        <v>85</v>
      </c>
      <c r="C235" t="s">
        <v>599</v>
      </c>
      <c r="D235" t="s">
        <v>600</v>
      </c>
      <c r="E235" t="s">
        <v>10</v>
      </c>
      <c r="F235" t="s">
        <v>11</v>
      </c>
    </row>
    <row r="236" spans="1:6" x14ac:dyDescent="0.25">
      <c r="A236" t="s">
        <v>601</v>
      </c>
      <c r="B236" t="s">
        <v>85</v>
      </c>
      <c r="C236" t="s">
        <v>602</v>
      </c>
      <c r="D236" t="s">
        <v>603</v>
      </c>
      <c r="E236" t="s">
        <v>604</v>
      </c>
      <c r="F236" t="s">
        <v>21</v>
      </c>
    </row>
    <row r="237" spans="1:6" x14ac:dyDescent="0.25">
      <c r="A237" t="s">
        <v>605</v>
      </c>
      <c r="B237" t="s">
        <v>85</v>
      </c>
      <c r="C237" t="s">
        <v>47</v>
      </c>
      <c r="D237" t="s">
        <v>409</v>
      </c>
      <c r="E237" t="s">
        <v>365</v>
      </c>
      <c r="F237" t="s">
        <v>11</v>
      </c>
    </row>
    <row r="238" spans="1:6" x14ac:dyDescent="0.25">
      <c r="A238" t="s">
        <v>606</v>
      </c>
      <c r="B238" t="s">
        <v>85</v>
      </c>
      <c r="C238" t="s">
        <v>607</v>
      </c>
      <c r="D238" t="s">
        <v>15</v>
      </c>
      <c r="E238" t="s">
        <v>10</v>
      </c>
      <c r="F238" t="s">
        <v>11</v>
      </c>
    </row>
    <row r="239" spans="1:6" x14ac:dyDescent="0.25">
      <c r="A239" t="s">
        <v>608</v>
      </c>
      <c r="B239" t="s">
        <v>85</v>
      </c>
      <c r="C239" t="s">
        <v>406</v>
      </c>
      <c r="D239" t="s">
        <v>148</v>
      </c>
      <c r="E239" t="s">
        <v>10</v>
      </c>
      <c r="F239" t="s">
        <v>11</v>
      </c>
    </row>
    <row r="240" spans="1:6" x14ac:dyDescent="0.25">
      <c r="A240" t="s">
        <v>609</v>
      </c>
      <c r="B240" t="s">
        <v>85</v>
      </c>
      <c r="C240" t="s">
        <v>610</v>
      </c>
      <c r="D240" t="s">
        <v>611</v>
      </c>
      <c r="E240" t="s">
        <v>10</v>
      </c>
      <c r="F240" t="s">
        <v>11</v>
      </c>
    </row>
    <row r="241" spans="1:6" x14ac:dyDescent="0.25">
      <c r="A241" t="s">
        <v>612</v>
      </c>
      <c r="B241" t="s">
        <v>85</v>
      </c>
      <c r="C241" t="s">
        <v>613</v>
      </c>
      <c r="D241" t="s">
        <v>302</v>
      </c>
      <c r="E241" t="s">
        <v>10</v>
      </c>
      <c r="F241" t="s">
        <v>11</v>
      </c>
    </row>
    <row r="242" spans="1:6" x14ac:dyDescent="0.25">
      <c r="A242" t="s">
        <v>614</v>
      </c>
      <c r="B242" t="s">
        <v>85</v>
      </c>
      <c r="C242" t="s">
        <v>615</v>
      </c>
      <c r="D242" t="s">
        <v>616</v>
      </c>
      <c r="E242" t="s">
        <v>10</v>
      </c>
      <c r="F242" t="s">
        <v>11</v>
      </c>
    </row>
    <row r="243" spans="1:6" x14ac:dyDescent="0.25">
      <c r="A243" t="s">
        <v>617</v>
      </c>
      <c r="B243" t="s">
        <v>85</v>
      </c>
      <c r="C243" t="s">
        <v>607</v>
      </c>
      <c r="D243" t="s">
        <v>618</v>
      </c>
      <c r="E243" t="s">
        <v>10</v>
      </c>
      <c r="F243" t="s">
        <v>11</v>
      </c>
    </row>
    <row r="244" spans="1:6" x14ac:dyDescent="0.25">
      <c r="A244" t="s">
        <v>619</v>
      </c>
      <c r="B244" t="s">
        <v>85</v>
      </c>
      <c r="C244" t="s">
        <v>620</v>
      </c>
      <c r="D244" t="s">
        <v>621</v>
      </c>
      <c r="E244" t="s">
        <v>10</v>
      </c>
      <c r="F244" t="s">
        <v>11</v>
      </c>
    </row>
    <row r="245" spans="1:6" x14ac:dyDescent="0.25">
      <c r="A245" t="s">
        <v>622</v>
      </c>
      <c r="B245" t="s">
        <v>85</v>
      </c>
      <c r="C245" t="s">
        <v>623</v>
      </c>
      <c r="D245" t="s">
        <v>624</v>
      </c>
      <c r="E245" t="s">
        <v>10</v>
      </c>
      <c r="F245" t="s">
        <v>11</v>
      </c>
    </row>
    <row r="246" spans="1:6" x14ac:dyDescent="0.25">
      <c r="A246" t="s">
        <v>625</v>
      </c>
      <c r="B246" t="s">
        <v>85</v>
      </c>
      <c r="C246" t="s">
        <v>47</v>
      </c>
      <c r="D246" t="s">
        <v>626</v>
      </c>
      <c r="E246" t="s">
        <v>20</v>
      </c>
      <c r="F246" t="s">
        <v>21</v>
      </c>
    </row>
    <row r="247" spans="1:6" x14ac:dyDescent="0.25">
      <c r="A247" t="s">
        <v>627</v>
      </c>
      <c r="B247" t="s">
        <v>85</v>
      </c>
      <c r="C247" t="s">
        <v>628</v>
      </c>
      <c r="D247" t="s">
        <v>629</v>
      </c>
      <c r="E247" t="s">
        <v>49</v>
      </c>
      <c r="F247" t="s">
        <v>50</v>
      </c>
    </row>
    <row r="248" spans="1:6" x14ac:dyDescent="0.25">
      <c r="A248" t="s">
        <v>630</v>
      </c>
      <c r="B248" t="s">
        <v>85</v>
      </c>
      <c r="C248" t="s">
        <v>631</v>
      </c>
      <c r="D248" t="s">
        <v>254</v>
      </c>
      <c r="E248" t="s">
        <v>10</v>
      </c>
      <c r="F248" t="s">
        <v>11</v>
      </c>
    </row>
    <row r="249" spans="1:6" x14ac:dyDescent="0.25">
      <c r="A249" t="s">
        <v>632</v>
      </c>
      <c r="B249" t="s">
        <v>85</v>
      </c>
      <c r="C249" t="s">
        <v>125</v>
      </c>
      <c r="D249" t="s">
        <v>633</v>
      </c>
      <c r="E249" t="s">
        <v>350</v>
      </c>
      <c r="F249" t="s">
        <v>21</v>
      </c>
    </row>
    <row r="250" spans="1:6" x14ac:dyDescent="0.25">
      <c r="A250" t="s">
        <v>634</v>
      </c>
      <c r="B250" t="s">
        <v>85</v>
      </c>
      <c r="C250" t="s">
        <v>635</v>
      </c>
      <c r="D250" t="s">
        <v>636</v>
      </c>
      <c r="E250" t="s">
        <v>10</v>
      </c>
      <c r="F250" t="s">
        <v>11</v>
      </c>
    </row>
    <row r="251" spans="1:6" x14ac:dyDescent="0.25">
      <c r="A251" t="s">
        <v>637</v>
      </c>
      <c r="B251" t="s">
        <v>85</v>
      </c>
      <c r="C251" t="s">
        <v>125</v>
      </c>
      <c r="D251" t="s">
        <v>638</v>
      </c>
      <c r="E251" t="s">
        <v>20</v>
      </c>
      <c r="F251" t="s">
        <v>21</v>
      </c>
    </row>
    <row r="252" spans="1:6" x14ac:dyDescent="0.25">
      <c r="A252" t="s">
        <v>639</v>
      </c>
      <c r="B252" t="s">
        <v>85</v>
      </c>
      <c r="C252" t="s">
        <v>640</v>
      </c>
      <c r="D252" t="s">
        <v>641</v>
      </c>
      <c r="E252" t="s">
        <v>187</v>
      </c>
      <c r="F252" t="s">
        <v>50</v>
      </c>
    </row>
    <row r="253" spans="1:6" x14ac:dyDescent="0.25">
      <c r="A253" t="s">
        <v>642</v>
      </c>
      <c r="B253" t="s">
        <v>85</v>
      </c>
      <c r="C253" t="s">
        <v>516</v>
      </c>
      <c r="D253" t="s">
        <v>643</v>
      </c>
      <c r="E253" t="s">
        <v>10</v>
      </c>
      <c r="F253" t="s">
        <v>11</v>
      </c>
    </row>
    <row r="254" spans="1:6" x14ac:dyDescent="0.25">
      <c r="A254" t="s">
        <v>644</v>
      </c>
      <c r="B254" t="s">
        <v>85</v>
      </c>
      <c r="C254" t="s">
        <v>645</v>
      </c>
      <c r="E254" t="s">
        <v>10</v>
      </c>
      <c r="F254" t="s">
        <v>11</v>
      </c>
    </row>
    <row r="255" spans="1:6" x14ac:dyDescent="0.25">
      <c r="A255" t="s">
        <v>646</v>
      </c>
      <c r="B255" t="s">
        <v>85</v>
      </c>
      <c r="C255" t="s">
        <v>647</v>
      </c>
      <c r="D255" t="s">
        <v>148</v>
      </c>
      <c r="E255" t="s">
        <v>648</v>
      </c>
      <c r="F255" t="s">
        <v>50</v>
      </c>
    </row>
    <row r="256" spans="1:6" x14ac:dyDescent="0.25">
      <c r="A256" t="s">
        <v>649</v>
      </c>
      <c r="B256" t="s">
        <v>85</v>
      </c>
      <c r="C256" t="s">
        <v>650</v>
      </c>
      <c r="D256" t="s">
        <v>651</v>
      </c>
      <c r="E256" t="s">
        <v>652</v>
      </c>
      <c r="F256" t="s">
        <v>50</v>
      </c>
    </row>
    <row r="257" spans="1:6" x14ac:dyDescent="0.25">
      <c r="A257" t="s">
        <v>653</v>
      </c>
      <c r="B257" t="s">
        <v>85</v>
      </c>
      <c r="C257" t="s">
        <v>654</v>
      </c>
      <c r="D257" t="s">
        <v>655</v>
      </c>
      <c r="E257" t="s">
        <v>10</v>
      </c>
      <c r="F257" t="s">
        <v>11</v>
      </c>
    </row>
    <row r="258" spans="1:6" x14ac:dyDescent="0.25">
      <c r="A258" t="s">
        <v>656</v>
      </c>
      <c r="B258" t="s">
        <v>85</v>
      </c>
      <c r="C258" t="s">
        <v>508</v>
      </c>
      <c r="D258" t="s">
        <v>657</v>
      </c>
      <c r="E258" t="s">
        <v>10</v>
      </c>
      <c r="F258" t="s">
        <v>11</v>
      </c>
    </row>
    <row r="259" spans="1:6" x14ac:dyDescent="0.25">
      <c r="A259" t="s">
        <v>658</v>
      </c>
      <c r="B259" t="s">
        <v>85</v>
      </c>
      <c r="C259" t="s">
        <v>659</v>
      </c>
      <c r="D259" t="s">
        <v>660</v>
      </c>
      <c r="E259" t="s">
        <v>49</v>
      </c>
      <c r="F259" t="s">
        <v>50</v>
      </c>
    </row>
    <row r="260" spans="1:6" x14ac:dyDescent="0.25">
      <c r="A260" t="s">
        <v>661</v>
      </c>
      <c r="B260" t="s">
        <v>85</v>
      </c>
      <c r="C260" t="s">
        <v>662</v>
      </c>
      <c r="D260" t="s">
        <v>169</v>
      </c>
      <c r="E260" t="s">
        <v>49</v>
      </c>
      <c r="F260" t="s">
        <v>50</v>
      </c>
    </row>
    <row r="261" spans="1:6" x14ac:dyDescent="0.25">
      <c r="A261" t="s">
        <v>663</v>
      </c>
      <c r="B261" t="s">
        <v>85</v>
      </c>
      <c r="C261" t="s">
        <v>125</v>
      </c>
      <c r="D261" t="s">
        <v>664</v>
      </c>
      <c r="E261" t="s">
        <v>170</v>
      </c>
      <c r="F261" t="s">
        <v>50</v>
      </c>
    </row>
    <row r="262" spans="1:6" x14ac:dyDescent="0.25">
      <c r="A262" t="s">
        <v>665</v>
      </c>
      <c r="B262" t="s">
        <v>85</v>
      </c>
      <c r="C262" t="s">
        <v>666</v>
      </c>
      <c r="D262" t="s">
        <v>667</v>
      </c>
      <c r="E262" t="s">
        <v>10</v>
      </c>
      <c r="F262" t="s">
        <v>11</v>
      </c>
    </row>
    <row r="263" spans="1:6" x14ac:dyDescent="0.25">
      <c r="A263" t="s">
        <v>668</v>
      </c>
      <c r="B263" t="s">
        <v>85</v>
      </c>
      <c r="C263" t="s">
        <v>125</v>
      </c>
      <c r="D263" t="s">
        <v>669</v>
      </c>
    </row>
    <row r="264" spans="1:6" x14ac:dyDescent="0.25">
      <c r="A264" t="s">
        <v>670</v>
      </c>
      <c r="B264" t="s">
        <v>85</v>
      </c>
      <c r="C264" t="s">
        <v>671</v>
      </c>
      <c r="D264" t="s">
        <v>672</v>
      </c>
      <c r="E264" t="s">
        <v>554</v>
      </c>
      <c r="F264" t="s">
        <v>526</v>
      </c>
    </row>
    <row r="265" spans="1:6" x14ac:dyDescent="0.25">
      <c r="A265" t="s">
        <v>673</v>
      </c>
      <c r="B265" t="s">
        <v>85</v>
      </c>
      <c r="C265" t="s">
        <v>125</v>
      </c>
      <c r="D265" t="s">
        <v>674</v>
      </c>
      <c r="E265" t="s">
        <v>49</v>
      </c>
      <c r="F265" t="s">
        <v>50</v>
      </c>
    </row>
    <row r="266" spans="1:6" x14ac:dyDescent="0.25">
      <c r="A266" t="s">
        <v>675</v>
      </c>
      <c r="B266" t="s">
        <v>85</v>
      </c>
      <c r="C266" t="s">
        <v>125</v>
      </c>
      <c r="D266" t="s">
        <v>676</v>
      </c>
      <c r="E266" t="s">
        <v>10</v>
      </c>
      <c r="F266" t="s">
        <v>11</v>
      </c>
    </row>
    <row r="267" spans="1:6" x14ac:dyDescent="0.25">
      <c r="A267" t="s">
        <v>677</v>
      </c>
      <c r="B267" t="s">
        <v>85</v>
      </c>
      <c r="C267" t="s">
        <v>678</v>
      </c>
      <c r="D267" t="s">
        <v>679</v>
      </c>
      <c r="E267" t="s">
        <v>10</v>
      </c>
      <c r="F267" t="s">
        <v>11</v>
      </c>
    </row>
    <row r="268" spans="1:6" x14ac:dyDescent="0.25">
      <c r="A268" t="s">
        <v>680</v>
      </c>
      <c r="B268" t="s">
        <v>85</v>
      </c>
      <c r="C268" t="s">
        <v>125</v>
      </c>
      <c r="D268" t="s">
        <v>576</v>
      </c>
      <c r="E268" t="s">
        <v>20</v>
      </c>
      <c r="F268" t="s">
        <v>21</v>
      </c>
    </row>
    <row r="269" spans="1:6" x14ac:dyDescent="0.25">
      <c r="A269" t="s">
        <v>681</v>
      </c>
      <c r="B269" t="s">
        <v>85</v>
      </c>
      <c r="C269" t="s">
        <v>682</v>
      </c>
      <c r="D269" t="s">
        <v>292</v>
      </c>
      <c r="E269" t="s">
        <v>10</v>
      </c>
      <c r="F269" t="s">
        <v>11</v>
      </c>
    </row>
    <row r="270" spans="1:6" x14ac:dyDescent="0.25">
      <c r="A270" t="s">
        <v>683</v>
      </c>
      <c r="B270" t="s">
        <v>85</v>
      </c>
      <c r="C270" t="s">
        <v>684</v>
      </c>
      <c r="D270" t="s">
        <v>685</v>
      </c>
      <c r="E270" t="s">
        <v>242</v>
      </c>
      <c r="F270" t="s">
        <v>21</v>
      </c>
    </row>
    <row r="271" spans="1:6" x14ac:dyDescent="0.25">
      <c r="A271" t="s">
        <v>686</v>
      </c>
      <c r="B271" t="s">
        <v>85</v>
      </c>
      <c r="C271" t="s">
        <v>47</v>
      </c>
      <c r="D271" t="s">
        <v>687</v>
      </c>
      <c r="E271" t="s">
        <v>10</v>
      </c>
      <c r="F271" t="s">
        <v>11</v>
      </c>
    </row>
    <row r="272" spans="1:6" x14ac:dyDescent="0.25">
      <c r="A272" t="s">
        <v>688</v>
      </c>
      <c r="B272" t="s">
        <v>85</v>
      </c>
      <c r="C272" t="s">
        <v>125</v>
      </c>
      <c r="D272" t="s">
        <v>689</v>
      </c>
      <c r="E272" t="s">
        <v>10</v>
      </c>
      <c r="F272" t="s">
        <v>11</v>
      </c>
    </row>
    <row r="273" spans="1:6" x14ac:dyDescent="0.25">
      <c r="A273" t="s">
        <v>690</v>
      </c>
      <c r="B273" t="s">
        <v>85</v>
      </c>
      <c r="C273" t="s">
        <v>691</v>
      </c>
      <c r="D273" t="s">
        <v>692</v>
      </c>
      <c r="E273" t="s">
        <v>10</v>
      </c>
      <c r="F273" t="s">
        <v>11</v>
      </c>
    </row>
    <row r="274" spans="1:6" x14ac:dyDescent="0.25">
      <c r="A274" t="s">
        <v>693</v>
      </c>
      <c r="B274" t="s">
        <v>85</v>
      </c>
      <c r="C274" t="s">
        <v>694</v>
      </c>
      <c r="D274" t="s">
        <v>225</v>
      </c>
      <c r="E274" t="s">
        <v>10</v>
      </c>
      <c r="F274" t="s">
        <v>11</v>
      </c>
    </row>
    <row r="275" spans="1:6" x14ac:dyDescent="0.25">
      <c r="A275" t="s">
        <v>695</v>
      </c>
      <c r="B275" t="s">
        <v>85</v>
      </c>
      <c r="C275" t="s">
        <v>436</v>
      </c>
      <c r="D275" t="s">
        <v>696</v>
      </c>
      <c r="E275" t="s">
        <v>10</v>
      </c>
      <c r="F275" t="s">
        <v>11</v>
      </c>
    </row>
    <row r="276" spans="1:6" x14ac:dyDescent="0.25">
      <c r="A276" t="s">
        <v>697</v>
      </c>
      <c r="B276" t="s">
        <v>85</v>
      </c>
      <c r="C276" t="s">
        <v>602</v>
      </c>
      <c r="D276" t="s">
        <v>698</v>
      </c>
      <c r="E276" t="s">
        <v>10</v>
      </c>
      <c r="F276" t="s">
        <v>11</v>
      </c>
    </row>
    <row r="277" spans="1:6" x14ac:dyDescent="0.25">
      <c r="A277" t="s">
        <v>699</v>
      </c>
      <c r="B277" t="s">
        <v>85</v>
      </c>
      <c r="C277" s="1">
        <v>0</v>
      </c>
      <c r="D277" t="s">
        <v>700</v>
      </c>
      <c r="E277" t="s">
        <v>20</v>
      </c>
      <c r="F277" t="s">
        <v>21</v>
      </c>
    </row>
    <row r="278" spans="1:6" x14ac:dyDescent="0.25">
      <c r="A278" t="s">
        <v>701</v>
      </c>
      <c r="B278" t="s">
        <v>53</v>
      </c>
      <c r="C278" t="s">
        <v>702</v>
      </c>
      <c r="D278" t="s">
        <v>703</v>
      </c>
      <c r="E278" t="s">
        <v>10</v>
      </c>
      <c r="F278" t="s">
        <v>11</v>
      </c>
    </row>
    <row r="279" spans="1:6" x14ac:dyDescent="0.25">
      <c r="A279" t="s">
        <v>704</v>
      </c>
      <c r="B279" t="s">
        <v>53</v>
      </c>
      <c r="C279" t="s">
        <v>375</v>
      </c>
      <c r="D279" t="s">
        <v>705</v>
      </c>
      <c r="E279" t="s">
        <v>187</v>
      </c>
      <c r="F279" t="s">
        <v>50</v>
      </c>
    </row>
    <row r="280" spans="1:6" x14ac:dyDescent="0.25">
      <c r="A280" t="s">
        <v>706</v>
      </c>
      <c r="B280" t="s">
        <v>53</v>
      </c>
      <c r="C280" t="s">
        <v>47</v>
      </c>
      <c r="D280" t="s">
        <v>707</v>
      </c>
      <c r="E280" t="s">
        <v>20</v>
      </c>
      <c r="F280" t="s">
        <v>21</v>
      </c>
    </row>
    <row r="281" spans="1:6" x14ac:dyDescent="0.25">
      <c r="A281" t="s">
        <v>708</v>
      </c>
      <c r="B281" t="s">
        <v>53</v>
      </c>
      <c r="C281" t="s">
        <v>709</v>
      </c>
      <c r="D281" t="s">
        <v>710</v>
      </c>
      <c r="E281" t="s">
        <v>20</v>
      </c>
      <c r="F281" t="s">
        <v>21</v>
      </c>
    </row>
    <row r="282" spans="1:6" x14ac:dyDescent="0.25">
      <c r="A282" t="s">
        <v>711</v>
      </c>
      <c r="B282" t="s">
        <v>53</v>
      </c>
      <c r="C282" t="s">
        <v>712</v>
      </c>
      <c r="D282" t="s">
        <v>713</v>
      </c>
      <c r="E282" t="s">
        <v>10</v>
      </c>
      <c r="F282" t="s">
        <v>11</v>
      </c>
    </row>
    <row r="283" spans="1:6" x14ac:dyDescent="0.25">
      <c r="A283" t="s">
        <v>714</v>
      </c>
      <c r="B283" t="s">
        <v>53</v>
      </c>
      <c r="C283" t="s">
        <v>715</v>
      </c>
      <c r="D283" t="s">
        <v>389</v>
      </c>
      <c r="E283" t="s">
        <v>10</v>
      </c>
      <c r="F283" t="s">
        <v>11</v>
      </c>
    </row>
    <row r="284" spans="1:6" x14ac:dyDescent="0.25">
      <c r="A284" t="s">
        <v>716</v>
      </c>
      <c r="B284" t="s">
        <v>53</v>
      </c>
      <c r="C284" t="s">
        <v>717</v>
      </c>
      <c r="D284" t="s">
        <v>221</v>
      </c>
      <c r="E284" t="s">
        <v>10</v>
      </c>
      <c r="F284" t="s">
        <v>11</v>
      </c>
    </row>
    <row r="285" spans="1:6" x14ac:dyDescent="0.25">
      <c r="A285" t="s">
        <v>718</v>
      </c>
      <c r="B285" t="s">
        <v>53</v>
      </c>
      <c r="C285" t="s">
        <v>556</v>
      </c>
      <c r="D285" t="s">
        <v>719</v>
      </c>
      <c r="E285" t="s">
        <v>10</v>
      </c>
      <c r="F285" t="s">
        <v>11</v>
      </c>
    </row>
    <row r="286" spans="1:6" x14ac:dyDescent="0.25">
      <c r="A286" t="s">
        <v>720</v>
      </c>
      <c r="B286" t="s">
        <v>53</v>
      </c>
      <c r="C286" t="s">
        <v>721</v>
      </c>
      <c r="D286" t="s">
        <v>722</v>
      </c>
      <c r="E286" t="s">
        <v>10</v>
      </c>
      <c r="F286" t="s">
        <v>11</v>
      </c>
    </row>
    <row r="287" spans="1:6" x14ac:dyDescent="0.25">
      <c r="A287" t="s">
        <v>723</v>
      </c>
      <c r="B287" t="s">
        <v>53</v>
      </c>
      <c r="C287" t="s">
        <v>724</v>
      </c>
      <c r="D287" t="s">
        <v>339</v>
      </c>
      <c r="E287" t="s">
        <v>187</v>
      </c>
      <c r="F287" t="s">
        <v>50</v>
      </c>
    </row>
    <row r="288" spans="1:6" x14ac:dyDescent="0.25">
      <c r="A288" t="s">
        <v>725</v>
      </c>
      <c r="B288" t="s">
        <v>53</v>
      </c>
      <c r="C288" t="s">
        <v>726</v>
      </c>
      <c r="D288" t="s">
        <v>727</v>
      </c>
      <c r="E288" t="s">
        <v>10</v>
      </c>
      <c r="F288" t="s">
        <v>11</v>
      </c>
    </row>
    <row r="289" spans="1:6" x14ac:dyDescent="0.25">
      <c r="A289" t="s">
        <v>728</v>
      </c>
      <c r="B289" t="s">
        <v>53</v>
      </c>
      <c r="C289" t="s">
        <v>729</v>
      </c>
      <c r="D289" t="s">
        <v>302</v>
      </c>
      <c r="E289" t="s">
        <v>10</v>
      </c>
      <c r="F289" t="s">
        <v>11</v>
      </c>
    </row>
    <row r="290" spans="1:6" x14ac:dyDescent="0.25">
      <c r="A290" t="s">
        <v>730</v>
      </c>
      <c r="B290" t="s">
        <v>53</v>
      </c>
      <c r="C290" t="s">
        <v>47</v>
      </c>
      <c r="D290" t="s">
        <v>731</v>
      </c>
      <c r="E290" t="s">
        <v>20</v>
      </c>
      <c r="F290" t="s">
        <v>21</v>
      </c>
    </row>
    <row r="291" spans="1:6" x14ac:dyDescent="0.25">
      <c r="A291" t="s">
        <v>732</v>
      </c>
      <c r="B291" t="s">
        <v>53</v>
      </c>
      <c r="C291" t="s">
        <v>733</v>
      </c>
      <c r="D291" t="s">
        <v>177</v>
      </c>
      <c r="E291" t="s">
        <v>10</v>
      </c>
      <c r="F291" t="s">
        <v>11</v>
      </c>
    </row>
    <row r="292" spans="1:6" x14ac:dyDescent="0.25">
      <c r="A292" t="s">
        <v>734</v>
      </c>
      <c r="B292" t="s">
        <v>53</v>
      </c>
      <c r="C292" t="s">
        <v>735</v>
      </c>
      <c r="E292" t="s">
        <v>384</v>
      </c>
      <c r="F292" t="s">
        <v>21</v>
      </c>
    </row>
    <row r="293" spans="1:6" x14ac:dyDescent="0.25">
      <c r="A293" t="s">
        <v>736</v>
      </c>
      <c r="B293" t="s">
        <v>53</v>
      </c>
      <c r="C293" t="s">
        <v>125</v>
      </c>
      <c r="D293" t="s">
        <v>737</v>
      </c>
      <c r="E293" t="s">
        <v>294</v>
      </c>
      <c r="F293" t="s">
        <v>21</v>
      </c>
    </row>
    <row r="294" spans="1:6" x14ac:dyDescent="0.25">
      <c r="A294" t="s">
        <v>738</v>
      </c>
      <c r="B294" t="s">
        <v>53</v>
      </c>
      <c r="C294" t="s">
        <v>556</v>
      </c>
      <c r="D294" t="s">
        <v>739</v>
      </c>
      <c r="E294" t="s">
        <v>10</v>
      </c>
      <c r="F294" t="s">
        <v>11</v>
      </c>
    </row>
    <row r="295" spans="1:6" x14ac:dyDescent="0.25">
      <c r="A295" t="s">
        <v>740</v>
      </c>
      <c r="B295" t="s">
        <v>53</v>
      </c>
      <c r="C295" t="s">
        <v>480</v>
      </c>
      <c r="D295" t="s">
        <v>741</v>
      </c>
      <c r="E295" t="s">
        <v>10</v>
      </c>
      <c r="F295" t="s">
        <v>11</v>
      </c>
    </row>
    <row r="296" spans="1:6" x14ac:dyDescent="0.25">
      <c r="A296" t="s">
        <v>742</v>
      </c>
      <c r="B296" t="s">
        <v>53</v>
      </c>
      <c r="C296" t="s">
        <v>125</v>
      </c>
      <c r="D296" t="s">
        <v>97</v>
      </c>
      <c r="E296" t="s">
        <v>10</v>
      </c>
      <c r="F296" t="s">
        <v>11</v>
      </c>
    </row>
    <row r="297" spans="1:6" x14ac:dyDescent="0.25">
      <c r="A297" t="s">
        <v>743</v>
      </c>
      <c r="B297" t="s">
        <v>53</v>
      </c>
      <c r="C297" t="s">
        <v>631</v>
      </c>
      <c r="D297" t="s">
        <v>722</v>
      </c>
      <c r="E297" t="s">
        <v>10</v>
      </c>
      <c r="F297" t="s">
        <v>11</v>
      </c>
    </row>
    <row r="298" spans="1:6" x14ac:dyDescent="0.25">
      <c r="A298" t="s">
        <v>744</v>
      </c>
      <c r="B298" t="s">
        <v>53</v>
      </c>
      <c r="C298" t="s">
        <v>745</v>
      </c>
      <c r="D298" t="s">
        <v>746</v>
      </c>
      <c r="E298" t="s">
        <v>187</v>
      </c>
      <c r="F298" t="s">
        <v>50</v>
      </c>
    </row>
    <row r="299" spans="1:6" x14ac:dyDescent="0.25">
      <c r="A299" t="s">
        <v>747</v>
      </c>
      <c r="B299" t="s">
        <v>53</v>
      </c>
      <c r="C299" t="s">
        <v>558</v>
      </c>
      <c r="D299" t="s">
        <v>389</v>
      </c>
      <c r="E299" t="s">
        <v>10</v>
      </c>
      <c r="F299" t="s">
        <v>11</v>
      </c>
    </row>
    <row r="300" spans="1:6" x14ac:dyDescent="0.25">
      <c r="A300" t="s">
        <v>748</v>
      </c>
      <c r="B300" t="s">
        <v>53</v>
      </c>
      <c r="C300" t="s">
        <v>749</v>
      </c>
      <c r="D300" t="s">
        <v>750</v>
      </c>
      <c r="E300" t="s">
        <v>20</v>
      </c>
      <c r="F300" t="s">
        <v>21</v>
      </c>
    </row>
    <row r="301" spans="1:6" x14ac:dyDescent="0.25">
      <c r="A301" t="s">
        <v>751</v>
      </c>
      <c r="B301" t="s">
        <v>53</v>
      </c>
      <c r="C301" s="1">
        <v>0</v>
      </c>
      <c r="D301" t="s">
        <v>752</v>
      </c>
      <c r="E301" t="s">
        <v>365</v>
      </c>
      <c r="F301" t="s">
        <v>11</v>
      </c>
    </row>
    <row r="302" spans="1:6" x14ac:dyDescent="0.25">
      <c r="A302" t="s">
        <v>753</v>
      </c>
      <c r="B302" t="s">
        <v>53</v>
      </c>
      <c r="C302" t="s">
        <v>754</v>
      </c>
      <c r="D302" t="s">
        <v>755</v>
      </c>
      <c r="E302" t="s">
        <v>756</v>
      </c>
      <c r="F302" t="s">
        <v>50</v>
      </c>
    </row>
    <row r="303" spans="1:6" x14ac:dyDescent="0.25">
      <c r="A303" t="s">
        <v>757</v>
      </c>
      <c r="B303" t="s">
        <v>53</v>
      </c>
      <c r="C303" t="s">
        <v>125</v>
      </c>
      <c r="D303" t="s">
        <v>758</v>
      </c>
      <c r="E303" t="s">
        <v>10</v>
      </c>
      <c r="F303" t="s">
        <v>11</v>
      </c>
    </row>
    <row r="304" spans="1:6" x14ac:dyDescent="0.25">
      <c r="A304" t="s">
        <v>759</v>
      </c>
      <c r="B304" t="s">
        <v>53</v>
      </c>
      <c r="C304" t="s">
        <v>628</v>
      </c>
      <c r="D304" t="s">
        <v>760</v>
      </c>
      <c r="E304" t="s">
        <v>10</v>
      </c>
      <c r="F304" t="s">
        <v>11</v>
      </c>
    </row>
    <row r="305" spans="1:6" x14ac:dyDescent="0.25">
      <c r="A305" t="s">
        <v>761</v>
      </c>
      <c r="B305" t="s">
        <v>53</v>
      </c>
      <c r="C305" t="s">
        <v>286</v>
      </c>
      <c r="D305" t="s">
        <v>500</v>
      </c>
      <c r="E305" t="s">
        <v>49</v>
      </c>
      <c r="F305" t="s">
        <v>50</v>
      </c>
    </row>
    <row r="306" spans="1:6" x14ac:dyDescent="0.25">
      <c r="A306" t="s">
        <v>762</v>
      </c>
      <c r="B306" t="s">
        <v>53</v>
      </c>
      <c r="C306" t="s">
        <v>283</v>
      </c>
      <c r="D306" t="s">
        <v>254</v>
      </c>
      <c r="E306" t="s">
        <v>10</v>
      </c>
      <c r="F306" t="s">
        <v>11</v>
      </c>
    </row>
    <row r="307" spans="1:6" x14ac:dyDescent="0.25">
      <c r="A307" t="s">
        <v>763</v>
      </c>
      <c r="B307" t="s">
        <v>53</v>
      </c>
      <c r="C307" t="s">
        <v>764</v>
      </c>
      <c r="D307" t="s">
        <v>765</v>
      </c>
      <c r="E307" t="s">
        <v>62</v>
      </c>
      <c r="F307" t="s">
        <v>63</v>
      </c>
    </row>
    <row r="308" spans="1:6" x14ac:dyDescent="0.25">
      <c r="A308" t="s">
        <v>766</v>
      </c>
      <c r="B308" t="s">
        <v>53</v>
      </c>
      <c r="C308" t="s">
        <v>767</v>
      </c>
      <c r="D308" t="s">
        <v>768</v>
      </c>
      <c r="E308" t="s">
        <v>10</v>
      </c>
      <c r="F308" t="s">
        <v>11</v>
      </c>
    </row>
    <row r="309" spans="1:6" x14ac:dyDescent="0.25">
      <c r="A309" t="s">
        <v>769</v>
      </c>
      <c r="B309" t="s">
        <v>53</v>
      </c>
      <c r="C309" t="s">
        <v>770</v>
      </c>
      <c r="D309" t="s">
        <v>771</v>
      </c>
      <c r="E309" t="s">
        <v>10</v>
      </c>
      <c r="F309" t="s">
        <v>11</v>
      </c>
    </row>
    <row r="310" spans="1:6" x14ac:dyDescent="0.25">
      <c r="A310" t="s">
        <v>772</v>
      </c>
      <c r="B310" t="s">
        <v>53</v>
      </c>
      <c r="C310" t="s">
        <v>267</v>
      </c>
      <c r="D310" t="s">
        <v>773</v>
      </c>
      <c r="E310" t="s">
        <v>10</v>
      </c>
      <c r="F310" t="s">
        <v>11</v>
      </c>
    </row>
    <row r="311" spans="1:6" x14ac:dyDescent="0.25">
      <c r="A311" t="s">
        <v>774</v>
      </c>
      <c r="B311" t="s">
        <v>53</v>
      </c>
      <c r="C311" t="s">
        <v>125</v>
      </c>
      <c r="D311" t="s">
        <v>341</v>
      </c>
      <c r="E311" t="s">
        <v>10</v>
      </c>
      <c r="F311" t="s">
        <v>11</v>
      </c>
    </row>
    <row r="312" spans="1:6" x14ac:dyDescent="0.25">
      <c r="A312" t="s">
        <v>775</v>
      </c>
      <c r="B312" t="s">
        <v>53</v>
      </c>
      <c r="C312" t="s">
        <v>125</v>
      </c>
      <c r="D312" t="s">
        <v>776</v>
      </c>
      <c r="E312" t="s">
        <v>10</v>
      </c>
      <c r="F312" t="s">
        <v>11</v>
      </c>
    </row>
    <row r="313" spans="1:6" x14ac:dyDescent="0.25">
      <c r="A313" t="s">
        <v>777</v>
      </c>
      <c r="B313" t="s">
        <v>53</v>
      </c>
      <c r="C313" t="s">
        <v>778</v>
      </c>
      <c r="D313" t="s">
        <v>409</v>
      </c>
      <c r="E313" t="s">
        <v>10</v>
      </c>
      <c r="F313" t="s">
        <v>11</v>
      </c>
    </row>
    <row r="314" spans="1:6" x14ac:dyDescent="0.25">
      <c r="A314" t="s">
        <v>779</v>
      </c>
      <c r="B314" t="s">
        <v>53</v>
      </c>
      <c r="C314" t="s">
        <v>780</v>
      </c>
      <c r="D314" t="s">
        <v>781</v>
      </c>
      <c r="E314" t="s">
        <v>10</v>
      </c>
      <c r="F314" t="s">
        <v>11</v>
      </c>
    </row>
    <row r="315" spans="1:6" x14ac:dyDescent="0.25">
      <c r="A315" t="s">
        <v>782</v>
      </c>
      <c r="B315" t="s">
        <v>53</v>
      </c>
      <c r="C315" t="s">
        <v>783</v>
      </c>
      <c r="D315" t="s">
        <v>137</v>
      </c>
      <c r="E315" t="s">
        <v>10</v>
      </c>
      <c r="F315" t="s">
        <v>11</v>
      </c>
    </row>
    <row r="316" spans="1:6" x14ac:dyDescent="0.25">
      <c r="A316" t="s">
        <v>784</v>
      </c>
      <c r="B316" t="s">
        <v>53</v>
      </c>
      <c r="C316" t="s">
        <v>785</v>
      </c>
      <c r="D316" t="s">
        <v>786</v>
      </c>
      <c r="E316" t="s">
        <v>787</v>
      </c>
      <c r="F316" t="s">
        <v>50</v>
      </c>
    </row>
    <row r="317" spans="1:6" x14ac:dyDescent="0.25">
      <c r="A317" t="s">
        <v>788</v>
      </c>
      <c r="B317" t="s">
        <v>53</v>
      </c>
      <c r="C317" t="s">
        <v>789</v>
      </c>
      <c r="D317" t="s">
        <v>790</v>
      </c>
      <c r="E317" t="s">
        <v>10</v>
      </c>
      <c r="F317" t="s">
        <v>11</v>
      </c>
    </row>
    <row r="318" spans="1:6" x14ac:dyDescent="0.25">
      <c r="A318" t="s">
        <v>791</v>
      </c>
      <c r="B318" t="s">
        <v>53</v>
      </c>
      <c r="C318" t="s">
        <v>792</v>
      </c>
      <c r="D318" t="s">
        <v>790</v>
      </c>
      <c r="E318" t="s">
        <v>10</v>
      </c>
      <c r="F318" t="s">
        <v>11</v>
      </c>
    </row>
    <row r="319" spans="1:6" x14ac:dyDescent="0.25">
      <c r="A319" t="s">
        <v>793</v>
      </c>
      <c r="B319" t="s">
        <v>53</v>
      </c>
      <c r="C319" t="s">
        <v>794</v>
      </c>
      <c r="D319" t="s">
        <v>66</v>
      </c>
      <c r="E319" t="s">
        <v>10</v>
      </c>
      <c r="F319" t="s">
        <v>11</v>
      </c>
    </row>
    <row r="320" spans="1:6" x14ac:dyDescent="0.25">
      <c r="A320" t="s">
        <v>795</v>
      </c>
      <c r="B320" t="s">
        <v>53</v>
      </c>
      <c r="C320" t="s">
        <v>125</v>
      </c>
      <c r="D320" t="s">
        <v>503</v>
      </c>
      <c r="E320" t="s">
        <v>20</v>
      </c>
      <c r="F320" t="s">
        <v>21</v>
      </c>
    </row>
    <row r="321" spans="1:6" x14ac:dyDescent="0.25">
      <c r="A321" t="s">
        <v>796</v>
      </c>
      <c r="B321" t="s">
        <v>53</v>
      </c>
      <c r="C321" t="s">
        <v>797</v>
      </c>
      <c r="D321" t="s">
        <v>798</v>
      </c>
      <c r="E321" t="s">
        <v>10</v>
      </c>
      <c r="F321" t="s">
        <v>11</v>
      </c>
    </row>
    <row r="322" spans="1:6" x14ac:dyDescent="0.25">
      <c r="A322" t="s">
        <v>799</v>
      </c>
      <c r="B322" t="s">
        <v>53</v>
      </c>
      <c r="C322" t="s">
        <v>800</v>
      </c>
      <c r="E322" t="s">
        <v>10</v>
      </c>
      <c r="F322" t="s">
        <v>11</v>
      </c>
    </row>
    <row r="323" spans="1:6" x14ac:dyDescent="0.25">
      <c r="A323" t="s">
        <v>801</v>
      </c>
      <c r="B323" t="s">
        <v>53</v>
      </c>
      <c r="C323" t="s">
        <v>125</v>
      </c>
      <c r="D323" t="s">
        <v>802</v>
      </c>
      <c r="E323" t="s">
        <v>10</v>
      </c>
      <c r="F323" t="s">
        <v>11</v>
      </c>
    </row>
    <row r="324" spans="1:6" x14ac:dyDescent="0.25">
      <c r="A324" t="s">
        <v>803</v>
      </c>
      <c r="B324" t="s">
        <v>53</v>
      </c>
      <c r="C324" t="s">
        <v>804</v>
      </c>
      <c r="D324" t="s">
        <v>79</v>
      </c>
      <c r="E324" t="s">
        <v>10</v>
      </c>
      <c r="F324" t="s">
        <v>11</v>
      </c>
    </row>
    <row r="325" spans="1:6" x14ac:dyDescent="0.25">
      <c r="A325" t="s">
        <v>805</v>
      </c>
      <c r="B325" t="s">
        <v>53</v>
      </c>
      <c r="C325" t="s">
        <v>806</v>
      </c>
      <c r="D325" t="s">
        <v>469</v>
      </c>
      <c r="E325" t="s">
        <v>10</v>
      </c>
      <c r="F325" t="s">
        <v>11</v>
      </c>
    </row>
    <row r="326" spans="1:6" x14ac:dyDescent="0.25">
      <c r="A326" t="s">
        <v>807</v>
      </c>
      <c r="B326" t="s">
        <v>53</v>
      </c>
      <c r="C326" t="s">
        <v>808</v>
      </c>
      <c r="D326" t="s">
        <v>809</v>
      </c>
      <c r="E326" t="s">
        <v>10</v>
      </c>
      <c r="F326" t="s">
        <v>11</v>
      </c>
    </row>
    <row r="327" spans="1:6" x14ac:dyDescent="0.25">
      <c r="A327" t="s">
        <v>810</v>
      </c>
      <c r="B327" t="s">
        <v>53</v>
      </c>
      <c r="C327" t="s">
        <v>125</v>
      </c>
      <c r="D327" t="s">
        <v>811</v>
      </c>
      <c r="E327" t="s">
        <v>10</v>
      </c>
      <c r="F327" t="s">
        <v>11</v>
      </c>
    </row>
    <row r="328" spans="1:6" x14ac:dyDescent="0.25">
      <c r="A328" t="s">
        <v>812</v>
      </c>
      <c r="B328" t="s">
        <v>53</v>
      </c>
      <c r="C328" t="s">
        <v>47</v>
      </c>
      <c r="D328" t="s">
        <v>813</v>
      </c>
      <c r="E328" t="s">
        <v>10</v>
      </c>
      <c r="F328" t="s">
        <v>11</v>
      </c>
    </row>
    <row r="329" spans="1:6" x14ac:dyDescent="0.25">
      <c r="A329" t="s">
        <v>814</v>
      </c>
      <c r="B329" t="s">
        <v>53</v>
      </c>
      <c r="C329" t="s">
        <v>815</v>
      </c>
      <c r="D329" t="s">
        <v>816</v>
      </c>
      <c r="E329" t="s">
        <v>49</v>
      </c>
      <c r="F329" t="s">
        <v>50</v>
      </c>
    </row>
    <row r="330" spans="1:6" x14ac:dyDescent="0.25">
      <c r="A330" t="s">
        <v>817</v>
      </c>
      <c r="B330" t="s">
        <v>53</v>
      </c>
      <c r="C330" t="s">
        <v>47</v>
      </c>
      <c r="D330" t="s">
        <v>818</v>
      </c>
      <c r="E330" t="s">
        <v>10</v>
      </c>
      <c r="F330" t="s">
        <v>11</v>
      </c>
    </row>
    <row r="331" spans="1:6" x14ac:dyDescent="0.25">
      <c r="A331" t="s">
        <v>819</v>
      </c>
      <c r="B331" t="s">
        <v>53</v>
      </c>
      <c r="C331" t="s">
        <v>804</v>
      </c>
      <c r="D331" t="s">
        <v>820</v>
      </c>
      <c r="E331" t="s">
        <v>10</v>
      </c>
      <c r="F331" t="s">
        <v>11</v>
      </c>
    </row>
    <row r="332" spans="1:6" x14ac:dyDescent="0.25">
      <c r="A332" t="s">
        <v>821</v>
      </c>
      <c r="B332" t="s">
        <v>53</v>
      </c>
      <c r="C332" t="s">
        <v>253</v>
      </c>
      <c r="D332" t="s">
        <v>156</v>
      </c>
      <c r="E332" t="s">
        <v>10</v>
      </c>
      <c r="F332" t="s">
        <v>11</v>
      </c>
    </row>
    <row r="333" spans="1:6" x14ac:dyDescent="0.25">
      <c r="A333" t="s">
        <v>822</v>
      </c>
      <c r="B333" t="s">
        <v>53</v>
      </c>
      <c r="C333" t="s">
        <v>556</v>
      </c>
      <c r="D333" t="s">
        <v>823</v>
      </c>
      <c r="E333" t="s">
        <v>10</v>
      </c>
      <c r="F333" t="s">
        <v>11</v>
      </c>
    </row>
    <row r="334" spans="1:6" x14ac:dyDescent="0.25">
      <c r="A334" t="s">
        <v>824</v>
      </c>
      <c r="B334" t="s">
        <v>53</v>
      </c>
      <c r="C334" t="s">
        <v>53</v>
      </c>
      <c r="D334" t="s">
        <v>825</v>
      </c>
      <c r="E334" t="s">
        <v>20</v>
      </c>
      <c r="F334" t="s">
        <v>21</v>
      </c>
    </row>
    <row r="335" spans="1:6" x14ac:dyDescent="0.25">
      <c r="A335" t="s">
        <v>826</v>
      </c>
      <c r="B335" t="s">
        <v>53</v>
      </c>
      <c r="C335" t="s">
        <v>599</v>
      </c>
      <c r="D335" t="s">
        <v>827</v>
      </c>
      <c r="E335" t="s">
        <v>20</v>
      </c>
      <c r="F335" t="s">
        <v>21</v>
      </c>
    </row>
    <row r="336" spans="1:6" x14ac:dyDescent="0.25">
      <c r="A336" t="s">
        <v>828</v>
      </c>
      <c r="B336" t="s">
        <v>53</v>
      </c>
      <c r="C336" t="s">
        <v>829</v>
      </c>
      <c r="D336" t="s">
        <v>97</v>
      </c>
      <c r="E336" t="s">
        <v>10</v>
      </c>
      <c r="F336" t="s">
        <v>11</v>
      </c>
    </row>
    <row r="337" spans="1:6" x14ac:dyDescent="0.25">
      <c r="A337" t="s">
        <v>830</v>
      </c>
      <c r="B337" t="s">
        <v>53</v>
      </c>
      <c r="C337" t="s">
        <v>831</v>
      </c>
      <c r="D337" t="s">
        <v>832</v>
      </c>
      <c r="E337" t="s">
        <v>20</v>
      </c>
      <c r="F337" t="s">
        <v>21</v>
      </c>
    </row>
    <row r="338" spans="1:6" x14ac:dyDescent="0.25">
      <c r="A338" t="s">
        <v>833</v>
      </c>
      <c r="B338" t="s">
        <v>53</v>
      </c>
      <c r="C338" t="s">
        <v>834</v>
      </c>
      <c r="D338" t="s">
        <v>835</v>
      </c>
      <c r="E338" t="s">
        <v>10</v>
      </c>
      <c r="F338" t="s">
        <v>11</v>
      </c>
    </row>
    <row r="339" spans="1:6" x14ac:dyDescent="0.25">
      <c r="A339" t="s">
        <v>836</v>
      </c>
      <c r="B339" t="s">
        <v>53</v>
      </c>
      <c r="C339" t="s">
        <v>837</v>
      </c>
      <c r="D339" t="s">
        <v>376</v>
      </c>
      <c r="E339" t="s">
        <v>10</v>
      </c>
      <c r="F339" t="s">
        <v>11</v>
      </c>
    </row>
    <row r="340" spans="1:6" x14ac:dyDescent="0.25">
      <c r="A340" t="s">
        <v>838</v>
      </c>
      <c r="B340" t="s">
        <v>53</v>
      </c>
      <c r="C340" t="s">
        <v>81</v>
      </c>
      <c r="D340" t="s">
        <v>839</v>
      </c>
      <c r="E340" t="s">
        <v>44</v>
      </c>
      <c r="F340" t="s">
        <v>21</v>
      </c>
    </row>
    <row r="341" spans="1:6" x14ac:dyDescent="0.25">
      <c r="A341" t="s">
        <v>840</v>
      </c>
      <c r="B341" t="s">
        <v>53</v>
      </c>
      <c r="C341" t="s">
        <v>841</v>
      </c>
      <c r="D341" t="s">
        <v>177</v>
      </c>
      <c r="E341" t="s">
        <v>170</v>
      </c>
      <c r="F341" t="s">
        <v>50</v>
      </c>
    </row>
    <row r="342" spans="1:6" x14ac:dyDescent="0.25">
      <c r="A342" t="s">
        <v>842</v>
      </c>
      <c r="B342" t="s">
        <v>53</v>
      </c>
      <c r="C342" t="s">
        <v>125</v>
      </c>
      <c r="E342" t="s">
        <v>20</v>
      </c>
      <c r="F342" t="s">
        <v>21</v>
      </c>
    </row>
    <row r="343" spans="1:6" x14ac:dyDescent="0.25">
      <c r="A343" t="s">
        <v>843</v>
      </c>
      <c r="B343" t="s">
        <v>53</v>
      </c>
      <c r="C343" t="s">
        <v>125</v>
      </c>
      <c r="D343" t="s">
        <v>844</v>
      </c>
      <c r="E343" t="s">
        <v>365</v>
      </c>
      <c r="F343" t="s">
        <v>11</v>
      </c>
    </row>
    <row r="344" spans="1:6" x14ac:dyDescent="0.25">
      <c r="A344" t="s">
        <v>845</v>
      </c>
      <c r="B344" t="s">
        <v>53</v>
      </c>
      <c r="C344" t="s">
        <v>846</v>
      </c>
      <c r="D344" t="s">
        <v>309</v>
      </c>
      <c r="E344" t="s">
        <v>10</v>
      </c>
      <c r="F344" t="s">
        <v>11</v>
      </c>
    </row>
    <row r="345" spans="1:6" x14ac:dyDescent="0.25">
      <c r="A345" t="s">
        <v>847</v>
      </c>
      <c r="B345" t="s">
        <v>53</v>
      </c>
      <c r="C345" t="s">
        <v>47</v>
      </c>
      <c r="D345" t="s">
        <v>177</v>
      </c>
      <c r="E345" t="s">
        <v>10</v>
      </c>
      <c r="F345" t="s">
        <v>11</v>
      </c>
    </row>
    <row r="346" spans="1:6" x14ac:dyDescent="0.25">
      <c r="A346" t="s">
        <v>848</v>
      </c>
      <c r="B346" t="s">
        <v>53</v>
      </c>
      <c r="C346" t="s">
        <v>849</v>
      </c>
      <c r="D346" t="s">
        <v>850</v>
      </c>
      <c r="E346" t="s">
        <v>10</v>
      </c>
      <c r="F346" t="s">
        <v>11</v>
      </c>
    </row>
    <row r="347" spans="1:6" x14ac:dyDescent="0.25">
      <c r="A347" t="s">
        <v>851</v>
      </c>
      <c r="B347" t="s">
        <v>53</v>
      </c>
      <c r="C347" t="s">
        <v>852</v>
      </c>
      <c r="D347" t="s">
        <v>389</v>
      </c>
      <c r="E347" t="s">
        <v>10</v>
      </c>
      <c r="F347" t="s">
        <v>11</v>
      </c>
    </row>
    <row r="348" spans="1:6" x14ac:dyDescent="0.25">
      <c r="A348" t="s">
        <v>853</v>
      </c>
      <c r="B348" t="s">
        <v>53</v>
      </c>
      <c r="C348" t="s">
        <v>854</v>
      </c>
      <c r="D348" t="s">
        <v>496</v>
      </c>
      <c r="E348" t="s">
        <v>10</v>
      </c>
      <c r="F348" t="s">
        <v>11</v>
      </c>
    </row>
    <row r="349" spans="1:6" x14ac:dyDescent="0.25">
      <c r="A349" t="s">
        <v>855</v>
      </c>
      <c r="B349" t="s">
        <v>53</v>
      </c>
      <c r="C349" t="s">
        <v>856</v>
      </c>
      <c r="D349" t="s">
        <v>380</v>
      </c>
      <c r="E349" t="s">
        <v>10</v>
      </c>
      <c r="F349" t="s">
        <v>11</v>
      </c>
    </row>
    <row r="350" spans="1:6" x14ac:dyDescent="0.25">
      <c r="A350" t="s">
        <v>857</v>
      </c>
      <c r="B350" t="s">
        <v>53</v>
      </c>
      <c r="C350" t="s">
        <v>858</v>
      </c>
      <c r="D350" t="s">
        <v>859</v>
      </c>
      <c r="E350" t="s">
        <v>10</v>
      </c>
      <c r="F350" t="s">
        <v>11</v>
      </c>
    </row>
    <row r="351" spans="1:6" x14ac:dyDescent="0.25">
      <c r="A351" t="s">
        <v>860</v>
      </c>
      <c r="B351" t="s">
        <v>53</v>
      </c>
      <c r="C351" t="s">
        <v>861</v>
      </c>
      <c r="D351" t="s">
        <v>862</v>
      </c>
      <c r="E351" t="s">
        <v>10</v>
      </c>
      <c r="F351" t="s">
        <v>11</v>
      </c>
    </row>
    <row r="352" spans="1:6" x14ac:dyDescent="0.25">
      <c r="A352" t="s">
        <v>863</v>
      </c>
      <c r="B352" t="s">
        <v>53</v>
      </c>
      <c r="C352" t="s">
        <v>864</v>
      </c>
      <c r="D352" t="s">
        <v>380</v>
      </c>
      <c r="E352" t="s">
        <v>10</v>
      </c>
      <c r="F352" t="s">
        <v>11</v>
      </c>
    </row>
    <row r="353" spans="1:6" x14ac:dyDescent="0.25">
      <c r="A353" t="s">
        <v>865</v>
      </c>
      <c r="B353" t="s">
        <v>53</v>
      </c>
      <c r="C353" t="s">
        <v>866</v>
      </c>
      <c r="D353" t="s">
        <v>254</v>
      </c>
      <c r="E353" t="s">
        <v>10</v>
      </c>
      <c r="F353" t="s">
        <v>11</v>
      </c>
    </row>
    <row r="354" spans="1:6" x14ac:dyDescent="0.25">
      <c r="A354" t="s">
        <v>867</v>
      </c>
      <c r="B354" t="s">
        <v>53</v>
      </c>
      <c r="C354" t="s">
        <v>143</v>
      </c>
      <c r="D354" t="s">
        <v>156</v>
      </c>
      <c r="E354" t="s">
        <v>10</v>
      </c>
      <c r="F354" t="s">
        <v>11</v>
      </c>
    </row>
    <row r="355" spans="1:6" x14ac:dyDescent="0.25">
      <c r="A355" t="s">
        <v>868</v>
      </c>
      <c r="B355" t="s">
        <v>53</v>
      </c>
      <c r="C355" t="s">
        <v>869</v>
      </c>
      <c r="D355" t="s">
        <v>389</v>
      </c>
      <c r="E355" t="s">
        <v>10</v>
      </c>
      <c r="F355" t="s">
        <v>11</v>
      </c>
    </row>
    <row r="356" spans="1:6" x14ac:dyDescent="0.25">
      <c r="A356" t="s">
        <v>870</v>
      </c>
      <c r="B356" t="s">
        <v>53</v>
      </c>
      <c r="C356" t="s">
        <v>871</v>
      </c>
      <c r="D356" t="s">
        <v>86</v>
      </c>
      <c r="E356" t="s">
        <v>10</v>
      </c>
      <c r="F356" t="s">
        <v>11</v>
      </c>
    </row>
    <row r="357" spans="1:6" x14ac:dyDescent="0.25">
      <c r="A357" t="s">
        <v>872</v>
      </c>
      <c r="B357" t="s">
        <v>53</v>
      </c>
      <c r="C357" t="s">
        <v>873</v>
      </c>
      <c r="D357" t="s">
        <v>66</v>
      </c>
      <c r="E357" t="s">
        <v>44</v>
      </c>
      <c r="F357" t="s">
        <v>21</v>
      </c>
    </row>
    <row r="358" spans="1:6" x14ac:dyDescent="0.25">
      <c r="A358" t="s">
        <v>874</v>
      </c>
      <c r="B358" t="s">
        <v>53</v>
      </c>
      <c r="C358" t="s">
        <v>875</v>
      </c>
      <c r="D358" t="s">
        <v>876</v>
      </c>
      <c r="E358" t="s">
        <v>10</v>
      </c>
      <c r="F358" t="s">
        <v>11</v>
      </c>
    </row>
    <row r="359" spans="1:6" x14ac:dyDescent="0.25">
      <c r="A359" t="s">
        <v>877</v>
      </c>
      <c r="B359" t="s">
        <v>53</v>
      </c>
      <c r="C359" t="s">
        <v>878</v>
      </c>
      <c r="D359" t="s">
        <v>879</v>
      </c>
      <c r="E359" t="s">
        <v>880</v>
      </c>
      <c r="F359" t="s">
        <v>50</v>
      </c>
    </row>
    <row r="360" spans="1:6" x14ac:dyDescent="0.25">
      <c r="A360" t="s">
        <v>881</v>
      </c>
      <c r="B360" t="s">
        <v>53</v>
      </c>
      <c r="C360" t="s">
        <v>882</v>
      </c>
      <c r="D360" t="s">
        <v>883</v>
      </c>
      <c r="E360" t="s">
        <v>10</v>
      </c>
      <c r="F360" t="s">
        <v>11</v>
      </c>
    </row>
    <row r="361" spans="1:6" x14ac:dyDescent="0.25">
      <c r="A361" t="s">
        <v>884</v>
      </c>
      <c r="B361" t="s">
        <v>53</v>
      </c>
      <c r="C361" t="s">
        <v>885</v>
      </c>
      <c r="D361" t="s">
        <v>886</v>
      </c>
      <c r="E361" t="s">
        <v>10</v>
      </c>
      <c r="F361" t="s">
        <v>11</v>
      </c>
    </row>
    <row r="362" spans="1:6" x14ac:dyDescent="0.25">
      <c r="A362" t="s">
        <v>887</v>
      </c>
      <c r="B362" t="s">
        <v>53</v>
      </c>
      <c r="C362" t="s">
        <v>888</v>
      </c>
      <c r="D362" t="s">
        <v>889</v>
      </c>
      <c r="E362" t="s">
        <v>44</v>
      </c>
      <c r="F362" t="s">
        <v>21</v>
      </c>
    </row>
    <row r="363" spans="1:6" x14ac:dyDescent="0.25">
      <c r="A363" t="s">
        <v>890</v>
      </c>
      <c r="B363" t="s">
        <v>53</v>
      </c>
      <c r="C363" t="s">
        <v>891</v>
      </c>
      <c r="D363" t="s">
        <v>892</v>
      </c>
      <c r="E363" t="s">
        <v>10</v>
      </c>
      <c r="F363" t="s">
        <v>11</v>
      </c>
    </row>
    <row r="364" spans="1:6" x14ac:dyDescent="0.25">
      <c r="A364" t="s">
        <v>893</v>
      </c>
      <c r="B364" t="s">
        <v>53</v>
      </c>
      <c r="C364" t="s">
        <v>894</v>
      </c>
      <c r="D364" t="s">
        <v>148</v>
      </c>
      <c r="E364" t="s">
        <v>10</v>
      </c>
      <c r="F364" t="s">
        <v>11</v>
      </c>
    </row>
    <row r="365" spans="1:6" x14ac:dyDescent="0.25">
      <c r="A365" t="s">
        <v>895</v>
      </c>
      <c r="B365" t="s">
        <v>53</v>
      </c>
      <c r="C365" t="s">
        <v>896</v>
      </c>
      <c r="D365" t="s">
        <v>897</v>
      </c>
      <c r="E365" t="s">
        <v>10</v>
      </c>
      <c r="F365" t="s">
        <v>11</v>
      </c>
    </row>
    <row r="366" spans="1:6" x14ac:dyDescent="0.25">
      <c r="A366" t="s">
        <v>898</v>
      </c>
      <c r="B366" t="s">
        <v>53</v>
      </c>
      <c r="C366" t="s">
        <v>899</v>
      </c>
      <c r="D366" t="s">
        <v>380</v>
      </c>
      <c r="E366" t="s">
        <v>187</v>
      </c>
      <c r="F366" t="s">
        <v>50</v>
      </c>
    </row>
    <row r="367" spans="1:6" x14ac:dyDescent="0.25">
      <c r="A367" t="s">
        <v>900</v>
      </c>
      <c r="B367" t="s">
        <v>53</v>
      </c>
      <c r="C367" t="s">
        <v>901</v>
      </c>
      <c r="D367" t="s">
        <v>79</v>
      </c>
      <c r="E367" t="s">
        <v>10</v>
      </c>
      <c r="F367" t="s">
        <v>11</v>
      </c>
    </row>
    <row r="368" spans="1:6" x14ac:dyDescent="0.25">
      <c r="A368" t="s">
        <v>902</v>
      </c>
      <c r="B368" t="s">
        <v>53</v>
      </c>
      <c r="C368" t="s">
        <v>631</v>
      </c>
      <c r="D368" t="s">
        <v>66</v>
      </c>
      <c r="E368" t="s">
        <v>10</v>
      </c>
      <c r="F368" t="s">
        <v>11</v>
      </c>
    </row>
    <row r="369" spans="1:6" x14ac:dyDescent="0.25">
      <c r="A369" t="s">
        <v>903</v>
      </c>
      <c r="B369" t="s">
        <v>53</v>
      </c>
      <c r="C369" t="s">
        <v>904</v>
      </c>
      <c r="D369" t="s">
        <v>225</v>
      </c>
      <c r="E369" t="s">
        <v>10</v>
      </c>
      <c r="F369" t="s">
        <v>11</v>
      </c>
    </row>
    <row r="370" spans="1:6" x14ac:dyDescent="0.25">
      <c r="A370" t="s">
        <v>905</v>
      </c>
      <c r="B370" t="s">
        <v>53</v>
      </c>
      <c r="C370" t="s">
        <v>906</v>
      </c>
      <c r="D370" t="s">
        <v>816</v>
      </c>
      <c r="E370" t="s">
        <v>10</v>
      </c>
      <c r="F370" t="s">
        <v>11</v>
      </c>
    </row>
    <row r="371" spans="1:6" x14ac:dyDescent="0.25">
      <c r="A371" t="s">
        <v>907</v>
      </c>
      <c r="B371" t="s">
        <v>81</v>
      </c>
      <c r="C371" t="s">
        <v>908</v>
      </c>
      <c r="D371" t="s">
        <v>909</v>
      </c>
      <c r="E371" t="s">
        <v>170</v>
      </c>
      <c r="F371" t="s">
        <v>50</v>
      </c>
    </row>
    <row r="372" spans="1:6" x14ac:dyDescent="0.25">
      <c r="A372" t="s">
        <v>910</v>
      </c>
      <c r="B372" t="s">
        <v>81</v>
      </c>
      <c r="C372" t="s">
        <v>911</v>
      </c>
      <c r="D372" t="s">
        <v>912</v>
      </c>
      <c r="E372" t="s">
        <v>10</v>
      </c>
      <c r="F372" t="s">
        <v>11</v>
      </c>
    </row>
    <row r="373" spans="1:6" x14ac:dyDescent="0.25">
      <c r="A373" t="s">
        <v>913</v>
      </c>
      <c r="B373" t="s">
        <v>81</v>
      </c>
      <c r="C373" t="s">
        <v>914</v>
      </c>
      <c r="D373" t="s">
        <v>159</v>
      </c>
      <c r="E373" t="s">
        <v>44</v>
      </c>
      <c r="F373" t="s">
        <v>21</v>
      </c>
    </row>
    <row r="374" spans="1:6" x14ac:dyDescent="0.25">
      <c r="A374" t="s">
        <v>915</v>
      </c>
      <c r="B374" t="s">
        <v>81</v>
      </c>
      <c r="C374" t="s">
        <v>654</v>
      </c>
      <c r="D374" t="s">
        <v>461</v>
      </c>
      <c r="E374" t="s">
        <v>20</v>
      </c>
      <c r="F374" t="s">
        <v>21</v>
      </c>
    </row>
    <row r="375" spans="1:6" x14ac:dyDescent="0.25">
      <c r="A375" t="s">
        <v>916</v>
      </c>
      <c r="B375" t="s">
        <v>81</v>
      </c>
      <c r="C375" t="s">
        <v>917</v>
      </c>
      <c r="D375" t="s">
        <v>918</v>
      </c>
      <c r="E375" t="s">
        <v>756</v>
      </c>
      <c r="F375" t="s">
        <v>50</v>
      </c>
    </row>
    <row r="376" spans="1:6" x14ac:dyDescent="0.25">
      <c r="A376" t="s">
        <v>919</v>
      </c>
      <c r="B376" t="s">
        <v>81</v>
      </c>
      <c r="C376" t="s">
        <v>920</v>
      </c>
      <c r="D376" t="s">
        <v>921</v>
      </c>
      <c r="E376" t="s">
        <v>10</v>
      </c>
      <c r="F376" t="s">
        <v>11</v>
      </c>
    </row>
    <row r="377" spans="1:6" x14ac:dyDescent="0.25">
      <c r="A377" t="s">
        <v>922</v>
      </c>
      <c r="B377" t="s">
        <v>81</v>
      </c>
      <c r="C377" t="s">
        <v>125</v>
      </c>
      <c r="D377" t="s">
        <v>923</v>
      </c>
      <c r="E377" t="s">
        <v>20</v>
      </c>
      <c r="F377" t="s">
        <v>21</v>
      </c>
    </row>
    <row r="378" spans="1:6" x14ac:dyDescent="0.25">
      <c r="A378" t="s">
        <v>924</v>
      </c>
      <c r="B378" t="s">
        <v>81</v>
      </c>
      <c r="C378" t="s">
        <v>925</v>
      </c>
      <c r="D378" t="s">
        <v>926</v>
      </c>
      <c r="E378" t="s">
        <v>10</v>
      </c>
      <c r="F378" t="s">
        <v>11</v>
      </c>
    </row>
    <row r="379" spans="1:6" x14ac:dyDescent="0.25">
      <c r="A379" t="s">
        <v>927</v>
      </c>
      <c r="B379" t="s">
        <v>81</v>
      </c>
      <c r="C379" t="s">
        <v>928</v>
      </c>
      <c r="D379" t="s">
        <v>929</v>
      </c>
      <c r="E379" t="s">
        <v>49</v>
      </c>
      <c r="F379" t="s">
        <v>50</v>
      </c>
    </row>
    <row r="380" spans="1:6" x14ac:dyDescent="0.25">
      <c r="A380" t="s">
        <v>930</v>
      </c>
      <c r="B380" t="s">
        <v>81</v>
      </c>
      <c r="C380" t="s">
        <v>931</v>
      </c>
      <c r="D380" t="s">
        <v>932</v>
      </c>
      <c r="E380" t="s">
        <v>10</v>
      </c>
      <c r="F380" t="s">
        <v>11</v>
      </c>
    </row>
    <row r="381" spans="1:6" x14ac:dyDescent="0.25">
      <c r="A381" t="s">
        <v>933</v>
      </c>
      <c r="B381" t="s">
        <v>81</v>
      </c>
      <c r="C381" t="s">
        <v>934</v>
      </c>
      <c r="D381" t="s">
        <v>517</v>
      </c>
      <c r="E381" t="s">
        <v>49</v>
      </c>
      <c r="F381" t="s">
        <v>50</v>
      </c>
    </row>
    <row r="382" spans="1:6" x14ac:dyDescent="0.25">
      <c r="A382" t="s">
        <v>935</v>
      </c>
      <c r="B382" t="s">
        <v>81</v>
      </c>
      <c r="C382" t="s">
        <v>936</v>
      </c>
      <c r="D382" t="s">
        <v>937</v>
      </c>
      <c r="E382" t="s">
        <v>20</v>
      </c>
      <c r="F382" t="s">
        <v>21</v>
      </c>
    </row>
    <row r="383" spans="1:6" x14ac:dyDescent="0.25">
      <c r="A383" t="s">
        <v>938</v>
      </c>
      <c r="B383" t="s">
        <v>81</v>
      </c>
      <c r="C383" t="s">
        <v>550</v>
      </c>
      <c r="D383" t="s">
        <v>939</v>
      </c>
      <c r="E383" t="s">
        <v>10</v>
      </c>
      <c r="F383" t="s">
        <v>11</v>
      </c>
    </row>
    <row r="384" spans="1:6" x14ac:dyDescent="0.25">
      <c r="A384" t="s">
        <v>940</v>
      </c>
      <c r="B384" t="s">
        <v>81</v>
      </c>
      <c r="C384" t="s">
        <v>125</v>
      </c>
      <c r="D384" t="s">
        <v>941</v>
      </c>
      <c r="E384" t="s">
        <v>10</v>
      </c>
      <c r="F384" t="s">
        <v>11</v>
      </c>
    </row>
    <row r="385" spans="1:6" x14ac:dyDescent="0.25">
      <c r="A385" t="s">
        <v>942</v>
      </c>
      <c r="B385" t="s">
        <v>81</v>
      </c>
      <c r="C385" t="s">
        <v>943</v>
      </c>
      <c r="D385" t="s">
        <v>676</v>
      </c>
      <c r="E385" t="s">
        <v>10</v>
      </c>
      <c r="F385" t="s">
        <v>11</v>
      </c>
    </row>
    <row r="386" spans="1:6" x14ac:dyDescent="0.25">
      <c r="A386" t="s">
        <v>944</v>
      </c>
      <c r="B386" t="s">
        <v>81</v>
      </c>
      <c r="C386" t="s">
        <v>140</v>
      </c>
      <c r="D386" t="s">
        <v>945</v>
      </c>
      <c r="E386" t="s">
        <v>554</v>
      </c>
      <c r="F386" t="s">
        <v>526</v>
      </c>
    </row>
    <row r="387" spans="1:6" x14ac:dyDescent="0.25">
      <c r="A387" t="s">
        <v>946</v>
      </c>
      <c r="B387" t="s">
        <v>81</v>
      </c>
      <c r="C387" t="s">
        <v>947</v>
      </c>
      <c r="D387" t="s">
        <v>148</v>
      </c>
      <c r="E387" t="s">
        <v>10</v>
      </c>
      <c r="F387" t="s">
        <v>11</v>
      </c>
    </row>
    <row r="388" spans="1:6" x14ac:dyDescent="0.25">
      <c r="A388" t="s">
        <v>948</v>
      </c>
      <c r="B388" t="s">
        <v>81</v>
      </c>
      <c r="C388" t="s">
        <v>949</v>
      </c>
      <c r="D388" t="s">
        <v>950</v>
      </c>
      <c r="E388" t="s">
        <v>10</v>
      </c>
      <c r="F388" t="s">
        <v>11</v>
      </c>
    </row>
    <row r="389" spans="1:6" x14ac:dyDescent="0.25">
      <c r="A389" t="s">
        <v>951</v>
      </c>
      <c r="B389" t="s">
        <v>81</v>
      </c>
      <c r="C389" t="s">
        <v>623</v>
      </c>
      <c r="D389" t="s">
        <v>827</v>
      </c>
      <c r="E389" t="s">
        <v>20</v>
      </c>
      <c r="F389" t="s">
        <v>21</v>
      </c>
    </row>
    <row r="390" spans="1:6" x14ac:dyDescent="0.25">
      <c r="A390" t="s">
        <v>952</v>
      </c>
      <c r="B390" t="s">
        <v>81</v>
      </c>
      <c r="C390" t="s">
        <v>125</v>
      </c>
      <c r="D390" t="s">
        <v>953</v>
      </c>
      <c r="E390" t="s">
        <v>44</v>
      </c>
      <c r="F390" t="s">
        <v>21</v>
      </c>
    </row>
    <row r="391" spans="1:6" x14ac:dyDescent="0.25">
      <c r="A391" t="s">
        <v>954</v>
      </c>
      <c r="B391" t="s">
        <v>81</v>
      </c>
      <c r="C391" t="s">
        <v>47</v>
      </c>
      <c r="D391" t="s">
        <v>955</v>
      </c>
      <c r="E391" t="s">
        <v>20</v>
      </c>
      <c r="F391" t="s">
        <v>21</v>
      </c>
    </row>
    <row r="392" spans="1:6" x14ac:dyDescent="0.25">
      <c r="A392" t="s">
        <v>956</v>
      </c>
      <c r="B392" t="s">
        <v>81</v>
      </c>
      <c r="C392" t="s">
        <v>957</v>
      </c>
      <c r="D392" t="s">
        <v>958</v>
      </c>
      <c r="E392" t="s">
        <v>20</v>
      </c>
      <c r="F392" t="s">
        <v>21</v>
      </c>
    </row>
    <row r="393" spans="1:6" x14ac:dyDescent="0.25">
      <c r="A393" t="s">
        <v>959</v>
      </c>
      <c r="B393" t="s">
        <v>81</v>
      </c>
      <c r="C393" t="s">
        <v>960</v>
      </c>
      <c r="D393" t="s">
        <v>961</v>
      </c>
      <c r="E393" t="s">
        <v>10</v>
      </c>
      <c r="F393" t="s">
        <v>11</v>
      </c>
    </row>
    <row r="394" spans="1:6" x14ac:dyDescent="0.25">
      <c r="A394" t="s">
        <v>962</v>
      </c>
      <c r="B394" t="s">
        <v>81</v>
      </c>
      <c r="C394" t="s">
        <v>963</v>
      </c>
      <c r="D394" t="s">
        <v>964</v>
      </c>
      <c r="E394" t="s">
        <v>10</v>
      </c>
      <c r="F394" t="s">
        <v>11</v>
      </c>
    </row>
    <row r="395" spans="1:6" x14ac:dyDescent="0.25">
      <c r="A395" t="s">
        <v>965</v>
      </c>
      <c r="B395" t="s">
        <v>81</v>
      </c>
      <c r="C395" t="s">
        <v>966</v>
      </c>
      <c r="D395" t="s">
        <v>967</v>
      </c>
      <c r="E395" t="s">
        <v>10</v>
      </c>
      <c r="F395" t="s">
        <v>11</v>
      </c>
    </row>
    <row r="396" spans="1:6" x14ac:dyDescent="0.25">
      <c r="A396" t="s">
        <v>968</v>
      </c>
      <c r="B396" t="s">
        <v>81</v>
      </c>
      <c r="C396" t="s">
        <v>780</v>
      </c>
      <c r="D396" t="s">
        <v>969</v>
      </c>
      <c r="E396" t="s">
        <v>170</v>
      </c>
      <c r="F396" t="s">
        <v>50</v>
      </c>
    </row>
    <row r="397" spans="1:6" x14ac:dyDescent="0.25">
      <c r="A397" t="s">
        <v>970</v>
      </c>
      <c r="B397" t="s">
        <v>81</v>
      </c>
      <c r="C397" t="s">
        <v>971</v>
      </c>
      <c r="D397" t="s">
        <v>972</v>
      </c>
      <c r="E397" t="s">
        <v>20</v>
      </c>
      <c r="F397" t="s">
        <v>21</v>
      </c>
    </row>
    <row r="398" spans="1:6" x14ac:dyDescent="0.25">
      <c r="A398" t="s">
        <v>973</v>
      </c>
      <c r="B398" t="s">
        <v>81</v>
      </c>
      <c r="C398" t="s">
        <v>216</v>
      </c>
      <c r="D398" t="s">
        <v>974</v>
      </c>
      <c r="E398" t="s">
        <v>20</v>
      </c>
      <c r="F398" t="s">
        <v>21</v>
      </c>
    </row>
    <row r="399" spans="1:6" x14ac:dyDescent="0.25">
      <c r="A399" t="s">
        <v>975</v>
      </c>
      <c r="B399" t="s">
        <v>81</v>
      </c>
      <c r="C399" t="s">
        <v>976</v>
      </c>
      <c r="D399" t="s">
        <v>448</v>
      </c>
      <c r="E399" t="s">
        <v>230</v>
      </c>
      <c r="F399" t="s">
        <v>50</v>
      </c>
    </row>
    <row r="400" spans="1:6" x14ac:dyDescent="0.25">
      <c r="A400" t="s">
        <v>977</v>
      </c>
      <c r="B400" t="s">
        <v>81</v>
      </c>
      <c r="C400" t="s">
        <v>978</v>
      </c>
      <c r="D400" t="s">
        <v>225</v>
      </c>
      <c r="E400" t="s">
        <v>10</v>
      </c>
      <c r="F400" t="s">
        <v>11</v>
      </c>
    </row>
    <row r="401" spans="1:6" x14ac:dyDescent="0.25">
      <c r="A401" t="s">
        <v>979</v>
      </c>
      <c r="B401" t="s">
        <v>81</v>
      </c>
      <c r="C401" t="s">
        <v>125</v>
      </c>
      <c r="D401" t="s">
        <v>980</v>
      </c>
      <c r="E401" t="s">
        <v>981</v>
      </c>
      <c r="F401" t="s">
        <v>526</v>
      </c>
    </row>
    <row r="402" spans="1:6" x14ac:dyDescent="0.25">
      <c r="A402" t="s">
        <v>982</v>
      </c>
      <c r="B402" t="s">
        <v>81</v>
      </c>
      <c r="C402" t="s">
        <v>983</v>
      </c>
      <c r="D402" t="s">
        <v>984</v>
      </c>
      <c r="E402" t="s">
        <v>44</v>
      </c>
      <c r="F402" t="s">
        <v>21</v>
      </c>
    </row>
    <row r="403" spans="1:6" x14ac:dyDescent="0.25">
      <c r="A403" t="s">
        <v>985</v>
      </c>
      <c r="B403" t="s">
        <v>81</v>
      </c>
      <c r="C403" t="s">
        <v>986</v>
      </c>
      <c r="D403" t="s">
        <v>987</v>
      </c>
      <c r="E403" t="s">
        <v>365</v>
      </c>
      <c r="F403" t="s">
        <v>11</v>
      </c>
    </row>
    <row r="404" spans="1:6" x14ac:dyDescent="0.25">
      <c r="A404" t="s">
        <v>988</v>
      </c>
      <c r="B404" t="s">
        <v>81</v>
      </c>
      <c r="C404" t="s">
        <v>989</v>
      </c>
      <c r="D404" t="s">
        <v>120</v>
      </c>
      <c r="E404" t="s">
        <v>10</v>
      </c>
      <c r="F404" t="s">
        <v>11</v>
      </c>
    </row>
    <row r="405" spans="1:6" x14ac:dyDescent="0.25">
      <c r="A405" t="s">
        <v>990</v>
      </c>
      <c r="B405" t="s">
        <v>81</v>
      </c>
      <c r="C405" t="s">
        <v>991</v>
      </c>
      <c r="D405" t="s">
        <v>992</v>
      </c>
      <c r="E405" t="s">
        <v>10</v>
      </c>
      <c r="F405" t="s">
        <v>11</v>
      </c>
    </row>
    <row r="406" spans="1:6" x14ac:dyDescent="0.25">
      <c r="A406" t="s">
        <v>993</v>
      </c>
      <c r="B406" t="s">
        <v>81</v>
      </c>
      <c r="C406" t="s">
        <v>702</v>
      </c>
      <c r="D406" t="s">
        <v>169</v>
      </c>
      <c r="E406" t="s">
        <v>365</v>
      </c>
      <c r="F406" t="s">
        <v>11</v>
      </c>
    </row>
    <row r="407" spans="1:6" x14ac:dyDescent="0.25">
      <c r="A407" t="s">
        <v>994</v>
      </c>
      <c r="B407" t="s">
        <v>81</v>
      </c>
      <c r="C407" t="s">
        <v>995</v>
      </c>
      <c r="D407" t="s">
        <v>331</v>
      </c>
      <c r="E407" t="s">
        <v>10</v>
      </c>
      <c r="F407" t="s">
        <v>11</v>
      </c>
    </row>
    <row r="408" spans="1:6" x14ac:dyDescent="0.25">
      <c r="A408" t="s">
        <v>996</v>
      </c>
      <c r="B408" t="s">
        <v>81</v>
      </c>
      <c r="C408" t="s">
        <v>997</v>
      </c>
      <c r="D408" t="s">
        <v>998</v>
      </c>
      <c r="E408" t="s">
        <v>20</v>
      </c>
      <c r="F408" t="s">
        <v>21</v>
      </c>
    </row>
    <row r="409" spans="1:6" x14ac:dyDescent="0.25">
      <c r="A409" t="s">
        <v>999</v>
      </c>
      <c r="B409" t="s">
        <v>81</v>
      </c>
      <c r="C409" s="1">
        <v>0</v>
      </c>
      <c r="D409" t="s">
        <v>722</v>
      </c>
      <c r="E409" t="s">
        <v>210</v>
      </c>
      <c r="F409" t="s">
        <v>50</v>
      </c>
    </row>
    <row r="410" spans="1:6" x14ac:dyDescent="0.25">
      <c r="A410" t="s">
        <v>1000</v>
      </c>
      <c r="B410" t="s">
        <v>81</v>
      </c>
      <c r="C410" t="s">
        <v>1001</v>
      </c>
      <c r="D410" t="s">
        <v>476</v>
      </c>
      <c r="E410" t="s">
        <v>10</v>
      </c>
      <c r="F410" t="s">
        <v>11</v>
      </c>
    </row>
    <row r="411" spans="1:6" x14ac:dyDescent="0.25">
      <c r="A411" t="s">
        <v>1002</v>
      </c>
      <c r="B411" t="s">
        <v>81</v>
      </c>
      <c r="C411" t="s">
        <v>1003</v>
      </c>
      <c r="D411" t="s">
        <v>1004</v>
      </c>
      <c r="E411" t="s">
        <v>10</v>
      </c>
      <c r="F411" t="s">
        <v>11</v>
      </c>
    </row>
    <row r="412" spans="1:6" x14ac:dyDescent="0.25">
      <c r="A412" t="s">
        <v>1005</v>
      </c>
      <c r="B412" t="s">
        <v>81</v>
      </c>
      <c r="C412" t="s">
        <v>1006</v>
      </c>
      <c r="D412" t="s">
        <v>1007</v>
      </c>
      <c r="E412" t="s">
        <v>1008</v>
      </c>
      <c r="F412" t="s">
        <v>11</v>
      </c>
    </row>
    <row r="413" spans="1:6" x14ac:dyDescent="0.25">
      <c r="A413" t="s">
        <v>1009</v>
      </c>
      <c r="B413" t="s">
        <v>81</v>
      </c>
      <c r="C413" t="s">
        <v>602</v>
      </c>
      <c r="D413" t="s">
        <v>1010</v>
      </c>
      <c r="E413" t="s">
        <v>10</v>
      </c>
      <c r="F413" t="s">
        <v>11</v>
      </c>
    </row>
    <row r="414" spans="1:6" x14ac:dyDescent="0.25">
      <c r="A414" t="s">
        <v>1011</v>
      </c>
      <c r="B414" t="s">
        <v>81</v>
      </c>
      <c r="C414" t="s">
        <v>241</v>
      </c>
      <c r="D414" t="s">
        <v>1012</v>
      </c>
      <c r="E414" t="s">
        <v>554</v>
      </c>
      <c r="F414" t="s">
        <v>526</v>
      </c>
    </row>
    <row r="415" spans="1:6" x14ac:dyDescent="0.25">
      <c r="A415" t="s">
        <v>1013</v>
      </c>
      <c r="B415" t="s">
        <v>81</v>
      </c>
      <c r="C415" t="s">
        <v>1014</v>
      </c>
      <c r="D415" t="s">
        <v>1015</v>
      </c>
      <c r="E415" t="s">
        <v>44</v>
      </c>
      <c r="F415" t="s">
        <v>21</v>
      </c>
    </row>
    <row r="416" spans="1:6" x14ac:dyDescent="0.25">
      <c r="A416" t="s">
        <v>1016</v>
      </c>
      <c r="B416" t="s">
        <v>81</v>
      </c>
      <c r="C416" t="s">
        <v>1017</v>
      </c>
      <c r="D416" t="s">
        <v>1018</v>
      </c>
      <c r="E416" t="s">
        <v>294</v>
      </c>
      <c r="F416" t="s">
        <v>21</v>
      </c>
    </row>
    <row r="417" spans="1:6" x14ac:dyDescent="0.25">
      <c r="A417" t="s">
        <v>1019</v>
      </c>
      <c r="B417" t="s">
        <v>81</v>
      </c>
      <c r="C417" t="s">
        <v>125</v>
      </c>
      <c r="D417" t="s">
        <v>1020</v>
      </c>
      <c r="E417" t="s">
        <v>10</v>
      </c>
      <c r="F417" t="s">
        <v>11</v>
      </c>
    </row>
    <row r="418" spans="1:6" x14ac:dyDescent="0.25">
      <c r="A418" t="s">
        <v>1021</v>
      </c>
      <c r="B418" t="s">
        <v>81</v>
      </c>
      <c r="C418" t="s">
        <v>1022</v>
      </c>
      <c r="D418" t="s">
        <v>1023</v>
      </c>
      <c r="E418" t="s">
        <v>10</v>
      </c>
      <c r="F418" t="s">
        <v>11</v>
      </c>
    </row>
    <row r="419" spans="1:6" x14ac:dyDescent="0.25">
      <c r="A419" t="s">
        <v>1024</v>
      </c>
      <c r="B419" t="s">
        <v>81</v>
      </c>
      <c r="C419" t="s">
        <v>60</v>
      </c>
      <c r="D419" t="s">
        <v>1025</v>
      </c>
      <c r="E419" t="s">
        <v>10</v>
      </c>
      <c r="F419" t="s">
        <v>11</v>
      </c>
    </row>
    <row r="420" spans="1:6" x14ac:dyDescent="0.25">
      <c r="A420" t="s">
        <v>1026</v>
      </c>
      <c r="B420" t="s">
        <v>81</v>
      </c>
      <c r="C420" t="s">
        <v>1027</v>
      </c>
      <c r="D420" t="s">
        <v>254</v>
      </c>
      <c r="E420" t="s">
        <v>10</v>
      </c>
      <c r="F420" t="s">
        <v>11</v>
      </c>
    </row>
    <row r="421" spans="1:6" x14ac:dyDescent="0.25">
      <c r="A421" t="s">
        <v>1028</v>
      </c>
      <c r="B421" t="s">
        <v>81</v>
      </c>
      <c r="C421" t="s">
        <v>1029</v>
      </c>
      <c r="D421" t="s">
        <v>1030</v>
      </c>
      <c r="E421" t="s">
        <v>10</v>
      </c>
      <c r="F421" t="s">
        <v>11</v>
      </c>
    </row>
    <row r="422" spans="1:6" x14ac:dyDescent="0.25">
      <c r="A422" t="s">
        <v>1031</v>
      </c>
      <c r="B422" t="s">
        <v>81</v>
      </c>
      <c r="C422" t="s">
        <v>882</v>
      </c>
      <c r="D422" t="s">
        <v>1032</v>
      </c>
      <c r="E422" t="s">
        <v>20</v>
      </c>
      <c r="F422" t="s">
        <v>21</v>
      </c>
    </row>
    <row r="423" spans="1:6" x14ac:dyDescent="0.25">
      <c r="A423" t="s">
        <v>1033</v>
      </c>
      <c r="B423" t="s">
        <v>81</v>
      </c>
      <c r="C423" t="s">
        <v>53</v>
      </c>
      <c r="D423" t="s">
        <v>1034</v>
      </c>
      <c r="E423" t="s">
        <v>1035</v>
      </c>
      <c r="F423" t="s">
        <v>21</v>
      </c>
    </row>
    <row r="424" spans="1:6" x14ac:dyDescent="0.25">
      <c r="A424" t="s">
        <v>1036</v>
      </c>
      <c r="B424" t="s">
        <v>81</v>
      </c>
      <c r="C424" s="1">
        <v>0</v>
      </c>
      <c r="E424" t="s">
        <v>20</v>
      </c>
      <c r="F424" t="s">
        <v>21</v>
      </c>
    </row>
    <row r="425" spans="1:6" x14ac:dyDescent="0.25">
      <c r="A425" t="s">
        <v>1037</v>
      </c>
      <c r="B425" t="s">
        <v>81</v>
      </c>
      <c r="C425" t="s">
        <v>1038</v>
      </c>
      <c r="D425" t="s">
        <v>1039</v>
      </c>
      <c r="E425" t="s">
        <v>10</v>
      </c>
      <c r="F425" t="s">
        <v>11</v>
      </c>
    </row>
    <row r="426" spans="1:6" x14ac:dyDescent="0.25">
      <c r="A426" t="s">
        <v>1040</v>
      </c>
      <c r="B426" t="s">
        <v>81</v>
      </c>
      <c r="C426" t="s">
        <v>1041</v>
      </c>
      <c r="D426" t="s">
        <v>1042</v>
      </c>
      <c r="E426" t="s">
        <v>10</v>
      </c>
      <c r="F426" t="s">
        <v>11</v>
      </c>
    </row>
    <row r="427" spans="1:6" x14ac:dyDescent="0.25">
      <c r="A427" t="s">
        <v>1043</v>
      </c>
      <c r="B427" t="s">
        <v>81</v>
      </c>
      <c r="C427" t="s">
        <v>521</v>
      </c>
      <c r="D427" t="s">
        <v>469</v>
      </c>
      <c r="E427" t="s">
        <v>170</v>
      </c>
      <c r="F427" t="s">
        <v>50</v>
      </c>
    </row>
    <row r="428" spans="1:6" x14ac:dyDescent="0.25">
      <c r="A428" t="s">
        <v>1044</v>
      </c>
      <c r="B428" t="s">
        <v>81</v>
      </c>
      <c r="C428" t="s">
        <v>1045</v>
      </c>
      <c r="D428" t="s">
        <v>1046</v>
      </c>
      <c r="E428" t="s">
        <v>10</v>
      </c>
      <c r="F428" t="s">
        <v>11</v>
      </c>
    </row>
    <row r="429" spans="1:6" x14ac:dyDescent="0.25">
      <c r="A429" t="s">
        <v>1047</v>
      </c>
      <c r="B429" t="s">
        <v>81</v>
      </c>
      <c r="C429" t="s">
        <v>345</v>
      </c>
      <c r="D429" t="s">
        <v>1048</v>
      </c>
      <c r="E429" t="s">
        <v>10</v>
      </c>
      <c r="F429" t="s">
        <v>11</v>
      </c>
    </row>
    <row r="430" spans="1:6" x14ac:dyDescent="0.25">
      <c r="A430" t="s">
        <v>1049</v>
      </c>
      <c r="B430" t="s">
        <v>81</v>
      </c>
      <c r="C430" t="s">
        <v>1050</v>
      </c>
      <c r="D430" t="s">
        <v>1051</v>
      </c>
      <c r="E430" t="s">
        <v>10</v>
      </c>
      <c r="F430" t="s">
        <v>11</v>
      </c>
    </row>
    <row r="431" spans="1:6" x14ac:dyDescent="0.25">
      <c r="A431" t="s">
        <v>1052</v>
      </c>
      <c r="B431" t="s">
        <v>81</v>
      </c>
      <c r="C431" t="s">
        <v>645</v>
      </c>
      <c r="D431" t="s">
        <v>1053</v>
      </c>
      <c r="E431" t="s">
        <v>522</v>
      </c>
      <c r="F431" t="s">
        <v>50</v>
      </c>
    </row>
    <row r="432" spans="1:6" x14ac:dyDescent="0.25">
      <c r="A432" t="s">
        <v>1054</v>
      </c>
      <c r="B432" t="s">
        <v>81</v>
      </c>
      <c r="C432" t="s">
        <v>1055</v>
      </c>
      <c r="D432" t="s">
        <v>1056</v>
      </c>
      <c r="E432" t="s">
        <v>10</v>
      </c>
      <c r="F432" t="s">
        <v>11</v>
      </c>
    </row>
    <row r="433" spans="1:6" x14ac:dyDescent="0.25">
      <c r="A433" t="s">
        <v>1057</v>
      </c>
      <c r="B433" t="s">
        <v>81</v>
      </c>
      <c r="C433" t="s">
        <v>1058</v>
      </c>
      <c r="D433" t="s">
        <v>1059</v>
      </c>
      <c r="E433" t="s">
        <v>365</v>
      </c>
      <c r="F433" t="s">
        <v>11</v>
      </c>
    </row>
    <row r="434" spans="1:6" x14ac:dyDescent="0.25">
      <c r="A434" t="s">
        <v>1060</v>
      </c>
      <c r="B434" t="s">
        <v>81</v>
      </c>
      <c r="C434" t="s">
        <v>1061</v>
      </c>
      <c r="D434" t="s">
        <v>1062</v>
      </c>
      <c r="E434" t="s">
        <v>10</v>
      </c>
      <c r="F434" t="s">
        <v>11</v>
      </c>
    </row>
    <row r="435" spans="1:6" x14ac:dyDescent="0.25">
      <c r="A435" t="s">
        <v>1063</v>
      </c>
      <c r="B435" t="s">
        <v>81</v>
      </c>
      <c r="C435" t="s">
        <v>1050</v>
      </c>
      <c r="D435" t="s">
        <v>1064</v>
      </c>
      <c r="E435" t="s">
        <v>10</v>
      </c>
      <c r="F435" t="s">
        <v>11</v>
      </c>
    </row>
    <row r="436" spans="1:6" x14ac:dyDescent="0.25">
      <c r="A436" t="s">
        <v>1065</v>
      </c>
      <c r="B436" t="s">
        <v>81</v>
      </c>
      <c r="C436" t="s">
        <v>241</v>
      </c>
      <c r="D436" t="s">
        <v>1066</v>
      </c>
      <c r="E436" t="s">
        <v>273</v>
      </c>
      <c r="F436" t="s">
        <v>21</v>
      </c>
    </row>
    <row r="437" spans="1:6" x14ac:dyDescent="0.25">
      <c r="A437" t="s">
        <v>1067</v>
      </c>
      <c r="B437" t="s">
        <v>81</v>
      </c>
      <c r="C437" t="s">
        <v>345</v>
      </c>
      <c r="D437" t="s">
        <v>1068</v>
      </c>
      <c r="E437" t="s">
        <v>10</v>
      </c>
      <c r="F437" t="s">
        <v>11</v>
      </c>
    </row>
    <row r="438" spans="1:6" x14ac:dyDescent="0.25">
      <c r="A438" t="s">
        <v>1069</v>
      </c>
      <c r="B438" t="s">
        <v>81</v>
      </c>
      <c r="C438" s="1">
        <v>0</v>
      </c>
      <c r="D438" t="s">
        <v>1004</v>
      </c>
      <c r="E438" t="s">
        <v>10</v>
      </c>
      <c r="F438" t="s">
        <v>11</v>
      </c>
    </row>
    <row r="439" spans="1:6" x14ac:dyDescent="0.25">
      <c r="A439" t="s">
        <v>1070</v>
      </c>
      <c r="B439" t="s">
        <v>81</v>
      </c>
      <c r="C439" t="s">
        <v>1071</v>
      </c>
      <c r="D439" t="s">
        <v>1072</v>
      </c>
      <c r="E439" t="s">
        <v>10</v>
      </c>
      <c r="F439" t="s">
        <v>11</v>
      </c>
    </row>
    <row r="440" spans="1:6" x14ac:dyDescent="0.25">
      <c r="A440" t="s">
        <v>1073</v>
      </c>
      <c r="B440" t="s">
        <v>81</v>
      </c>
      <c r="C440" t="s">
        <v>125</v>
      </c>
      <c r="D440" t="s">
        <v>1074</v>
      </c>
      <c r="E440" t="s">
        <v>445</v>
      </c>
      <c r="F440" t="s">
        <v>50</v>
      </c>
    </row>
    <row r="441" spans="1:6" x14ac:dyDescent="0.25">
      <c r="A441" t="s">
        <v>1075</v>
      </c>
      <c r="B441" t="s">
        <v>81</v>
      </c>
      <c r="C441" t="s">
        <v>1076</v>
      </c>
      <c r="D441" t="s">
        <v>1077</v>
      </c>
      <c r="E441" t="s">
        <v>10</v>
      </c>
      <c r="F441" t="s">
        <v>11</v>
      </c>
    </row>
    <row r="442" spans="1:6" x14ac:dyDescent="0.25">
      <c r="A442" t="s">
        <v>1078</v>
      </c>
      <c r="B442" t="s">
        <v>81</v>
      </c>
      <c r="C442" t="s">
        <v>1079</v>
      </c>
      <c r="D442" t="s">
        <v>1080</v>
      </c>
      <c r="E442" t="s">
        <v>10</v>
      </c>
      <c r="F442" t="s">
        <v>11</v>
      </c>
    </row>
    <row r="443" spans="1:6" x14ac:dyDescent="0.25">
      <c r="A443" t="s">
        <v>1081</v>
      </c>
      <c r="B443" t="s">
        <v>81</v>
      </c>
      <c r="C443" t="s">
        <v>885</v>
      </c>
      <c r="D443" t="s">
        <v>66</v>
      </c>
      <c r="E443" t="s">
        <v>170</v>
      </c>
      <c r="F443" t="s">
        <v>50</v>
      </c>
    </row>
    <row r="444" spans="1:6" x14ac:dyDescent="0.25">
      <c r="A444" t="s">
        <v>1082</v>
      </c>
      <c r="B444" t="s">
        <v>81</v>
      </c>
      <c r="C444" t="s">
        <v>1058</v>
      </c>
      <c r="D444" t="s">
        <v>1083</v>
      </c>
      <c r="E444" t="s">
        <v>10</v>
      </c>
      <c r="F444" t="s">
        <v>11</v>
      </c>
    </row>
    <row r="445" spans="1:6" x14ac:dyDescent="0.25">
      <c r="A445" t="s">
        <v>1084</v>
      </c>
      <c r="B445" t="s">
        <v>81</v>
      </c>
      <c r="C445" t="s">
        <v>1085</v>
      </c>
      <c r="D445" t="s">
        <v>820</v>
      </c>
      <c r="E445" t="s">
        <v>10</v>
      </c>
      <c r="F445" t="s">
        <v>11</v>
      </c>
    </row>
    <row r="446" spans="1:6" x14ac:dyDescent="0.25">
      <c r="A446" t="s">
        <v>1086</v>
      </c>
      <c r="B446" t="s">
        <v>81</v>
      </c>
      <c r="C446" t="s">
        <v>628</v>
      </c>
      <c r="D446" t="s">
        <v>137</v>
      </c>
      <c r="E446" t="s">
        <v>10</v>
      </c>
      <c r="F446" t="s">
        <v>11</v>
      </c>
    </row>
    <row r="447" spans="1:6" x14ac:dyDescent="0.25">
      <c r="A447" t="s">
        <v>1087</v>
      </c>
      <c r="B447" t="s">
        <v>81</v>
      </c>
      <c r="C447" t="s">
        <v>1088</v>
      </c>
      <c r="D447" t="s">
        <v>1089</v>
      </c>
      <c r="E447" t="s">
        <v>554</v>
      </c>
      <c r="F447" t="s">
        <v>526</v>
      </c>
    </row>
    <row r="448" spans="1:6" x14ac:dyDescent="0.25">
      <c r="A448" t="s">
        <v>1090</v>
      </c>
      <c r="B448" t="s">
        <v>81</v>
      </c>
      <c r="C448" t="s">
        <v>125</v>
      </c>
      <c r="D448" t="s">
        <v>1091</v>
      </c>
      <c r="E448" t="s">
        <v>170</v>
      </c>
      <c r="F448" t="s">
        <v>50</v>
      </c>
    </row>
    <row r="449" spans="1:6" x14ac:dyDescent="0.25">
      <c r="A449" t="s">
        <v>1092</v>
      </c>
      <c r="B449" t="s">
        <v>81</v>
      </c>
      <c r="C449" t="s">
        <v>1093</v>
      </c>
      <c r="D449" t="s">
        <v>1094</v>
      </c>
      <c r="E449" t="s">
        <v>44</v>
      </c>
      <c r="F449" t="s">
        <v>21</v>
      </c>
    </row>
    <row r="450" spans="1:6" x14ac:dyDescent="0.25">
      <c r="A450" t="s">
        <v>1095</v>
      </c>
      <c r="B450" t="s">
        <v>81</v>
      </c>
      <c r="C450" t="s">
        <v>623</v>
      </c>
      <c r="D450" t="s">
        <v>955</v>
      </c>
      <c r="E450" t="s">
        <v>10</v>
      </c>
      <c r="F450" t="s">
        <v>11</v>
      </c>
    </row>
    <row r="451" spans="1:6" x14ac:dyDescent="0.25">
      <c r="A451" t="s">
        <v>1096</v>
      </c>
      <c r="B451" t="s">
        <v>81</v>
      </c>
      <c r="C451" t="s">
        <v>47</v>
      </c>
      <c r="D451" t="s">
        <v>454</v>
      </c>
      <c r="E451" t="s">
        <v>20</v>
      </c>
      <c r="F451" t="s">
        <v>21</v>
      </c>
    </row>
    <row r="452" spans="1:6" x14ac:dyDescent="0.25">
      <c r="A452" t="s">
        <v>1097</v>
      </c>
      <c r="B452" t="s">
        <v>81</v>
      </c>
      <c r="C452" t="s">
        <v>1098</v>
      </c>
      <c r="D452" t="s">
        <v>1099</v>
      </c>
      <c r="E452" t="s">
        <v>49</v>
      </c>
      <c r="F452" t="s">
        <v>50</v>
      </c>
    </row>
    <row r="453" spans="1:6" x14ac:dyDescent="0.25">
      <c r="A453" t="s">
        <v>1100</v>
      </c>
      <c r="B453" t="s">
        <v>81</v>
      </c>
      <c r="C453" t="s">
        <v>1101</v>
      </c>
      <c r="D453" t="s">
        <v>1102</v>
      </c>
      <c r="E453" t="s">
        <v>10</v>
      </c>
      <c r="F453" t="s">
        <v>11</v>
      </c>
    </row>
    <row r="454" spans="1:6" x14ac:dyDescent="0.25">
      <c r="A454" t="s">
        <v>1103</v>
      </c>
      <c r="B454" t="s">
        <v>81</v>
      </c>
      <c r="C454" t="s">
        <v>1104</v>
      </c>
      <c r="D454" t="s">
        <v>66</v>
      </c>
      <c r="E454" t="s">
        <v>10</v>
      </c>
      <c r="F454" t="s">
        <v>11</v>
      </c>
    </row>
    <row r="455" spans="1:6" x14ac:dyDescent="0.25">
      <c r="A455" t="s">
        <v>1105</v>
      </c>
      <c r="B455" t="s">
        <v>81</v>
      </c>
      <c r="C455" t="s">
        <v>47</v>
      </c>
      <c r="D455" t="s">
        <v>1106</v>
      </c>
      <c r="E455" t="s">
        <v>20</v>
      </c>
      <c r="F455" t="s">
        <v>21</v>
      </c>
    </row>
    <row r="456" spans="1:6" x14ac:dyDescent="0.25">
      <c r="A456" t="s">
        <v>1107</v>
      </c>
      <c r="B456" t="s">
        <v>81</v>
      </c>
      <c r="C456" t="s">
        <v>1108</v>
      </c>
      <c r="D456" t="s">
        <v>1109</v>
      </c>
      <c r="E456" t="s">
        <v>20</v>
      </c>
      <c r="F456" t="s">
        <v>21</v>
      </c>
    </row>
    <row r="457" spans="1:6" x14ac:dyDescent="0.25">
      <c r="A457" t="s">
        <v>1110</v>
      </c>
      <c r="B457" t="s">
        <v>81</v>
      </c>
      <c r="C457" t="s">
        <v>1111</v>
      </c>
      <c r="D457" t="s">
        <v>66</v>
      </c>
      <c r="E457" t="s">
        <v>10</v>
      </c>
      <c r="F457" t="s">
        <v>11</v>
      </c>
    </row>
    <row r="458" spans="1:6" x14ac:dyDescent="0.25">
      <c r="A458" t="s">
        <v>1112</v>
      </c>
      <c r="B458" t="s">
        <v>81</v>
      </c>
      <c r="C458" t="s">
        <v>1071</v>
      </c>
      <c r="D458" t="s">
        <v>1113</v>
      </c>
      <c r="E458" t="s">
        <v>20</v>
      </c>
      <c r="F458" t="s">
        <v>21</v>
      </c>
    </row>
    <row r="459" spans="1:6" x14ac:dyDescent="0.25">
      <c r="A459" t="s">
        <v>1114</v>
      </c>
      <c r="B459" t="s">
        <v>81</v>
      </c>
      <c r="C459" t="s">
        <v>1115</v>
      </c>
      <c r="D459" t="s">
        <v>1116</v>
      </c>
      <c r="E459" t="s">
        <v>10</v>
      </c>
      <c r="F459" t="s">
        <v>11</v>
      </c>
    </row>
    <row r="460" spans="1:6" x14ac:dyDescent="0.25">
      <c r="A460" t="s">
        <v>1117</v>
      </c>
      <c r="B460" t="s">
        <v>81</v>
      </c>
      <c r="C460" t="s">
        <v>1076</v>
      </c>
      <c r="D460" t="s">
        <v>1118</v>
      </c>
      <c r="E460" t="s">
        <v>10</v>
      </c>
      <c r="F460" t="s">
        <v>11</v>
      </c>
    </row>
    <row r="461" spans="1:6" x14ac:dyDescent="0.25">
      <c r="A461" t="s">
        <v>1119</v>
      </c>
      <c r="B461" t="s">
        <v>81</v>
      </c>
      <c r="C461" t="s">
        <v>125</v>
      </c>
      <c r="D461" t="s">
        <v>1120</v>
      </c>
      <c r="E461" t="s">
        <v>49</v>
      </c>
      <c r="F461" t="s">
        <v>50</v>
      </c>
    </row>
    <row r="462" spans="1:6" x14ac:dyDescent="0.25">
      <c r="A462" t="s">
        <v>1121</v>
      </c>
      <c r="B462" t="s">
        <v>81</v>
      </c>
      <c r="C462" t="s">
        <v>1122</v>
      </c>
      <c r="D462" t="s">
        <v>1123</v>
      </c>
      <c r="E462" t="s">
        <v>10</v>
      </c>
      <c r="F462" t="s">
        <v>11</v>
      </c>
    </row>
    <row r="463" spans="1:6" x14ac:dyDescent="0.25">
      <c r="A463" t="s">
        <v>1124</v>
      </c>
      <c r="B463" t="s">
        <v>81</v>
      </c>
      <c r="C463" t="s">
        <v>541</v>
      </c>
      <c r="D463" t="s">
        <v>1125</v>
      </c>
      <c r="E463" t="s">
        <v>10</v>
      </c>
      <c r="F463" t="s">
        <v>11</v>
      </c>
    </row>
    <row r="464" spans="1:6" x14ac:dyDescent="0.25">
      <c r="A464" t="s">
        <v>1126</v>
      </c>
      <c r="B464" t="s">
        <v>81</v>
      </c>
      <c r="C464" t="s">
        <v>1127</v>
      </c>
      <c r="D464" t="s">
        <v>722</v>
      </c>
      <c r="E464" t="s">
        <v>10</v>
      </c>
      <c r="F464" t="s">
        <v>11</v>
      </c>
    </row>
    <row r="465" spans="1:6" x14ac:dyDescent="0.25">
      <c r="A465" t="s">
        <v>1128</v>
      </c>
      <c r="B465" t="s">
        <v>81</v>
      </c>
      <c r="C465" t="s">
        <v>1129</v>
      </c>
    </row>
    <row r="466" spans="1:6" x14ac:dyDescent="0.25">
      <c r="A466" t="s">
        <v>1130</v>
      </c>
      <c r="B466" t="s">
        <v>81</v>
      </c>
      <c r="C466" t="s">
        <v>856</v>
      </c>
      <c r="D466" t="s">
        <v>1131</v>
      </c>
      <c r="E466" t="s">
        <v>20</v>
      </c>
      <c r="F466" t="s">
        <v>21</v>
      </c>
    </row>
    <row r="467" spans="1:6" x14ac:dyDescent="0.25">
      <c r="A467" t="s">
        <v>1132</v>
      </c>
      <c r="B467" t="s">
        <v>81</v>
      </c>
      <c r="C467" t="s">
        <v>125</v>
      </c>
      <c r="D467" t="s">
        <v>1133</v>
      </c>
      <c r="E467" t="s">
        <v>20</v>
      </c>
      <c r="F467" t="s">
        <v>21</v>
      </c>
    </row>
    <row r="468" spans="1:6" x14ac:dyDescent="0.25">
      <c r="A468" t="s">
        <v>1134</v>
      </c>
      <c r="B468" t="s">
        <v>81</v>
      </c>
      <c r="C468" t="s">
        <v>971</v>
      </c>
      <c r="D468" t="s">
        <v>1135</v>
      </c>
      <c r="E468" t="s">
        <v>20</v>
      </c>
      <c r="F468" t="s">
        <v>21</v>
      </c>
    </row>
    <row r="469" spans="1:6" x14ac:dyDescent="0.25">
      <c r="A469" t="s">
        <v>1136</v>
      </c>
      <c r="B469" t="s">
        <v>81</v>
      </c>
      <c r="C469" t="s">
        <v>125</v>
      </c>
      <c r="D469" t="s">
        <v>1137</v>
      </c>
      <c r="E469" t="s">
        <v>10</v>
      </c>
      <c r="F469" t="s">
        <v>11</v>
      </c>
    </row>
    <row r="470" spans="1:6" x14ac:dyDescent="0.25">
      <c r="A470" t="s">
        <v>1138</v>
      </c>
      <c r="B470" t="s">
        <v>81</v>
      </c>
      <c r="C470" t="s">
        <v>1139</v>
      </c>
      <c r="E470" t="s">
        <v>20</v>
      </c>
      <c r="F470" t="s">
        <v>21</v>
      </c>
    </row>
    <row r="471" spans="1:6" x14ac:dyDescent="0.25">
      <c r="A471" t="s">
        <v>1140</v>
      </c>
      <c r="B471" t="s">
        <v>81</v>
      </c>
      <c r="C471" t="s">
        <v>234</v>
      </c>
      <c r="D471" t="s">
        <v>1141</v>
      </c>
      <c r="E471" t="s">
        <v>20</v>
      </c>
      <c r="F471" t="s">
        <v>21</v>
      </c>
    </row>
    <row r="472" spans="1:6" x14ac:dyDescent="0.25">
      <c r="A472" t="s">
        <v>1142</v>
      </c>
      <c r="B472" t="s">
        <v>81</v>
      </c>
      <c r="C472" t="s">
        <v>155</v>
      </c>
      <c r="D472" t="s">
        <v>1143</v>
      </c>
      <c r="E472" t="s">
        <v>20</v>
      </c>
      <c r="F472" t="s">
        <v>21</v>
      </c>
    </row>
    <row r="473" spans="1:6" x14ac:dyDescent="0.25">
      <c r="A473" t="s">
        <v>1144</v>
      </c>
      <c r="B473" t="s">
        <v>81</v>
      </c>
      <c r="C473" t="s">
        <v>1145</v>
      </c>
      <c r="D473" t="s">
        <v>1146</v>
      </c>
      <c r="E473" t="s">
        <v>10</v>
      </c>
      <c r="F473" t="s">
        <v>11</v>
      </c>
    </row>
    <row r="474" spans="1:6" x14ac:dyDescent="0.25">
      <c r="A474" t="s">
        <v>1147</v>
      </c>
      <c r="B474" t="s">
        <v>81</v>
      </c>
      <c r="C474" t="s">
        <v>1148</v>
      </c>
      <c r="D474" t="s">
        <v>1146</v>
      </c>
      <c r="E474" t="s">
        <v>554</v>
      </c>
      <c r="F474" t="s">
        <v>526</v>
      </c>
    </row>
    <row r="475" spans="1:6" x14ac:dyDescent="0.25">
      <c r="A475" t="s">
        <v>1149</v>
      </c>
      <c r="B475" t="s">
        <v>81</v>
      </c>
      <c r="C475" t="s">
        <v>1150</v>
      </c>
      <c r="D475" t="s">
        <v>1151</v>
      </c>
      <c r="E475" t="s">
        <v>10</v>
      </c>
      <c r="F475" t="s">
        <v>11</v>
      </c>
    </row>
    <row r="476" spans="1:6" x14ac:dyDescent="0.25">
      <c r="A476" t="s">
        <v>1152</v>
      </c>
      <c r="B476" t="s">
        <v>81</v>
      </c>
      <c r="C476" t="s">
        <v>393</v>
      </c>
      <c r="D476" t="s">
        <v>66</v>
      </c>
      <c r="E476" t="s">
        <v>44</v>
      </c>
      <c r="F476" t="s">
        <v>21</v>
      </c>
    </row>
    <row r="477" spans="1:6" x14ac:dyDescent="0.25">
      <c r="A477" t="s">
        <v>1153</v>
      </c>
      <c r="B477" t="s">
        <v>81</v>
      </c>
      <c r="C477" t="s">
        <v>1154</v>
      </c>
      <c r="D477" t="s">
        <v>1155</v>
      </c>
      <c r="E477" t="s">
        <v>10</v>
      </c>
      <c r="F477" t="s">
        <v>11</v>
      </c>
    </row>
    <row r="478" spans="1:6" x14ac:dyDescent="0.25">
      <c r="A478" t="s">
        <v>1156</v>
      </c>
      <c r="B478" t="s">
        <v>81</v>
      </c>
      <c r="C478" t="s">
        <v>1157</v>
      </c>
      <c r="E478" t="s">
        <v>20</v>
      </c>
      <c r="F478" t="s">
        <v>21</v>
      </c>
    </row>
    <row r="479" spans="1:6" x14ac:dyDescent="0.25">
      <c r="A479" t="s">
        <v>1158</v>
      </c>
      <c r="B479" t="s">
        <v>81</v>
      </c>
      <c r="C479" t="s">
        <v>1159</v>
      </c>
      <c r="D479" t="s">
        <v>1068</v>
      </c>
      <c r="E479" t="s">
        <v>10</v>
      </c>
      <c r="F479" t="s">
        <v>11</v>
      </c>
    </row>
    <row r="480" spans="1:6" x14ac:dyDescent="0.25">
      <c r="A480" t="s">
        <v>1160</v>
      </c>
      <c r="B480" t="s">
        <v>81</v>
      </c>
      <c r="C480" t="s">
        <v>125</v>
      </c>
      <c r="D480" t="s">
        <v>254</v>
      </c>
      <c r="E480" t="s">
        <v>49</v>
      </c>
      <c r="F480" t="s">
        <v>50</v>
      </c>
    </row>
    <row r="481" spans="1:6" x14ac:dyDescent="0.25">
      <c r="A481" t="s">
        <v>1161</v>
      </c>
      <c r="B481" t="s">
        <v>81</v>
      </c>
      <c r="C481" t="s">
        <v>806</v>
      </c>
      <c r="D481" t="s">
        <v>1162</v>
      </c>
      <c r="E481" t="s">
        <v>10</v>
      </c>
      <c r="F481" t="s">
        <v>11</v>
      </c>
    </row>
    <row r="482" spans="1:6" x14ac:dyDescent="0.25">
      <c r="A482" t="s">
        <v>1163</v>
      </c>
      <c r="B482" t="s">
        <v>81</v>
      </c>
      <c r="C482" t="s">
        <v>715</v>
      </c>
      <c r="D482" t="s">
        <v>469</v>
      </c>
      <c r="E482" t="s">
        <v>230</v>
      </c>
      <c r="F482" t="s">
        <v>50</v>
      </c>
    </row>
    <row r="483" spans="1:6" x14ac:dyDescent="0.25">
      <c r="A483" t="s">
        <v>1164</v>
      </c>
      <c r="B483" t="s">
        <v>81</v>
      </c>
      <c r="C483" t="s">
        <v>1165</v>
      </c>
      <c r="D483" t="s">
        <v>1166</v>
      </c>
      <c r="E483" t="s">
        <v>44</v>
      </c>
      <c r="F483" t="s">
        <v>21</v>
      </c>
    </row>
    <row r="484" spans="1:6" x14ac:dyDescent="0.25">
      <c r="A484" t="s">
        <v>1167</v>
      </c>
      <c r="B484" t="s">
        <v>81</v>
      </c>
      <c r="C484" t="s">
        <v>1168</v>
      </c>
      <c r="D484" t="s">
        <v>722</v>
      </c>
      <c r="E484" t="s">
        <v>294</v>
      </c>
      <c r="F484" t="s">
        <v>21</v>
      </c>
    </row>
    <row r="485" spans="1:6" x14ac:dyDescent="0.25">
      <c r="A485" t="s">
        <v>1169</v>
      </c>
      <c r="B485" t="s">
        <v>81</v>
      </c>
      <c r="C485" s="1">
        <v>0</v>
      </c>
      <c r="E485" t="s">
        <v>384</v>
      </c>
      <c r="F485" t="s">
        <v>21</v>
      </c>
    </row>
    <row r="486" spans="1:6" x14ac:dyDescent="0.25">
      <c r="A486" t="s">
        <v>1170</v>
      </c>
      <c r="B486" t="s">
        <v>81</v>
      </c>
      <c r="C486" t="s">
        <v>125</v>
      </c>
      <c r="D486" t="s">
        <v>1171</v>
      </c>
      <c r="E486" t="s">
        <v>1172</v>
      </c>
      <c r="F486" t="s">
        <v>21</v>
      </c>
    </row>
    <row r="487" spans="1:6" x14ac:dyDescent="0.25">
      <c r="A487" t="s">
        <v>1173</v>
      </c>
      <c r="B487" t="s">
        <v>81</v>
      </c>
      <c r="C487" t="s">
        <v>1174</v>
      </c>
      <c r="D487" t="s">
        <v>1175</v>
      </c>
      <c r="E487" t="s">
        <v>10</v>
      </c>
      <c r="F487" t="s">
        <v>11</v>
      </c>
    </row>
    <row r="488" spans="1:6" x14ac:dyDescent="0.25">
      <c r="A488" t="s">
        <v>1176</v>
      </c>
      <c r="B488" t="s">
        <v>81</v>
      </c>
      <c r="C488" t="s">
        <v>1177</v>
      </c>
      <c r="D488" t="s">
        <v>97</v>
      </c>
      <c r="E488" t="s">
        <v>10</v>
      </c>
      <c r="F488" t="s">
        <v>11</v>
      </c>
    </row>
    <row r="489" spans="1:6" x14ac:dyDescent="0.25">
      <c r="A489" t="s">
        <v>1178</v>
      </c>
      <c r="B489" t="s">
        <v>81</v>
      </c>
      <c r="C489" t="s">
        <v>47</v>
      </c>
      <c r="D489" t="s">
        <v>1179</v>
      </c>
      <c r="E489" t="s">
        <v>20</v>
      </c>
      <c r="F489" t="s">
        <v>21</v>
      </c>
    </row>
    <row r="490" spans="1:6" x14ac:dyDescent="0.25">
      <c r="A490" t="s">
        <v>1180</v>
      </c>
      <c r="B490" t="s">
        <v>81</v>
      </c>
      <c r="C490" t="s">
        <v>386</v>
      </c>
      <c r="D490" t="s">
        <v>1181</v>
      </c>
      <c r="E490" t="s">
        <v>10</v>
      </c>
      <c r="F490" t="s">
        <v>11</v>
      </c>
    </row>
    <row r="491" spans="1:6" x14ac:dyDescent="0.25">
      <c r="A491" t="s">
        <v>1182</v>
      </c>
      <c r="B491" t="s">
        <v>81</v>
      </c>
      <c r="C491" t="s">
        <v>645</v>
      </c>
      <c r="D491" t="s">
        <v>1183</v>
      </c>
      <c r="E491" t="s">
        <v>10</v>
      </c>
      <c r="F491" t="s">
        <v>11</v>
      </c>
    </row>
    <row r="492" spans="1:6" x14ac:dyDescent="0.25">
      <c r="A492" t="s">
        <v>1184</v>
      </c>
      <c r="B492" t="s">
        <v>81</v>
      </c>
      <c r="C492" t="s">
        <v>1185</v>
      </c>
      <c r="D492" t="s">
        <v>1186</v>
      </c>
      <c r="E492" t="s">
        <v>294</v>
      </c>
      <c r="F492" t="s">
        <v>21</v>
      </c>
    </row>
    <row r="493" spans="1:6" x14ac:dyDescent="0.25">
      <c r="A493" t="s">
        <v>1187</v>
      </c>
      <c r="B493" t="s">
        <v>81</v>
      </c>
      <c r="C493" t="s">
        <v>610</v>
      </c>
      <c r="D493" t="s">
        <v>159</v>
      </c>
      <c r="E493" t="s">
        <v>49</v>
      </c>
      <c r="F493" t="s">
        <v>50</v>
      </c>
    </row>
    <row r="494" spans="1:6" x14ac:dyDescent="0.25">
      <c r="A494" t="s">
        <v>1188</v>
      </c>
      <c r="B494" t="s">
        <v>81</v>
      </c>
      <c r="C494" t="s">
        <v>47</v>
      </c>
      <c r="D494" t="s">
        <v>61</v>
      </c>
      <c r="E494" t="s">
        <v>10</v>
      </c>
      <c r="F494" t="s">
        <v>11</v>
      </c>
    </row>
    <row r="495" spans="1:6" x14ac:dyDescent="0.25">
      <c r="A495" t="s">
        <v>1189</v>
      </c>
      <c r="B495" t="s">
        <v>81</v>
      </c>
      <c r="C495" t="s">
        <v>1190</v>
      </c>
      <c r="D495" t="s">
        <v>1191</v>
      </c>
      <c r="E495" t="s">
        <v>350</v>
      </c>
      <c r="F495" t="s">
        <v>21</v>
      </c>
    </row>
    <row r="496" spans="1:6" x14ac:dyDescent="0.25">
      <c r="A496" t="s">
        <v>1192</v>
      </c>
      <c r="B496" t="s">
        <v>81</v>
      </c>
      <c r="C496" t="s">
        <v>1193</v>
      </c>
      <c r="D496" t="s">
        <v>1194</v>
      </c>
      <c r="E496" t="s">
        <v>1195</v>
      </c>
      <c r="F496" t="s">
        <v>50</v>
      </c>
    </row>
    <row r="497" spans="1:6" x14ac:dyDescent="0.25">
      <c r="A497" t="s">
        <v>1196</v>
      </c>
      <c r="B497" t="s">
        <v>81</v>
      </c>
      <c r="C497" t="s">
        <v>125</v>
      </c>
      <c r="D497" t="s">
        <v>1197</v>
      </c>
      <c r="E497" t="s">
        <v>365</v>
      </c>
      <c r="F497" t="s">
        <v>11</v>
      </c>
    </row>
    <row r="498" spans="1:6" x14ac:dyDescent="0.25">
      <c r="A498" t="s">
        <v>1198</v>
      </c>
      <c r="B498" t="s">
        <v>81</v>
      </c>
      <c r="C498" t="s">
        <v>1199</v>
      </c>
      <c r="D498" t="s">
        <v>1200</v>
      </c>
      <c r="E498" t="s">
        <v>294</v>
      </c>
      <c r="F498" t="s">
        <v>21</v>
      </c>
    </row>
    <row r="499" spans="1:6" x14ac:dyDescent="0.25">
      <c r="A499" t="s">
        <v>1201</v>
      </c>
      <c r="B499" t="s">
        <v>81</v>
      </c>
      <c r="C499" t="s">
        <v>1202</v>
      </c>
      <c r="D499" t="s">
        <v>1203</v>
      </c>
      <c r="E499" t="s">
        <v>445</v>
      </c>
      <c r="F499" t="s">
        <v>50</v>
      </c>
    </row>
    <row r="500" spans="1:6" x14ac:dyDescent="0.25">
      <c r="A500" t="s">
        <v>1204</v>
      </c>
      <c r="B500" t="s">
        <v>81</v>
      </c>
      <c r="C500" t="s">
        <v>1205</v>
      </c>
      <c r="D500" t="s">
        <v>545</v>
      </c>
      <c r="E500" t="s">
        <v>445</v>
      </c>
      <c r="F500" t="s">
        <v>50</v>
      </c>
    </row>
    <row r="501" spans="1:6" x14ac:dyDescent="0.25">
      <c r="A501" t="s">
        <v>1206</v>
      </c>
      <c r="B501" t="s">
        <v>81</v>
      </c>
      <c r="C501" t="s">
        <v>1207</v>
      </c>
      <c r="D501" t="s">
        <v>15</v>
      </c>
      <c r="E501" t="s">
        <v>10</v>
      </c>
      <c r="F501" t="s">
        <v>11</v>
      </c>
    </row>
    <row r="502" spans="1:6" x14ac:dyDescent="0.25">
      <c r="A502" t="s">
        <v>1208</v>
      </c>
      <c r="B502" t="s">
        <v>81</v>
      </c>
      <c r="C502" t="s">
        <v>1209</v>
      </c>
      <c r="D502" t="s">
        <v>1210</v>
      </c>
      <c r="E502" t="s">
        <v>10</v>
      </c>
      <c r="F502" t="s">
        <v>11</v>
      </c>
    </row>
    <row r="503" spans="1:6" x14ac:dyDescent="0.25">
      <c r="A503" t="s">
        <v>1211</v>
      </c>
      <c r="B503" t="s">
        <v>81</v>
      </c>
      <c r="C503" t="s">
        <v>1212</v>
      </c>
      <c r="D503" t="s">
        <v>1213</v>
      </c>
      <c r="E503" t="s">
        <v>10</v>
      </c>
      <c r="F503" t="s">
        <v>11</v>
      </c>
    </row>
    <row r="504" spans="1:6" x14ac:dyDescent="0.25">
      <c r="A504" t="s">
        <v>1214</v>
      </c>
      <c r="B504" t="s">
        <v>81</v>
      </c>
      <c r="C504" t="s">
        <v>1215</v>
      </c>
      <c r="D504" t="s">
        <v>1216</v>
      </c>
      <c r="E504" t="s">
        <v>10</v>
      </c>
      <c r="F504" t="s">
        <v>11</v>
      </c>
    </row>
    <row r="505" spans="1:6" x14ac:dyDescent="0.25">
      <c r="A505" t="s">
        <v>1217</v>
      </c>
      <c r="B505" t="s">
        <v>81</v>
      </c>
      <c r="C505" t="s">
        <v>1027</v>
      </c>
      <c r="D505" t="s">
        <v>302</v>
      </c>
      <c r="E505" t="s">
        <v>10</v>
      </c>
      <c r="F505" t="s">
        <v>11</v>
      </c>
    </row>
    <row r="506" spans="1:6" x14ac:dyDescent="0.25">
      <c r="A506" t="s">
        <v>1218</v>
      </c>
      <c r="B506" t="s">
        <v>81</v>
      </c>
      <c r="C506" t="s">
        <v>1219</v>
      </c>
      <c r="D506" t="s">
        <v>254</v>
      </c>
      <c r="E506" t="s">
        <v>10</v>
      </c>
      <c r="F506" t="s">
        <v>11</v>
      </c>
    </row>
    <row r="507" spans="1:6" x14ac:dyDescent="0.25">
      <c r="A507" t="s">
        <v>1220</v>
      </c>
      <c r="B507" t="s">
        <v>81</v>
      </c>
      <c r="C507" t="s">
        <v>1221</v>
      </c>
      <c r="D507" t="s">
        <v>1068</v>
      </c>
      <c r="E507" t="s">
        <v>10</v>
      </c>
      <c r="F507" t="s">
        <v>11</v>
      </c>
    </row>
    <row r="508" spans="1:6" x14ac:dyDescent="0.25">
      <c r="A508" t="s">
        <v>1222</v>
      </c>
      <c r="B508" t="s">
        <v>81</v>
      </c>
      <c r="C508" t="s">
        <v>393</v>
      </c>
      <c r="D508" t="s">
        <v>1223</v>
      </c>
      <c r="E508" t="s">
        <v>20</v>
      </c>
      <c r="F508" t="s">
        <v>21</v>
      </c>
    </row>
    <row r="509" spans="1:6" x14ac:dyDescent="0.25">
      <c r="A509" t="s">
        <v>1224</v>
      </c>
      <c r="B509" t="s">
        <v>81</v>
      </c>
      <c r="C509" t="s">
        <v>1225</v>
      </c>
      <c r="D509" t="s">
        <v>156</v>
      </c>
      <c r="E509" t="s">
        <v>187</v>
      </c>
      <c r="F509" t="s">
        <v>50</v>
      </c>
    </row>
    <row r="510" spans="1:6" x14ac:dyDescent="0.25">
      <c r="A510" t="s">
        <v>1226</v>
      </c>
      <c r="B510" t="s">
        <v>81</v>
      </c>
      <c r="C510" t="s">
        <v>1227</v>
      </c>
      <c r="D510" t="s">
        <v>1228</v>
      </c>
      <c r="E510" t="s">
        <v>49</v>
      </c>
      <c r="F510" t="s">
        <v>50</v>
      </c>
    </row>
    <row r="511" spans="1:6" x14ac:dyDescent="0.25">
      <c r="A511" t="s">
        <v>1229</v>
      </c>
      <c r="B511" t="s">
        <v>81</v>
      </c>
      <c r="C511" t="s">
        <v>694</v>
      </c>
      <c r="D511" t="s">
        <v>1230</v>
      </c>
      <c r="E511" t="s">
        <v>554</v>
      </c>
      <c r="F511" t="s">
        <v>526</v>
      </c>
    </row>
    <row r="512" spans="1:6" x14ac:dyDescent="0.25">
      <c r="A512" t="s">
        <v>1231</v>
      </c>
      <c r="B512" t="s">
        <v>81</v>
      </c>
      <c r="C512" t="s">
        <v>1029</v>
      </c>
      <c r="D512" t="s">
        <v>1232</v>
      </c>
      <c r="E512" t="s">
        <v>1035</v>
      </c>
      <c r="F512" t="s">
        <v>21</v>
      </c>
    </row>
    <row r="513" spans="1:6" x14ac:dyDescent="0.25">
      <c r="A513" t="s">
        <v>1233</v>
      </c>
      <c r="B513" t="s">
        <v>81</v>
      </c>
      <c r="C513" t="s">
        <v>1234</v>
      </c>
      <c r="D513" t="s">
        <v>932</v>
      </c>
      <c r="E513" t="s">
        <v>384</v>
      </c>
      <c r="F513" t="s">
        <v>21</v>
      </c>
    </row>
    <row r="514" spans="1:6" x14ac:dyDescent="0.25">
      <c r="A514" t="s">
        <v>1235</v>
      </c>
      <c r="B514" t="s">
        <v>81</v>
      </c>
      <c r="C514" t="s">
        <v>702</v>
      </c>
      <c r="D514" t="s">
        <v>1236</v>
      </c>
      <c r="E514" t="s">
        <v>20</v>
      </c>
      <c r="F514" t="s">
        <v>21</v>
      </c>
    </row>
    <row r="515" spans="1:6" x14ac:dyDescent="0.25">
      <c r="A515" t="s">
        <v>1237</v>
      </c>
      <c r="B515" t="s">
        <v>81</v>
      </c>
      <c r="C515" t="s">
        <v>1238</v>
      </c>
      <c r="D515" t="s">
        <v>1239</v>
      </c>
      <c r="E515" t="s">
        <v>20</v>
      </c>
      <c r="F515" t="s">
        <v>21</v>
      </c>
    </row>
    <row r="516" spans="1:6" x14ac:dyDescent="0.25">
      <c r="A516" t="s">
        <v>1240</v>
      </c>
      <c r="B516" t="s">
        <v>81</v>
      </c>
      <c r="C516" t="s">
        <v>815</v>
      </c>
      <c r="D516" t="s">
        <v>248</v>
      </c>
      <c r="E516" t="s">
        <v>10</v>
      </c>
      <c r="F516" t="s">
        <v>11</v>
      </c>
    </row>
    <row r="517" spans="1:6" x14ac:dyDescent="0.25">
      <c r="A517" t="s">
        <v>1241</v>
      </c>
      <c r="B517" t="s">
        <v>81</v>
      </c>
      <c r="C517" t="s">
        <v>1242</v>
      </c>
      <c r="D517" t="s">
        <v>66</v>
      </c>
      <c r="E517" t="s">
        <v>10</v>
      </c>
      <c r="F517" t="s">
        <v>11</v>
      </c>
    </row>
    <row r="518" spans="1:6" x14ac:dyDescent="0.25">
      <c r="A518" t="s">
        <v>1243</v>
      </c>
      <c r="B518" t="s">
        <v>81</v>
      </c>
      <c r="C518" t="s">
        <v>1244</v>
      </c>
      <c r="D518" t="s">
        <v>389</v>
      </c>
      <c r="E518" t="s">
        <v>10</v>
      </c>
      <c r="F518" t="s">
        <v>11</v>
      </c>
    </row>
    <row r="519" spans="1:6" x14ac:dyDescent="0.25">
      <c r="A519" t="s">
        <v>1245</v>
      </c>
      <c r="B519" t="s">
        <v>81</v>
      </c>
      <c r="C519" t="s">
        <v>806</v>
      </c>
      <c r="D519" t="s">
        <v>148</v>
      </c>
      <c r="E519" t="s">
        <v>10</v>
      </c>
      <c r="F519" t="s">
        <v>11</v>
      </c>
    </row>
    <row r="520" spans="1:6" x14ac:dyDescent="0.25">
      <c r="A520" t="s">
        <v>1246</v>
      </c>
      <c r="B520" t="s">
        <v>81</v>
      </c>
      <c r="C520" t="s">
        <v>1247</v>
      </c>
      <c r="D520" t="s">
        <v>1248</v>
      </c>
      <c r="E520" t="s">
        <v>44</v>
      </c>
      <c r="F520" t="s">
        <v>21</v>
      </c>
    </row>
    <row r="521" spans="1:6" x14ac:dyDescent="0.25">
      <c r="A521" t="s">
        <v>1249</v>
      </c>
      <c r="B521" t="s">
        <v>81</v>
      </c>
      <c r="C521" t="s">
        <v>1250</v>
      </c>
      <c r="D521" t="s">
        <v>1251</v>
      </c>
      <c r="E521" t="s">
        <v>10</v>
      </c>
      <c r="F521" t="s">
        <v>11</v>
      </c>
    </row>
    <row r="522" spans="1:6" x14ac:dyDescent="0.25">
      <c r="A522" t="s">
        <v>1252</v>
      </c>
      <c r="B522" t="s">
        <v>81</v>
      </c>
      <c r="C522" t="s">
        <v>1253</v>
      </c>
      <c r="D522" t="s">
        <v>1102</v>
      </c>
      <c r="E522" t="s">
        <v>10</v>
      </c>
      <c r="F522" t="s">
        <v>11</v>
      </c>
    </row>
    <row r="523" spans="1:6" x14ac:dyDescent="0.25">
      <c r="A523" t="s">
        <v>1254</v>
      </c>
      <c r="B523" t="s">
        <v>81</v>
      </c>
      <c r="C523" t="s">
        <v>1255</v>
      </c>
      <c r="D523" t="s">
        <v>1256</v>
      </c>
      <c r="E523" t="s">
        <v>10</v>
      </c>
      <c r="F523" t="s">
        <v>11</v>
      </c>
    </row>
    <row r="524" spans="1:6" x14ac:dyDescent="0.25">
      <c r="A524" t="s">
        <v>1257</v>
      </c>
      <c r="B524" t="s">
        <v>81</v>
      </c>
      <c r="C524" t="s">
        <v>125</v>
      </c>
      <c r="D524" t="s">
        <v>1258</v>
      </c>
      <c r="E524" t="s">
        <v>10</v>
      </c>
      <c r="F524" t="s">
        <v>11</v>
      </c>
    </row>
    <row r="525" spans="1:6" x14ac:dyDescent="0.25">
      <c r="A525" t="s">
        <v>1259</v>
      </c>
      <c r="B525" t="s">
        <v>81</v>
      </c>
      <c r="C525" t="s">
        <v>1260</v>
      </c>
      <c r="D525" t="s">
        <v>1261</v>
      </c>
      <c r="E525" t="s">
        <v>10</v>
      </c>
      <c r="F525" t="s">
        <v>11</v>
      </c>
    </row>
    <row r="526" spans="1:6" x14ac:dyDescent="0.25">
      <c r="A526" t="s">
        <v>1262</v>
      </c>
      <c r="B526" t="s">
        <v>81</v>
      </c>
      <c r="C526" t="s">
        <v>936</v>
      </c>
      <c r="D526" t="s">
        <v>1263</v>
      </c>
      <c r="E526" t="s">
        <v>10</v>
      </c>
      <c r="F526" t="s">
        <v>11</v>
      </c>
    </row>
    <row r="527" spans="1:6" x14ac:dyDescent="0.25">
      <c r="A527" t="s">
        <v>1264</v>
      </c>
      <c r="B527" t="s">
        <v>81</v>
      </c>
      <c r="C527" t="s">
        <v>125</v>
      </c>
      <c r="D527" t="s">
        <v>1265</v>
      </c>
      <c r="E527" t="s">
        <v>20</v>
      </c>
      <c r="F527" t="s">
        <v>21</v>
      </c>
    </row>
    <row r="528" spans="1:6" x14ac:dyDescent="0.25">
      <c r="A528" t="s">
        <v>1266</v>
      </c>
      <c r="B528" t="s">
        <v>81</v>
      </c>
      <c r="C528" t="s">
        <v>780</v>
      </c>
      <c r="D528" t="s">
        <v>15</v>
      </c>
      <c r="E528" t="s">
        <v>10</v>
      </c>
      <c r="F528" t="s">
        <v>11</v>
      </c>
    </row>
    <row r="529" spans="1:6" x14ac:dyDescent="0.25">
      <c r="A529" t="s">
        <v>1267</v>
      </c>
      <c r="B529" t="s">
        <v>81</v>
      </c>
      <c r="C529" t="s">
        <v>1268</v>
      </c>
      <c r="D529" t="s">
        <v>1269</v>
      </c>
      <c r="E529" t="s">
        <v>10</v>
      </c>
      <c r="F529" t="s">
        <v>11</v>
      </c>
    </row>
    <row r="530" spans="1:6" x14ac:dyDescent="0.25">
      <c r="A530" t="s">
        <v>1270</v>
      </c>
      <c r="B530" t="s">
        <v>81</v>
      </c>
      <c r="C530" t="s">
        <v>1271</v>
      </c>
      <c r="D530" t="s">
        <v>1272</v>
      </c>
      <c r="E530" t="s">
        <v>10</v>
      </c>
      <c r="F530" t="s">
        <v>11</v>
      </c>
    </row>
    <row r="531" spans="1:6" x14ac:dyDescent="0.25">
      <c r="A531" t="s">
        <v>1273</v>
      </c>
      <c r="B531" t="s">
        <v>81</v>
      </c>
      <c r="C531" t="s">
        <v>1154</v>
      </c>
      <c r="D531" t="s">
        <v>1274</v>
      </c>
      <c r="E531" t="s">
        <v>49</v>
      </c>
      <c r="F531" t="s">
        <v>50</v>
      </c>
    </row>
    <row r="532" spans="1:6" x14ac:dyDescent="0.25">
      <c r="A532" t="s">
        <v>1275</v>
      </c>
      <c r="B532" t="s">
        <v>81</v>
      </c>
      <c r="C532" t="s">
        <v>1276</v>
      </c>
      <c r="D532" t="s">
        <v>159</v>
      </c>
      <c r="E532" t="s">
        <v>62</v>
      </c>
      <c r="F532" t="s">
        <v>63</v>
      </c>
    </row>
    <row r="533" spans="1:6" x14ac:dyDescent="0.25">
      <c r="A533" t="s">
        <v>1277</v>
      </c>
      <c r="B533" t="s">
        <v>81</v>
      </c>
      <c r="C533" t="s">
        <v>1278</v>
      </c>
      <c r="E533" t="s">
        <v>1279</v>
      </c>
      <c r="F533" t="s">
        <v>11</v>
      </c>
    </row>
    <row r="534" spans="1:6" x14ac:dyDescent="0.25">
      <c r="A534" t="s">
        <v>1280</v>
      </c>
      <c r="B534" t="s">
        <v>81</v>
      </c>
      <c r="C534" t="s">
        <v>1281</v>
      </c>
      <c r="D534" t="s">
        <v>1282</v>
      </c>
      <c r="E534" t="s">
        <v>10</v>
      </c>
      <c r="F534" t="s">
        <v>11</v>
      </c>
    </row>
    <row r="535" spans="1:6" x14ac:dyDescent="0.25">
      <c r="A535" t="s">
        <v>1283</v>
      </c>
      <c r="B535" t="s">
        <v>81</v>
      </c>
      <c r="C535" t="s">
        <v>47</v>
      </c>
      <c r="D535" t="s">
        <v>1284</v>
      </c>
      <c r="E535" t="s">
        <v>10</v>
      </c>
      <c r="F535" t="s">
        <v>11</v>
      </c>
    </row>
    <row r="536" spans="1:6" x14ac:dyDescent="0.25">
      <c r="A536" t="s">
        <v>1285</v>
      </c>
      <c r="B536" t="s">
        <v>81</v>
      </c>
      <c r="C536" t="s">
        <v>1286</v>
      </c>
      <c r="D536" t="s">
        <v>1287</v>
      </c>
      <c r="E536" t="s">
        <v>10</v>
      </c>
      <c r="F536" t="s">
        <v>11</v>
      </c>
    </row>
    <row r="537" spans="1:6" x14ac:dyDescent="0.25">
      <c r="A537" t="s">
        <v>1288</v>
      </c>
      <c r="B537" t="s">
        <v>81</v>
      </c>
      <c r="C537" t="s">
        <v>815</v>
      </c>
      <c r="D537" t="s">
        <v>1228</v>
      </c>
      <c r="E537" t="s">
        <v>365</v>
      </c>
      <c r="F537" t="s">
        <v>11</v>
      </c>
    </row>
    <row r="538" spans="1:6" x14ac:dyDescent="0.25">
      <c r="A538" t="s">
        <v>1289</v>
      </c>
      <c r="B538" t="s">
        <v>81</v>
      </c>
      <c r="C538" t="s">
        <v>785</v>
      </c>
      <c r="D538" t="s">
        <v>225</v>
      </c>
      <c r="E538" t="s">
        <v>10</v>
      </c>
      <c r="F538" t="s">
        <v>11</v>
      </c>
    </row>
    <row r="539" spans="1:6" x14ac:dyDescent="0.25">
      <c r="A539" t="s">
        <v>1290</v>
      </c>
      <c r="B539" t="s">
        <v>81</v>
      </c>
      <c r="C539" t="s">
        <v>1291</v>
      </c>
      <c r="D539" t="s">
        <v>130</v>
      </c>
      <c r="E539" t="s">
        <v>170</v>
      </c>
      <c r="F539" t="s">
        <v>50</v>
      </c>
    </row>
    <row r="540" spans="1:6" x14ac:dyDescent="0.25">
      <c r="A540" t="s">
        <v>1292</v>
      </c>
      <c r="B540" t="s">
        <v>81</v>
      </c>
      <c r="C540" t="s">
        <v>1293</v>
      </c>
      <c r="D540" t="s">
        <v>1125</v>
      </c>
      <c r="E540" t="s">
        <v>10</v>
      </c>
      <c r="F540" t="s">
        <v>11</v>
      </c>
    </row>
    <row r="541" spans="1:6" x14ac:dyDescent="0.25">
      <c r="A541" t="s">
        <v>1294</v>
      </c>
      <c r="B541" t="s">
        <v>81</v>
      </c>
      <c r="C541" t="s">
        <v>1295</v>
      </c>
      <c r="D541" t="s">
        <v>1296</v>
      </c>
      <c r="E541" t="s">
        <v>10</v>
      </c>
      <c r="F541" t="s">
        <v>11</v>
      </c>
    </row>
    <row r="542" spans="1:6" x14ac:dyDescent="0.25">
      <c r="A542" t="s">
        <v>1297</v>
      </c>
      <c r="B542" t="s">
        <v>81</v>
      </c>
      <c r="C542" t="s">
        <v>1298</v>
      </c>
      <c r="D542" t="s">
        <v>1299</v>
      </c>
      <c r="E542" t="s">
        <v>350</v>
      </c>
      <c r="F542" t="s">
        <v>21</v>
      </c>
    </row>
    <row r="543" spans="1:6" x14ac:dyDescent="0.25">
      <c r="A543" t="s">
        <v>1300</v>
      </c>
      <c r="B543" t="s">
        <v>81</v>
      </c>
      <c r="C543" t="s">
        <v>1301</v>
      </c>
      <c r="D543" t="s">
        <v>1302</v>
      </c>
      <c r="E543" t="s">
        <v>1035</v>
      </c>
      <c r="F543" t="s">
        <v>21</v>
      </c>
    </row>
    <row r="544" spans="1:6" x14ac:dyDescent="0.25">
      <c r="A544" t="s">
        <v>1303</v>
      </c>
      <c r="B544" t="s">
        <v>47</v>
      </c>
      <c r="C544" s="1">
        <v>0</v>
      </c>
      <c r="D544" t="s">
        <v>1304</v>
      </c>
      <c r="E544" t="s">
        <v>170</v>
      </c>
      <c r="F544" t="s">
        <v>50</v>
      </c>
    </row>
    <row r="545" spans="1:6" x14ac:dyDescent="0.25">
      <c r="A545" t="s">
        <v>1305</v>
      </c>
      <c r="B545" t="s">
        <v>47</v>
      </c>
      <c r="C545" t="s">
        <v>780</v>
      </c>
      <c r="D545" t="s">
        <v>1306</v>
      </c>
      <c r="E545" t="s">
        <v>10</v>
      </c>
      <c r="F545" t="s">
        <v>11</v>
      </c>
    </row>
    <row r="546" spans="1:6" x14ac:dyDescent="0.25">
      <c r="A546" t="s">
        <v>1307</v>
      </c>
      <c r="B546" t="s">
        <v>47</v>
      </c>
      <c r="C546" t="s">
        <v>1308</v>
      </c>
      <c r="D546" t="s">
        <v>1309</v>
      </c>
      <c r="E546" t="s">
        <v>44</v>
      </c>
      <c r="F546" t="s">
        <v>21</v>
      </c>
    </row>
    <row r="547" spans="1:6" x14ac:dyDescent="0.25">
      <c r="A547" t="s">
        <v>1310</v>
      </c>
      <c r="B547" t="s">
        <v>47</v>
      </c>
      <c r="C547" t="s">
        <v>1311</v>
      </c>
      <c r="D547" t="s">
        <v>1312</v>
      </c>
      <c r="E547" t="s">
        <v>10</v>
      </c>
      <c r="F547" t="s">
        <v>11</v>
      </c>
    </row>
    <row r="548" spans="1:6" x14ac:dyDescent="0.25">
      <c r="A548" t="s">
        <v>1313</v>
      </c>
      <c r="B548" t="s">
        <v>47</v>
      </c>
      <c r="C548" t="s">
        <v>1314</v>
      </c>
      <c r="D548" t="s">
        <v>1315</v>
      </c>
      <c r="E548" t="s">
        <v>1316</v>
      </c>
      <c r="F548" t="s">
        <v>21</v>
      </c>
    </row>
    <row r="549" spans="1:6" x14ac:dyDescent="0.25">
      <c r="A549" t="s">
        <v>1317</v>
      </c>
      <c r="B549" t="s">
        <v>47</v>
      </c>
      <c r="C549" t="s">
        <v>1129</v>
      </c>
      <c r="D549" t="s">
        <v>1318</v>
      </c>
      <c r="E549" t="s">
        <v>1035</v>
      </c>
      <c r="F549" t="s">
        <v>21</v>
      </c>
    </row>
    <row r="550" spans="1:6" x14ac:dyDescent="0.25">
      <c r="A550" t="s">
        <v>1319</v>
      </c>
      <c r="B550" t="s">
        <v>47</v>
      </c>
      <c r="C550" t="s">
        <v>715</v>
      </c>
      <c r="D550" t="s">
        <v>955</v>
      </c>
      <c r="E550" t="s">
        <v>170</v>
      </c>
      <c r="F550" t="s">
        <v>50</v>
      </c>
    </row>
    <row r="551" spans="1:6" x14ac:dyDescent="0.25">
      <c r="A551" t="s">
        <v>1320</v>
      </c>
      <c r="B551" t="s">
        <v>47</v>
      </c>
      <c r="C551" t="s">
        <v>1212</v>
      </c>
      <c r="D551" t="s">
        <v>1321</v>
      </c>
      <c r="E551" t="s">
        <v>10</v>
      </c>
      <c r="F551" t="s">
        <v>11</v>
      </c>
    </row>
    <row r="552" spans="1:6" x14ac:dyDescent="0.25">
      <c r="A552" t="s">
        <v>1322</v>
      </c>
      <c r="B552" t="s">
        <v>47</v>
      </c>
      <c r="C552" t="s">
        <v>1323</v>
      </c>
      <c r="D552" t="s">
        <v>1324</v>
      </c>
      <c r="E552" t="s">
        <v>10</v>
      </c>
      <c r="F552" t="s">
        <v>11</v>
      </c>
    </row>
    <row r="553" spans="1:6" x14ac:dyDescent="0.25">
      <c r="A553" t="s">
        <v>1325</v>
      </c>
      <c r="B553" t="s">
        <v>47</v>
      </c>
      <c r="C553" t="s">
        <v>1326</v>
      </c>
      <c r="D553" t="s">
        <v>225</v>
      </c>
      <c r="E553" t="s">
        <v>10</v>
      </c>
      <c r="F553" t="s">
        <v>11</v>
      </c>
    </row>
    <row r="554" spans="1:6" x14ac:dyDescent="0.25">
      <c r="A554" t="s">
        <v>1327</v>
      </c>
      <c r="B554" t="s">
        <v>47</v>
      </c>
      <c r="C554" t="s">
        <v>1328</v>
      </c>
      <c r="D554" t="s">
        <v>1329</v>
      </c>
      <c r="E554" t="s">
        <v>10</v>
      </c>
      <c r="F554" t="s">
        <v>11</v>
      </c>
    </row>
    <row r="555" spans="1:6" x14ac:dyDescent="0.25">
      <c r="A555" t="s">
        <v>1330</v>
      </c>
      <c r="B555" t="s">
        <v>47</v>
      </c>
      <c r="C555" t="s">
        <v>1331</v>
      </c>
      <c r="D555" t="s">
        <v>1332</v>
      </c>
      <c r="E555" t="s">
        <v>10</v>
      </c>
      <c r="F555" t="s">
        <v>11</v>
      </c>
    </row>
    <row r="556" spans="1:6" x14ac:dyDescent="0.25">
      <c r="A556" t="s">
        <v>1333</v>
      </c>
      <c r="B556" t="s">
        <v>47</v>
      </c>
      <c r="C556" t="s">
        <v>1334</v>
      </c>
      <c r="D556" t="s">
        <v>727</v>
      </c>
      <c r="E556" t="s">
        <v>10</v>
      </c>
      <c r="F556" t="s">
        <v>11</v>
      </c>
    </row>
    <row r="557" spans="1:6" x14ac:dyDescent="0.25">
      <c r="A557" t="s">
        <v>1335</v>
      </c>
      <c r="B557" t="s">
        <v>47</v>
      </c>
      <c r="C557" t="s">
        <v>1336</v>
      </c>
      <c r="D557" t="s">
        <v>1337</v>
      </c>
      <c r="E557" t="s">
        <v>10</v>
      </c>
      <c r="F557" t="s">
        <v>11</v>
      </c>
    </row>
    <row r="558" spans="1:6" x14ac:dyDescent="0.25">
      <c r="A558" t="s">
        <v>1338</v>
      </c>
      <c r="B558" t="s">
        <v>47</v>
      </c>
      <c r="C558" t="s">
        <v>1339</v>
      </c>
      <c r="D558" t="s">
        <v>221</v>
      </c>
      <c r="E558" t="s">
        <v>10</v>
      </c>
      <c r="F558" t="s">
        <v>11</v>
      </c>
    </row>
    <row r="559" spans="1:6" x14ac:dyDescent="0.25">
      <c r="A559" t="s">
        <v>1340</v>
      </c>
      <c r="B559" t="s">
        <v>47</v>
      </c>
      <c r="C559" t="s">
        <v>726</v>
      </c>
      <c r="D559" t="s">
        <v>655</v>
      </c>
      <c r="E559" t="s">
        <v>10</v>
      </c>
      <c r="F559" t="s">
        <v>11</v>
      </c>
    </row>
    <row r="560" spans="1:6" x14ac:dyDescent="0.25">
      <c r="A560" t="s">
        <v>1341</v>
      </c>
      <c r="B560" t="s">
        <v>47</v>
      </c>
      <c r="C560" t="s">
        <v>1342</v>
      </c>
      <c r="D560" t="s">
        <v>1343</v>
      </c>
      <c r="E560" t="s">
        <v>20</v>
      </c>
      <c r="F560" t="s">
        <v>21</v>
      </c>
    </row>
    <row r="561" spans="1:6" x14ac:dyDescent="0.25">
      <c r="A561" t="s">
        <v>1344</v>
      </c>
      <c r="B561" t="s">
        <v>47</v>
      </c>
      <c r="C561" t="s">
        <v>931</v>
      </c>
      <c r="D561" t="s">
        <v>496</v>
      </c>
      <c r="E561" t="s">
        <v>62</v>
      </c>
      <c r="F561" t="s">
        <v>63</v>
      </c>
    </row>
    <row r="562" spans="1:6" x14ac:dyDescent="0.25">
      <c r="A562" t="s">
        <v>1345</v>
      </c>
      <c r="B562" t="s">
        <v>47</v>
      </c>
      <c r="C562" t="s">
        <v>1346</v>
      </c>
      <c r="D562" t="s">
        <v>1347</v>
      </c>
      <c r="E562" t="s">
        <v>20</v>
      </c>
      <c r="F562" t="s">
        <v>21</v>
      </c>
    </row>
    <row r="563" spans="1:6" x14ac:dyDescent="0.25">
      <c r="A563" t="s">
        <v>1348</v>
      </c>
      <c r="B563" t="s">
        <v>47</v>
      </c>
      <c r="C563" t="s">
        <v>1349</v>
      </c>
      <c r="D563" t="s">
        <v>1350</v>
      </c>
      <c r="E563" t="s">
        <v>49</v>
      </c>
      <c r="F563" t="s">
        <v>50</v>
      </c>
    </row>
    <row r="564" spans="1:6" x14ac:dyDescent="0.25">
      <c r="A564" t="s">
        <v>1351</v>
      </c>
      <c r="B564" t="s">
        <v>47</v>
      </c>
      <c r="C564" s="1">
        <v>0</v>
      </c>
      <c r="E564" t="s">
        <v>62</v>
      </c>
      <c r="F564" t="s">
        <v>63</v>
      </c>
    </row>
    <row r="565" spans="1:6" x14ac:dyDescent="0.25">
      <c r="A565" t="s">
        <v>1352</v>
      </c>
      <c r="B565" t="s">
        <v>47</v>
      </c>
      <c r="C565" t="s">
        <v>1291</v>
      </c>
      <c r="D565" t="s">
        <v>1146</v>
      </c>
      <c r="E565" t="s">
        <v>10</v>
      </c>
      <c r="F565" t="s">
        <v>11</v>
      </c>
    </row>
    <row r="566" spans="1:6" x14ac:dyDescent="0.25">
      <c r="A566" t="s">
        <v>1353</v>
      </c>
      <c r="B566" t="s">
        <v>47</v>
      </c>
      <c r="C566" t="s">
        <v>1354</v>
      </c>
      <c r="D566" t="s">
        <v>15</v>
      </c>
      <c r="E566" t="s">
        <v>10</v>
      </c>
      <c r="F566" t="s">
        <v>11</v>
      </c>
    </row>
    <row r="567" spans="1:6" x14ac:dyDescent="0.25">
      <c r="A567" t="s">
        <v>1355</v>
      </c>
      <c r="B567" t="s">
        <v>47</v>
      </c>
      <c r="C567" t="s">
        <v>1356</v>
      </c>
      <c r="D567" t="s">
        <v>1357</v>
      </c>
      <c r="E567" t="s">
        <v>44</v>
      </c>
      <c r="F567" t="s">
        <v>21</v>
      </c>
    </row>
    <row r="568" spans="1:6" x14ac:dyDescent="0.25">
      <c r="A568" t="s">
        <v>1358</v>
      </c>
      <c r="B568" t="s">
        <v>47</v>
      </c>
      <c r="C568" t="s">
        <v>1359</v>
      </c>
      <c r="D568" t="s">
        <v>1074</v>
      </c>
      <c r="E568" t="s">
        <v>10</v>
      </c>
      <c r="F568" t="s">
        <v>11</v>
      </c>
    </row>
    <row r="569" spans="1:6" x14ac:dyDescent="0.25">
      <c r="A569" t="s">
        <v>1360</v>
      </c>
      <c r="B569" t="s">
        <v>47</v>
      </c>
      <c r="C569" t="s">
        <v>1334</v>
      </c>
      <c r="D569" t="s">
        <v>1361</v>
      </c>
      <c r="E569" t="s">
        <v>44</v>
      </c>
      <c r="F569" t="s">
        <v>21</v>
      </c>
    </row>
    <row r="570" spans="1:6" x14ac:dyDescent="0.25">
      <c r="A570" t="s">
        <v>1362</v>
      </c>
      <c r="B570" t="s">
        <v>47</v>
      </c>
      <c r="C570" t="s">
        <v>1363</v>
      </c>
      <c r="D570" t="s">
        <v>1364</v>
      </c>
      <c r="E570" t="s">
        <v>10</v>
      </c>
      <c r="F570" t="s">
        <v>11</v>
      </c>
    </row>
    <row r="571" spans="1:6" x14ac:dyDescent="0.25">
      <c r="A571" t="s">
        <v>1365</v>
      </c>
      <c r="B571" t="s">
        <v>47</v>
      </c>
      <c r="C571" t="s">
        <v>1366</v>
      </c>
      <c r="D571" t="s">
        <v>1367</v>
      </c>
      <c r="E571" t="s">
        <v>10</v>
      </c>
      <c r="F571" t="s">
        <v>11</v>
      </c>
    </row>
    <row r="572" spans="1:6" x14ac:dyDescent="0.25">
      <c r="A572" t="s">
        <v>1368</v>
      </c>
      <c r="B572" t="s">
        <v>47</v>
      </c>
      <c r="C572" t="s">
        <v>1369</v>
      </c>
      <c r="D572" t="s">
        <v>1370</v>
      </c>
      <c r="E572" t="s">
        <v>20</v>
      </c>
      <c r="F572" t="s">
        <v>21</v>
      </c>
    </row>
    <row r="573" spans="1:6" x14ac:dyDescent="0.25">
      <c r="A573" t="s">
        <v>1371</v>
      </c>
      <c r="B573" t="s">
        <v>47</v>
      </c>
      <c r="C573" t="s">
        <v>1145</v>
      </c>
      <c r="D573" t="s">
        <v>159</v>
      </c>
      <c r="E573" t="s">
        <v>44</v>
      </c>
      <c r="F573" t="s">
        <v>21</v>
      </c>
    </row>
    <row r="574" spans="1:6" x14ac:dyDescent="0.25">
      <c r="A574" t="s">
        <v>1372</v>
      </c>
      <c r="B574" t="s">
        <v>47</v>
      </c>
      <c r="C574" t="s">
        <v>995</v>
      </c>
      <c r="D574" t="s">
        <v>1373</v>
      </c>
      <c r="E574" t="s">
        <v>10</v>
      </c>
      <c r="F574" t="s">
        <v>11</v>
      </c>
    </row>
    <row r="575" spans="1:6" x14ac:dyDescent="0.25">
      <c r="A575" t="s">
        <v>1374</v>
      </c>
      <c r="B575" t="s">
        <v>47</v>
      </c>
      <c r="C575" t="s">
        <v>1375</v>
      </c>
      <c r="D575" t="s">
        <v>1065</v>
      </c>
      <c r="E575" t="s">
        <v>10</v>
      </c>
      <c r="F575" t="s">
        <v>11</v>
      </c>
    </row>
    <row r="576" spans="1:6" x14ac:dyDescent="0.25">
      <c r="A576" t="s">
        <v>1376</v>
      </c>
      <c r="B576" t="s">
        <v>47</v>
      </c>
      <c r="C576" t="s">
        <v>1377</v>
      </c>
      <c r="D576" t="s">
        <v>15</v>
      </c>
      <c r="E576" t="s">
        <v>10</v>
      </c>
      <c r="F576" t="s">
        <v>11</v>
      </c>
    </row>
    <row r="577" spans="1:6" x14ac:dyDescent="0.25">
      <c r="A577" t="s">
        <v>1378</v>
      </c>
      <c r="B577" t="s">
        <v>47</v>
      </c>
      <c r="C577" t="s">
        <v>1379</v>
      </c>
      <c r="D577" t="s">
        <v>1380</v>
      </c>
      <c r="E577" t="s">
        <v>20</v>
      </c>
      <c r="F577" t="s">
        <v>21</v>
      </c>
    </row>
    <row r="578" spans="1:6" x14ac:dyDescent="0.25">
      <c r="A578" t="s">
        <v>1381</v>
      </c>
      <c r="B578" t="s">
        <v>47</v>
      </c>
      <c r="C578" t="s">
        <v>1382</v>
      </c>
      <c r="D578" t="s">
        <v>1383</v>
      </c>
      <c r="E578" t="s">
        <v>20</v>
      </c>
      <c r="F578" t="s">
        <v>21</v>
      </c>
    </row>
    <row r="579" spans="1:6" x14ac:dyDescent="0.25">
      <c r="A579" t="s">
        <v>1384</v>
      </c>
      <c r="B579" t="s">
        <v>47</v>
      </c>
      <c r="C579" t="s">
        <v>47</v>
      </c>
      <c r="D579" t="s">
        <v>1385</v>
      </c>
      <c r="E579" t="s">
        <v>1008</v>
      </c>
      <c r="F579" t="s">
        <v>11</v>
      </c>
    </row>
    <row r="580" spans="1:6" x14ac:dyDescent="0.25">
      <c r="A580" t="s">
        <v>1386</v>
      </c>
      <c r="B580" t="s">
        <v>47</v>
      </c>
      <c r="C580" t="s">
        <v>1308</v>
      </c>
      <c r="D580" t="s">
        <v>1387</v>
      </c>
      <c r="E580" t="s">
        <v>10</v>
      </c>
      <c r="F580" t="s">
        <v>11</v>
      </c>
    </row>
    <row r="581" spans="1:6" x14ac:dyDescent="0.25">
      <c r="A581" t="s">
        <v>1388</v>
      </c>
      <c r="B581" t="s">
        <v>47</v>
      </c>
      <c r="C581" t="s">
        <v>906</v>
      </c>
      <c r="D581" t="s">
        <v>15</v>
      </c>
      <c r="E581" t="s">
        <v>10</v>
      </c>
      <c r="F581" t="s">
        <v>11</v>
      </c>
    </row>
    <row r="582" spans="1:6" x14ac:dyDescent="0.25">
      <c r="A582" t="s">
        <v>1389</v>
      </c>
      <c r="B582" t="s">
        <v>47</v>
      </c>
      <c r="C582" t="s">
        <v>1390</v>
      </c>
      <c r="D582" t="s">
        <v>921</v>
      </c>
      <c r="E582" t="s">
        <v>1008</v>
      </c>
      <c r="F582" t="s">
        <v>11</v>
      </c>
    </row>
    <row r="583" spans="1:6" x14ac:dyDescent="0.25">
      <c r="A583" t="s">
        <v>1391</v>
      </c>
      <c r="B583" t="s">
        <v>47</v>
      </c>
      <c r="C583" t="s">
        <v>575</v>
      </c>
      <c r="D583" t="s">
        <v>835</v>
      </c>
      <c r="E583" t="s">
        <v>10</v>
      </c>
      <c r="F583" t="s">
        <v>11</v>
      </c>
    </row>
    <row r="584" spans="1:6" x14ac:dyDescent="0.25">
      <c r="A584" t="s">
        <v>1392</v>
      </c>
      <c r="B584" t="s">
        <v>47</v>
      </c>
      <c r="C584" t="s">
        <v>640</v>
      </c>
      <c r="D584" t="s">
        <v>1393</v>
      </c>
      <c r="E584" t="s">
        <v>20</v>
      </c>
      <c r="F584" t="s">
        <v>21</v>
      </c>
    </row>
    <row r="585" spans="1:6" x14ac:dyDescent="0.25">
      <c r="A585" t="s">
        <v>1394</v>
      </c>
      <c r="B585" t="s">
        <v>47</v>
      </c>
      <c r="C585" t="s">
        <v>1395</v>
      </c>
      <c r="D585" t="s">
        <v>1396</v>
      </c>
      <c r="E585" t="s">
        <v>10</v>
      </c>
      <c r="F585" t="s">
        <v>11</v>
      </c>
    </row>
    <row r="586" spans="1:6" x14ac:dyDescent="0.25">
      <c r="A586" t="s">
        <v>1397</v>
      </c>
      <c r="B586" t="s">
        <v>47</v>
      </c>
      <c r="C586" t="s">
        <v>1314</v>
      </c>
      <c r="D586" t="s">
        <v>1398</v>
      </c>
      <c r="E586" t="s">
        <v>10</v>
      </c>
      <c r="F586" t="s">
        <v>11</v>
      </c>
    </row>
    <row r="587" spans="1:6" x14ac:dyDescent="0.25">
      <c r="A587" t="s">
        <v>1399</v>
      </c>
      <c r="B587" t="s">
        <v>47</v>
      </c>
      <c r="C587" t="s">
        <v>1400</v>
      </c>
      <c r="D587" t="s">
        <v>15</v>
      </c>
      <c r="E587" t="s">
        <v>10</v>
      </c>
      <c r="F587" t="s">
        <v>11</v>
      </c>
    </row>
    <row r="588" spans="1:6" x14ac:dyDescent="0.25">
      <c r="A588" t="s">
        <v>1401</v>
      </c>
      <c r="B588" t="s">
        <v>47</v>
      </c>
      <c r="C588" t="s">
        <v>1402</v>
      </c>
      <c r="D588" t="s">
        <v>786</v>
      </c>
      <c r="E588" t="s">
        <v>10</v>
      </c>
      <c r="F588" t="s">
        <v>11</v>
      </c>
    </row>
    <row r="589" spans="1:6" x14ac:dyDescent="0.25">
      <c r="A589" t="s">
        <v>1403</v>
      </c>
      <c r="B589" t="s">
        <v>47</v>
      </c>
      <c r="C589" t="s">
        <v>1404</v>
      </c>
      <c r="D589" t="s">
        <v>641</v>
      </c>
      <c r="E589" t="s">
        <v>62</v>
      </c>
      <c r="F589" t="s">
        <v>63</v>
      </c>
    </row>
    <row r="590" spans="1:6" x14ac:dyDescent="0.25">
      <c r="A590" t="s">
        <v>1405</v>
      </c>
      <c r="B590" t="s">
        <v>47</v>
      </c>
      <c r="C590" t="s">
        <v>1406</v>
      </c>
      <c r="D590" t="s">
        <v>1183</v>
      </c>
      <c r="E590" t="s">
        <v>10</v>
      </c>
      <c r="F590" t="s">
        <v>11</v>
      </c>
    </row>
    <row r="591" spans="1:6" x14ac:dyDescent="0.25">
      <c r="A591" t="s">
        <v>1407</v>
      </c>
      <c r="B591" t="s">
        <v>47</v>
      </c>
      <c r="C591" t="s">
        <v>780</v>
      </c>
      <c r="D591" t="s">
        <v>137</v>
      </c>
      <c r="E591" t="s">
        <v>10</v>
      </c>
      <c r="F591" t="s">
        <v>11</v>
      </c>
    </row>
    <row r="592" spans="1:6" x14ac:dyDescent="0.25">
      <c r="A592" t="s">
        <v>1408</v>
      </c>
      <c r="B592" t="s">
        <v>47</v>
      </c>
      <c r="C592" t="s">
        <v>1409</v>
      </c>
      <c r="D592" t="s">
        <v>177</v>
      </c>
      <c r="E592" t="s">
        <v>170</v>
      </c>
      <c r="F592" t="s">
        <v>50</v>
      </c>
    </row>
    <row r="593" spans="1:6" x14ac:dyDescent="0.25">
      <c r="A593" t="s">
        <v>1410</v>
      </c>
      <c r="B593" t="s">
        <v>47</v>
      </c>
      <c r="C593" t="s">
        <v>1411</v>
      </c>
      <c r="D593" t="s">
        <v>1412</v>
      </c>
      <c r="E593" t="s">
        <v>10</v>
      </c>
      <c r="F593" t="s">
        <v>11</v>
      </c>
    </row>
    <row r="594" spans="1:6" x14ac:dyDescent="0.25">
      <c r="A594" t="s">
        <v>1413</v>
      </c>
      <c r="B594" t="s">
        <v>47</v>
      </c>
      <c r="C594" t="s">
        <v>1414</v>
      </c>
      <c r="D594" t="s">
        <v>225</v>
      </c>
      <c r="E594" t="s">
        <v>10</v>
      </c>
      <c r="F594" t="s">
        <v>11</v>
      </c>
    </row>
    <row r="595" spans="1:6" x14ac:dyDescent="0.25">
      <c r="A595" t="s">
        <v>1415</v>
      </c>
      <c r="B595" t="s">
        <v>47</v>
      </c>
      <c r="C595" t="s">
        <v>654</v>
      </c>
      <c r="D595" t="s">
        <v>1416</v>
      </c>
      <c r="E595" t="s">
        <v>10</v>
      </c>
      <c r="F595" t="s">
        <v>11</v>
      </c>
    </row>
    <row r="596" spans="1:6" x14ac:dyDescent="0.25">
      <c r="A596" t="s">
        <v>1417</v>
      </c>
      <c r="B596" t="s">
        <v>47</v>
      </c>
      <c r="C596" t="s">
        <v>1418</v>
      </c>
      <c r="D596" t="s">
        <v>383</v>
      </c>
      <c r="E596" t="s">
        <v>294</v>
      </c>
      <c r="F596" t="s">
        <v>21</v>
      </c>
    </row>
    <row r="597" spans="1:6" x14ac:dyDescent="0.25">
      <c r="A597" t="s">
        <v>1419</v>
      </c>
      <c r="B597" t="s">
        <v>47</v>
      </c>
      <c r="C597" t="s">
        <v>1420</v>
      </c>
      <c r="D597" t="s">
        <v>1421</v>
      </c>
      <c r="E597" t="s">
        <v>787</v>
      </c>
      <c r="F597" t="s">
        <v>50</v>
      </c>
    </row>
    <row r="598" spans="1:6" x14ac:dyDescent="0.25">
      <c r="A598" t="s">
        <v>1422</v>
      </c>
      <c r="B598" t="s">
        <v>47</v>
      </c>
      <c r="C598" t="s">
        <v>1423</v>
      </c>
      <c r="D598" t="s">
        <v>1424</v>
      </c>
      <c r="E598" t="s">
        <v>10</v>
      </c>
      <c r="F598" t="s">
        <v>11</v>
      </c>
    </row>
    <row r="599" spans="1:6" x14ac:dyDescent="0.25">
      <c r="A599" t="s">
        <v>1425</v>
      </c>
      <c r="B599" t="s">
        <v>47</v>
      </c>
      <c r="C599" t="s">
        <v>1426</v>
      </c>
      <c r="E599" t="s">
        <v>20</v>
      </c>
      <c r="F599" t="s">
        <v>21</v>
      </c>
    </row>
    <row r="600" spans="1:6" x14ac:dyDescent="0.25">
      <c r="A600" t="s">
        <v>1427</v>
      </c>
      <c r="B600" t="s">
        <v>47</v>
      </c>
      <c r="C600" t="s">
        <v>1428</v>
      </c>
      <c r="D600" t="s">
        <v>1429</v>
      </c>
      <c r="E600" t="s">
        <v>10</v>
      </c>
      <c r="F600" t="s">
        <v>11</v>
      </c>
    </row>
    <row r="601" spans="1:6" x14ac:dyDescent="0.25">
      <c r="A601" t="s">
        <v>1430</v>
      </c>
      <c r="B601" t="s">
        <v>47</v>
      </c>
      <c r="C601" t="s">
        <v>1431</v>
      </c>
      <c r="D601" t="s">
        <v>148</v>
      </c>
      <c r="E601" t="s">
        <v>554</v>
      </c>
      <c r="F601" t="s">
        <v>526</v>
      </c>
    </row>
    <row r="602" spans="1:6" x14ac:dyDescent="0.25">
      <c r="A602" t="s">
        <v>1432</v>
      </c>
      <c r="B602" t="s">
        <v>47</v>
      </c>
      <c r="C602" t="s">
        <v>1433</v>
      </c>
      <c r="D602" t="s">
        <v>1434</v>
      </c>
      <c r="E602" t="s">
        <v>20</v>
      </c>
      <c r="F602" t="s">
        <v>21</v>
      </c>
    </row>
    <row r="603" spans="1:6" x14ac:dyDescent="0.25">
      <c r="A603" t="s">
        <v>1435</v>
      </c>
      <c r="B603" t="s">
        <v>47</v>
      </c>
      <c r="C603" t="s">
        <v>1436</v>
      </c>
      <c r="D603" t="s">
        <v>1437</v>
      </c>
      <c r="E603" t="s">
        <v>1438</v>
      </c>
      <c r="F603" t="s">
        <v>50</v>
      </c>
    </row>
    <row r="604" spans="1:6" x14ac:dyDescent="0.25">
      <c r="A604" t="s">
        <v>1439</v>
      </c>
      <c r="B604" t="s">
        <v>47</v>
      </c>
      <c r="C604" t="s">
        <v>1440</v>
      </c>
      <c r="D604" t="s">
        <v>454</v>
      </c>
      <c r="E604" t="s">
        <v>294</v>
      </c>
      <c r="F604" t="s">
        <v>21</v>
      </c>
    </row>
    <row r="605" spans="1:6" x14ac:dyDescent="0.25">
      <c r="A605" t="s">
        <v>1441</v>
      </c>
      <c r="B605" t="s">
        <v>47</v>
      </c>
      <c r="C605" t="s">
        <v>1442</v>
      </c>
      <c r="D605" t="s">
        <v>1443</v>
      </c>
      <c r="E605" t="s">
        <v>1035</v>
      </c>
      <c r="F605" t="s">
        <v>21</v>
      </c>
    </row>
    <row r="606" spans="1:6" x14ac:dyDescent="0.25">
      <c r="A606" t="s">
        <v>1444</v>
      </c>
      <c r="B606" t="s">
        <v>47</v>
      </c>
      <c r="C606" t="s">
        <v>785</v>
      </c>
      <c r="D606" t="s">
        <v>1329</v>
      </c>
      <c r="E606" t="s">
        <v>554</v>
      </c>
      <c r="F606" t="s">
        <v>526</v>
      </c>
    </row>
    <row r="607" spans="1:6" x14ac:dyDescent="0.25">
      <c r="A607" t="s">
        <v>1445</v>
      </c>
      <c r="B607" t="s">
        <v>47</v>
      </c>
      <c r="C607" t="s">
        <v>1446</v>
      </c>
      <c r="D607" t="s">
        <v>1042</v>
      </c>
      <c r="E607" t="s">
        <v>10</v>
      </c>
      <c r="F607" t="s">
        <v>11</v>
      </c>
    </row>
    <row r="608" spans="1:6" x14ac:dyDescent="0.25">
      <c r="A608" t="s">
        <v>1447</v>
      </c>
      <c r="B608" t="s">
        <v>47</v>
      </c>
      <c r="C608" t="s">
        <v>1055</v>
      </c>
      <c r="D608" t="s">
        <v>576</v>
      </c>
      <c r="E608" t="s">
        <v>10</v>
      </c>
      <c r="F608" t="s">
        <v>11</v>
      </c>
    </row>
    <row r="609" spans="1:6" x14ac:dyDescent="0.25">
      <c r="A609" t="s">
        <v>1448</v>
      </c>
      <c r="B609" t="s">
        <v>47</v>
      </c>
      <c r="C609" t="s">
        <v>1449</v>
      </c>
      <c r="D609" t="s">
        <v>424</v>
      </c>
      <c r="E609" t="s">
        <v>170</v>
      </c>
      <c r="F609" t="s">
        <v>50</v>
      </c>
    </row>
    <row r="610" spans="1:6" x14ac:dyDescent="0.25">
      <c r="A610" t="s">
        <v>1450</v>
      </c>
      <c r="B610" t="s">
        <v>47</v>
      </c>
      <c r="C610" t="s">
        <v>1276</v>
      </c>
      <c r="D610" t="s">
        <v>1451</v>
      </c>
      <c r="E610" t="s">
        <v>10</v>
      </c>
      <c r="F610" t="s">
        <v>11</v>
      </c>
    </row>
    <row r="611" spans="1:6" x14ac:dyDescent="0.25">
      <c r="A611" t="s">
        <v>1452</v>
      </c>
      <c r="B611" t="s">
        <v>47</v>
      </c>
      <c r="C611" t="s">
        <v>1453</v>
      </c>
      <c r="D611" t="s">
        <v>1454</v>
      </c>
      <c r="E611" t="s">
        <v>10</v>
      </c>
      <c r="F611" t="s">
        <v>11</v>
      </c>
    </row>
    <row r="612" spans="1:6" x14ac:dyDescent="0.25">
      <c r="A612" t="s">
        <v>1455</v>
      </c>
      <c r="B612" t="s">
        <v>47</v>
      </c>
      <c r="C612" t="s">
        <v>1456</v>
      </c>
      <c r="D612" t="s">
        <v>254</v>
      </c>
      <c r="E612" t="s">
        <v>10</v>
      </c>
      <c r="F612" t="s">
        <v>11</v>
      </c>
    </row>
    <row r="613" spans="1:6" x14ac:dyDescent="0.25">
      <c r="A613" t="s">
        <v>1457</v>
      </c>
      <c r="B613" t="s">
        <v>47</v>
      </c>
      <c r="C613" t="s">
        <v>1458</v>
      </c>
      <c r="D613" t="s">
        <v>1102</v>
      </c>
      <c r="E613" t="s">
        <v>10</v>
      </c>
      <c r="F613" t="s">
        <v>11</v>
      </c>
    </row>
    <row r="614" spans="1:6" x14ac:dyDescent="0.25">
      <c r="A614" t="s">
        <v>1459</v>
      </c>
      <c r="B614" t="s">
        <v>47</v>
      </c>
      <c r="C614" t="s">
        <v>1460</v>
      </c>
      <c r="D614" t="s">
        <v>15</v>
      </c>
      <c r="E614" t="s">
        <v>10</v>
      </c>
      <c r="F614" t="s">
        <v>11</v>
      </c>
    </row>
    <row r="615" spans="1:6" x14ac:dyDescent="0.25">
      <c r="A615" t="s">
        <v>1461</v>
      </c>
      <c r="B615" t="s">
        <v>47</v>
      </c>
      <c r="C615" t="s">
        <v>1088</v>
      </c>
      <c r="D615" t="s">
        <v>1462</v>
      </c>
      <c r="E615" t="s">
        <v>20</v>
      </c>
      <c r="F615" t="s">
        <v>21</v>
      </c>
    </row>
    <row r="616" spans="1:6" x14ac:dyDescent="0.25">
      <c r="A616" t="s">
        <v>1463</v>
      </c>
      <c r="B616" t="s">
        <v>47</v>
      </c>
      <c r="C616" t="s">
        <v>47</v>
      </c>
      <c r="E616" t="s">
        <v>20</v>
      </c>
      <c r="F616" t="s">
        <v>21</v>
      </c>
    </row>
    <row r="617" spans="1:6" x14ac:dyDescent="0.25">
      <c r="A617" t="s">
        <v>1464</v>
      </c>
      <c r="B617" t="s">
        <v>47</v>
      </c>
      <c r="C617" t="s">
        <v>1242</v>
      </c>
      <c r="D617" t="s">
        <v>1465</v>
      </c>
      <c r="E617" t="s">
        <v>20</v>
      </c>
      <c r="F617" t="s">
        <v>21</v>
      </c>
    </row>
    <row r="618" spans="1:6" x14ac:dyDescent="0.25">
      <c r="A618" t="s">
        <v>1466</v>
      </c>
      <c r="B618" t="s">
        <v>47</v>
      </c>
      <c r="C618" t="s">
        <v>125</v>
      </c>
      <c r="D618" t="s">
        <v>1467</v>
      </c>
      <c r="E618" t="s">
        <v>20</v>
      </c>
      <c r="F618" t="s">
        <v>21</v>
      </c>
    </row>
    <row r="619" spans="1:6" x14ac:dyDescent="0.25">
      <c r="A619" t="s">
        <v>1468</v>
      </c>
      <c r="B619" t="s">
        <v>47</v>
      </c>
      <c r="C619" t="s">
        <v>1469</v>
      </c>
      <c r="D619" t="s">
        <v>1470</v>
      </c>
      <c r="E619" t="s">
        <v>10</v>
      </c>
      <c r="F619" t="s">
        <v>11</v>
      </c>
    </row>
    <row r="620" spans="1:6" x14ac:dyDescent="0.25">
      <c r="A620" t="s">
        <v>1471</v>
      </c>
      <c r="B620" t="s">
        <v>47</v>
      </c>
      <c r="C620" t="s">
        <v>47</v>
      </c>
      <c r="D620" t="s">
        <v>1472</v>
      </c>
      <c r="E620" t="s">
        <v>20</v>
      </c>
      <c r="F620" t="s">
        <v>21</v>
      </c>
    </row>
    <row r="621" spans="1:6" x14ac:dyDescent="0.25">
      <c r="A621" t="s">
        <v>1473</v>
      </c>
      <c r="B621" t="s">
        <v>47</v>
      </c>
      <c r="C621" t="s">
        <v>1027</v>
      </c>
      <c r="D621" t="s">
        <v>177</v>
      </c>
      <c r="E621" t="s">
        <v>187</v>
      </c>
      <c r="F621" t="s">
        <v>50</v>
      </c>
    </row>
    <row r="622" spans="1:6" x14ac:dyDescent="0.25">
      <c r="A622" t="s">
        <v>1474</v>
      </c>
      <c r="B622" t="s">
        <v>47</v>
      </c>
      <c r="C622" t="s">
        <v>1475</v>
      </c>
      <c r="D622" t="s">
        <v>1476</v>
      </c>
      <c r="E622" t="s">
        <v>20</v>
      </c>
      <c r="F622" t="s">
        <v>21</v>
      </c>
    </row>
    <row r="623" spans="1:6" x14ac:dyDescent="0.25">
      <c r="A623" t="s">
        <v>1477</v>
      </c>
      <c r="B623" t="s">
        <v>47</v>
      </c>
      <c r="C623" t="s">
        <v>1478</v>
      </c>
      <c r="D623" t="s">
        <v>1479</v>
      </c>
      <c r="E623" t="s">
        <v>10</v>
      </c>
      <c r="F623" t="s">
        <v>11</v>
      </c>
    </row>
    <row r="624" spans="1:6" x14ac:dyDescent="0.25">
      <c r="A624" t="s">
        <v>1480</v>
      </c>
      <c r="B624" t="s">
        <v>47</v>
      </c>
      <c r="C624" t="s">
        <v>1481</v>
      </c>
      <c r="D624" t="s">
        <v>1482</v>
      </c>
      <c r="E624" t="s">
        <v>187</v>
      </c>
      <c r="F624" t="s">
        <v>50</v>
      </c>
    </row>
    <row r="625" spans="1:6" x14ac:dyDescent="0.25">
      <c r="A625" t="s">
        <v>1483</v>
      </c>
      <c r="B625" t="s">
        <v>47</v>
      </c>
      <c r="C625" t="s">
        <v>1484</v>
      </c>
      <c r="D625" t="s">
        <v>1485</v>
      </c>
      <c r="E625" t="s">
        <v>294</v>
      </c>
      <c r="F625" t="s">
        <v>21</v>
      </c>
    </row>
    <row r="626" spans="1:6" x14ac:dyDescent="0.25">
      <c r="A626" t="s">
        <v>1486</v>
      </c>
      <c r="B626" t="s">
        <v>47</v>
      </c>
      <c r="C626" t="s">
        <v>224</v>
      </c>
      <c r="D626" t="s">
        <v>1487</v>
      </c>
      <c r="E626" t="s">
        <v>1488</v>
      </c>
      <c r="F626" t="s">
        <v>21</v>
      </c>
    </row>
    <row r="627" spans="1:6" x14ac:dyDescent="0.25">
      <c r="A627" t="s">
        <v>1489</v>
      </c>
      <c r="B627" t="s">
        <v>47</v>
      </c>
      <c r="C627" t="s">
        <v>498</v>
      </c>
      <c r="D627" t="s">
        <v>1490</v>
      </c>
      <c r="E627" t="s">
        <v>210</v>
      </c>
      <c r="F627" t="s">
        <v>50</v>
      </c>
    </row>
    <row r="628" spans="1:6" x14ac:dyDescent="0.25">
      <c r="A628" t="s">
        <v>1491</v>
      </c>
      <c r="B628" t="s">
        <v>47</v>
      </c>
      <c r="C628" s="1">
        <v>0</v>
      </c>
      <c r="D628" t="s">
        <v>1492</v>
      </c>
      <c r="E628" t="s">
        <v>20</v>
      </c>
      <c r="F628" t="s">
        <v>21</v>
      </c>
    </row>
    <row r="629" spans="1:6" x14ac:dyDescent="0.25">
      <c r="A629" t="s">
        <v>1493</v>
      </c>
      <c r="B629" t="s">
        <v>47</v>
      </c>
      <c r="C629" t="s">
        <v>125</v>
      </c>
      <c r="D629" t="s">
        <v>1494</v>
      </c>
      <c r="E629" t="s">
        <v>20</v>
      </c>
      <c r="F629" t="s">
        <v>21</v>
      </c>
    </row>
    <row r="630" spans="1:6" x14ac:dyDescent="0.25">
      <c r="A630" t="s">
        <v>1495</v>
      </c>
      <c r="B630" t="s">
        <v>47</v>
      </c>
      <c r="C630" t="s">
        <v>1382</v>
      </c>
      <c r="D630" t="s">
        <v>1496</v>
      </c>
      <c r="E630" t="s">
        <v>10</v>
      </c>
      <c r="F630" t="s">
        <v>11</v>
      </c>
    </row>
    <row r="631" spans="1:6" x14ac:dyDescent="0.25">
      <c r="A631" t="s">
        <v>1497</v>
      </c>
      <c r="B631" t="s">
        <v>47</v>
      </c>
      <c r="C631" t="s">
        <v>1498</v>
      </c>
      <c r="D631" t="s">
        <v>1499</v>
      </c>
      <c r="E631" t="s">
        <v>49</v>
      </c>
      <c r="F631" t="s">
        <v>50</v>
      </c>
    </row>
    <row r="632" spans="1:6" x14ac:dyDescent="0.25">
      <c r="A632" t="s">
        <v>1500</v>
      </c>
      <c r="B632" t="s">
        <v>47</v>
      </c>
      <c r="C632" t="s">
        <v>1501</v>
      </c>
      <c r="D632" t="s">
        <v>1502</v>
      </c>
      <c r="E632" t="s">
        <v>652</v>
      </c>
      <c r="F632" t="s">
        <v>50</v>
      </c>
    </row>
    <row r="633" spans="1:6" x14ac:dyDescent="0.25">
      <c r="A633" t="s">
        <v>1503</v>
      </c>
      <c r="B633" t="s">
        <v>47</v>
      </c>
      <c r="C633" t="s">
        <v>1504</v>
      </c>
      <c r="D633" t="s">
        <v>1505</v>
      </c>
      <c r="E633" t="s">
        <v>10</v>
      </c>
      <c r="F633" t="s">
        <v>11</v>
      </c>
    </row>
    <row r="634" spans="1:6" x14ac:dyDescent="0.25">
      <c r="A634" t="s">
        <v>1506</v>
      </c>
      <c r="B634" t="s">
        <v>47</v>
      </c>
      <c r="C634" t="s">
        <v>193</v>
      </c>
      <c r="D634" t="s">
        <v>1507</v>
      </c>
      <c r="E634" t="s">
        <v>170</v>
      </c>
      <c r="F634" t="s">
        <v>50</v>
      </c>
    </row>
    <row r="635" spans="1:6" x14ac:dyDescent="0.25">
      <c r="A635" t="s">
        <v>1508</v>
      </c>
      <c r="B635" t="s">
        <v>47</v>
      </c>
      <c r="C635" t="s">
        <v>1205</v>
      </c>
      <c r="D635" t="s">
        <v>1509</v>
      </c>
      <c r="E635" t="s">
        <v>10</v>
      </c>
      <c r="F635" t="s">
        <v>11</v>
      </c>
    </row>
    <row r="636" spans="1:6" x14ac:dyDescent="0.25">
      <c r="A636" t="s">
        <v>1510</v>
      </c>
      <c r="B636" t="s">
        <v>47</v>
      </c>
      <c r="C636" t="s">
        <v>1511</v>
      </c>
      <c r="D636" t="s">
        <v>1512</v>
      </c>
      <c r="E636" t="s">
        <v>10</v>
      </c>
      <c r="F636" t="s">
        <v>11</v>
      </c>
    </row>
    <row r="637" spans="1:6" x14ac:dyDescent="0.25">
      <c r="A637" t="s">
        <v>1513</v>
      </c>
      <c r="B637" t="s">
        <v>47</v>
      </c>
      <c r="C637" t="s">
        <v>1514</v>
      </c>
      <c r="D637" t="s">
        <v>1515</v>
      </c>
      <c r="E637" t="s">
        <v>10</v>
      </c>
      <c r="F637" t="s">
        <v>11</v>
      </c>
    </row>
    <row r="638" spans="1:6" x14ac:dyDescent="0.25">
      <c r="A638" t="s">
        <v>1516</v>
      </c>
      <c r="B638" t="s">
        <v>47</v>
      </c>
      <c r="C638" t="s">
        <v>1517</v>
      </c>
      <c r="D638" t="s">
        <v>1518</v>
      </c>
      <c r="E638" t="s">
        <v>10</v>
      </c>
      <c r="F638" t="s">
        <v>11</v>
      </c>
    </row>
    <row r="639" spans="1:6" x14ac:dyDescent="0.25">
      <c r="A639" t="s">
        <v>1519</v>
      </c>
      <c r="B639" t="s">
        <v>47</v>
      </c>
      <c r="C639" t="s">
        <v>1006</v>
      </c>
      <c r="D639" t="s">
        <v>1520</v>
      </c>
      <c r="E639" t="s">
        <v>384</v>
      </c>
      <c r="F639" t="s">
        <v>21</v>
      </c>
    </row>
    <row r="640" spans="1:6" x14ac:dyDescent="0.25">
      <c r="A640" t="s">
        <v>1521</v>
      </c>
      <c r="B640" t="s">
        <v>47</v>
      </c>
      <c r="C640" t="s">
        <v>1522</v>
      </c>
      <c r="D640" t="s">
        <v>1523</v>
      </c>
      <c r="E640" t="s">
        <v>10</v>
      </c>
      <c r="F640" t="s">
        <v>11</v>
      </c>
    </row>
    <row r="641" spans="1:6" x14ac:dyDescent="0.25">
      <c r="A641" t="s">
        <v>1524</v>
      </c>
      <c r="B641" t="s">
        <v>47</v>
      </c>
      <c r="C641" t="s">
        <v>1525</v>
      </c>
      <c r="D641" t="s">
        <v>1526</v>
      </c>
      <c r="E641" t="s">
        <v>10</v>
      </c>
      <c r="F641" t="s">
        <v>11</v>
      </c>
    </row>
    <row r="642" spans="1:6" x14ac:dyDescent="0.25">
      <c r="A642" t="s">
        <v>1527</v>
      </c>
      <c r="B642" t="s">
        <v>47</v>
      </c>
      <c r="C642" t="s">
        <v>1453</v>
      </c>
      <c r="D642" t="s">
        <v>1528</v>
      </c>
      <c r="E642" t="s">
        <v>554</v>
      </c>
      <c r="F642" t="s">
        <v>526</v>
      </c>
    </row>
    <row r="643" spans="1:6" x14ac:dyDescent="0.25">
      <c r="A643" t="s">
        <v>1529</v>
      </c>
      <c r="B643" t="s">
        <v>47</v>
      </c>
      <c r="C643" t="s">
        <v>623</v>
      </c>
      <c r="D643" t="s">
        <v>1530</v>
      </c>
      <c r="E643" t="s">
        <v>20</v>
      </c>
      <c r="F643" t="s">
        <v>21</v>
      </c>
    </row>
    <row r="644" spans="1:6" x14ac:dyDescent="0.25">
      <c r="A644" t="s">
        <v>1531</v>
      </c>
      <c r="B644" t="s">
        <v>47</v>
      </c>
      <c r="C644" t="s">
        <v>1532</v>
      </c>
      <c r="D644" t="s">
        <v>1533</v>
      </c>
      <c r="E644" t="s">
        <v>44</v>
      </c>
      <c r="F644" t="s">
        <v>21</v>
      </c>
    </row>
    <row r="645" spans="1:6" x14ac:dyDescent="0.25">
      <c r="A645" t="s">
        <v>1534</v>
      </c>
      <c r="B645" t="s">
        <v>47</v>
      </c>
      <c r="C645" t="s">
        <v>1076</v>
      </c>
      <c r="D645" t="s">
        <v>1535</v>
      </c>
      <c r="E645" t="s">
        <v>10</v>
      </c>
      <c r="F645" t="s">
        <v>11</v>
      </c>
    </row>
    <row r="646" spans="1:6" x14ac:dyDescent="0.25">
      <c r="A646" t="s">
        <v>1536</v>
      </c>
      <c r="B646" t="s">
        <v>47</v>
      </c>
      <c r="C646" t="s">
        <v>1537</v>
      </c>
      <c r="D646" t="s">
        <v>1012</v>
      </c>
      <c r="E646" t="s">
        <v>10</v>
      </c>
      <c r="F646" t="s">
        <v>11</v>
      </c>
    </row>
    <row r="647" spans="1:6" x14ac:dyDescent="0.25">
      <c r="A647" t="s">
        <v>1538</v>
      </c>
      <c r="B647" t="s">
        <v>47</v>
      </c>
      <c r="C647" t="s">
        <v>1539</v>
      </c>
      <c r="D647" t="s">
        <v>1540</v>
      </c>
      <c r="E647" t="s">
        <v>648</v>
      </c>
      <c r="F647" t="s">
        <v>50</v>
      </c>
    </row>
    <row r="648" spans="1:6" x14ac:dyDescent="0.25">
      <c r="A648" t="s">
        <v>1541</v>
      </c>
      <c r="B648" t="s">
        <v>47</v>
      </c>
      <c r="C648" t="s">
        <v>1205</v>
      </c>
      <c r="D648" t="s">
        <v>1542</v>
      </c>
      <c r="E648" t="s">
        <v>10</v>
      </c>
      <c r="F648" t="s">
        <v>11</v>
      </c>
    </row>
    <row r="649" spans="1:6" x14ac:dyDescent="0.25">
      <c r="A649" t="s">
        <v>1543</v>
      </c>
      <c r="B649" t="s">
        <v>47</v>
      </c>
      <c r="C649" t="s">
        <v>645</v>
      </c>
      <c r="D649" t="s">
        <v>254</v>
      </c>
      <c r="E649" t="s">
        <v>10</v>
      </c>
      <c r="F649" t="s">
        <v>11</v>
      </c>
    </row>
    <row r="650" spans="1:6" x14ac:dyDescent="0.25">
      <c r="A650" t="s">
        <v>1544</v>
      </c>
      <c r="B650" t="s">
        <v>47</v>
      </c>
      <c r="C650" t="s">
        <v>1545</v>
      </c>
      <c r="D650" t="s">
        <v>1546</v>
      </c>
      <c r="E650" t="s">
        <v>10</v>
      </c>
      <c r="F650" t="s">
        <v>11</v>
      </c>
    </row>
    <row r="651" spans="1:6" x14ac:dyDescent="0.25">
      <c r="A651" t="s">
        <v>1547</v>
      </c>
      <c r="B651" t="s">
        <v>47</v>
      </c>
      <c r="C651" t="s">
        <v>1238</v>
      </c>
      <c r="D651" t="s">
        <v>66</v>
      </c>
      <c r="E651" t="s">
        <v>10</v>
      </c>
      <c r="F651" t="s">
        <v>11</v>
      </c>
    </row>
    <row r="652" spans="1:6" x14ac:dyDescent="0.25">
      <c r="A652" t="s">
        <v>1548</v>
      </c>
      <c r="B652" t="s">
        <v>47</v>
      </c>
      <c r="C652" t="s">
        <v>1549</v>
      </c>
      <c r="D652" t="s">
        <v>1550</v>
      </c>
      <c r="E652" t="s">
        <v>10</v>
      </c>
      <c r="F652" t="s">
        <v>11</v>
      </c>
    </row>
    <row r="653" spans="1:6" x14ac:dyDescent="0.25">
      <c r="A653" t="s">
        <v>1551</v>
      </c>
      <c r="B653" t="s">
        <v>47</v>
      </c>
      <c r="C653" t="s">
        <v>986</v>
      </c>
      <c r="D653" t="s">
        <v>1552</v>
      </c>
      <c r="E653" t="s">
        <v>10</v>
      </c>
      <c r="F653" t="s">
        <v>11</v>
      </c>
    </row>
    <row r="654" spans="1:6" x14ac:dyDescent="0.25">
      <c r="A654" t="s">
        <v>1553</v>
      </c>
      <c r="B654" t="s">
        <v>47</v>
      </c>
      <c r="C654" t="s">
        <v>1554</v>
      </c>
      <c r="D654" t="s">
        <v>1555</v>
      </c>
      <c r="E654" t="s">
        <v>10</v>
      </c>
      <c r="F654" t="s">
        <v>11</v>
      </c>
    </row>
    <row r="655" spans="1:6" x14ac:dyDescent="0.25">
      <c r="A655" t="s">
        <v>1556</v>
      </c>
      <c r="B655" t="s">
        <v>47</v>
      </c>
      <c r="C655" t="s">
        <v>602</v>
      </c>
      <c r="D655" t="s">
        <v>209</v>
      </c>
      <c r="E655" t="s">
        <v>10</v>
      </c>
      <c r="F655" t="s">
        <v>11</v>
      </c>
    </row>
    <row r="656" spans="1:6" x14ac:dyDescent="0.25">
      <c r="A656" t="s">
        <v>1557</v>
      </c>
      <c r="B656" t="s">
        <v>47</v>
      </c>
      <c r="C656" t="s">
        <v>1159</v>
      </c>
      <c r="D656" t="s">
        <v>641</v>
      </c>
      <c r="E656" t="s">
        <v>10</v>
      </c>
      <c r="F656" t="s">
        <v>11</v>
      </c>
    </row>
    <row r="657" spans="1:6" x14ac:dyDescent="0.25">
      <c r="A657" t="s">
        <v>1558</v>
      </c>
      <c r="B657" t="s">
        <v>47</v>
      </c>
      <c r="C657" t="s">
        <v>691</v>
      </c>
      <c r="D657" t="s">
        <v>1064</v>
      </c>
      <c r="E657" t="s">
        <v>1008</v>
      </c>
      <c r="F657" t="s">
        <v>11</v>
      </c>
    </row>
    <row r="658" spans="1:6" x14ac:dyDescent="0.25">
      <c r="A658" t="s">
        <v>1559</v>
      </c>
      <c r="B658" t="s">
        <v>47</v>
      </c>
      <c r="C658" t="s">
        <v>1409</v>
      </c>
      <c r="D658" t="s">
        <v>66</v>
      </c>
      <c r="E658" t="s">
        <v>10</v>
      </c>
      <c r="F658" t="s">
        <v>11</v>
      </c>
    </row>
    <row r="659" spans="1:6" x14ac:dyDescent="0.25">
      <c r="A659" t="s">
        <v>1560</v>
      </c>
      <c r="B659" t="s">
        <v>47</v>
      </c>
      <c r="C659" s="1">
        <v>0</v>
      </c>
      <c r="E659" t="s">
        <v>10</v>
      </c>
      <c r="F659" t="s">
        <v>11</v>
      </c>
    </row>
    <row r="660" spans="1:6" x14ac:dyDescent="0.25">
      <c r="A660" t="s">
        <v>1561</v>
      </c>
      <c r="B660" t="s">
        <v>47</v>
      </c>
      <c r="C660" t="s">
        <v>1562</v>
      </c>
      <c r="D660" t="s">
        <v>1282</v>
      </c>
      <c r="E660" t="s">
        <v>10</v>
      </c>
      <c r="F660" t="s">
        <v>11</v>
      </c>
    </row>
    <row r="661" spans="1:6" x14ac:dyDescent="0.25">
      <c r="A661" t="s">
        <v>1563</v>
      </c>
      <c r="B661" t="s">
        <v>47</v>
      </c>
      <c r="C661" t="s">
        <v>516</v>
      </c>
      <c r="D661" t="s">
        <v>254</v>
      </c>
      <c r="E661" t="s">
        <v>1564</v>
      </c>
      <c r="F661" t="s">
        <v>109</v>
      </c>
    </row>
    <row r="662" spans="1:6" x14ac:dyDescent="0.25">
      <c r="A662" t="s">
        <v>1565</v>
      </c>
      <c r="B662" t="s">
        <v>47</v>
      </c>
      <c r="C662" t="s">
        <v>1566</v>
      </c>
      <c r="D662" t="s">
        <v>254</v>
      </c>
      <c r="E662" t="s">
        <v>10</v>
      </c>
      <c r="F662" t="s">
        <v>11</v>
      </c>
    </row>
    <row r="663" spans="1:6" x14ac:dyDescent="0.25">
      <c r="A663" t="s">
        <v>1567</v>
      </c>
      <c r="B663" t="s">
        <v>47</v>
      </c>
      <c r="C663" t="s">
        <v>1442</v>
      </c>
      <c r="D663" t="s">
        <v>159</v>
      </c>
      <c r="E663" t="s">
        <v>10</v>
      </c>
      <c r="F663" t="s">
        <v>11</v>
      </c>
    </row>
    <row r="664" spans="1:6" x14ac:dyDescent="0.25">
      <c r="A664" t="s">
        <v>1568</v>
      </c>
      <c r="B664" t="s">
        <v>47</v>
      </c>
      <c r="C664" t="s">
        <v>1569</v>
      </c>
      <c r="D664" t="s">
        <v>254</v>
      </c>
      <c r="E664" t="s">
        <v>10</v>
      </c>
      <c r="F664" t="s">
        <v>11</v>
      </c>
    </row>
    <row r="665" spans="1:6" x14ac:dyDescent="0.25">
      <c r="A665" t="s">
        <v>1570</v>
      </c>
      <c r="B665" t="s">
        <v>47</v>
      </c>
      <c r="C665" t="s">
        <v>1390</v>
      </c>
      <c r="D665" t="s">
        <v>254</v>
      </c>
      <c r="E665" t="s">
        <v>10</v>
      </c>
      <c r="F665" t="s">
        <v>11</v>
      </c>
    </row>
    <row r="666" spans="1:6" x14ac:dyDescent="0.25">
      <c r="A666" t="s">
        <v>1571</v>
      </c>
      <c r="B666" t="s">
        <v>47</v>
      </c>
      <c r="C666" t="s">
        <v>1572</v>
      </c>
      <c r="D666" t="s">
        <v>1573</v>
      </c>
      <c r="E666" t="s">
        <v>187</v>
      </c>
      <c r="F666" t="s">
        <v>50</v>
      </c>
    </row>
    <row r="667" spans="1:6" x14ac:dyDescent="0.25">
      <c r="A667" t="s">
        <v>1574</v>
      </c>
      <c r="B667" t="s">
        <v>47</v>
      </c>
      <c r="C667" t="s">
        <v>764</v>
      </c>
      <c r="D667" t="s">
        <v>1575</v>
      </c>
      <c r="E667" t="s">
        <v>10</v>
      </c>
      <c r="F667" t="s">
        <v>11</v>
      </c>
    </row>
    <row r="668" spans="1:6" x14ac:dyDescent="0.25">
      <c r="A668" t="s">
        <v>1576</v>
      </c>
      <c r="B668" t="s">
        <v>47</v>
      </c>
      <c r="C668" t="s">
        <v>1375</v>
      </c>
      <c r="D668" t="s">
        <v>1577</v>
      </c>
      <c r="E668" t="s">
        <v>1578</v>
      </c>
      <c r="F668" t="s">
        <v>50</v>
      </c>
    </row>
    <row r="669" spans="1:6" x14ac:dyDescent="0.25">
      <c r="A669" t="s">
        <v>1579</v>
      </c>
      <c r="B669" t="s">
        <v>47</v>
      </c>
      <c r="C669" t="s">
        <v>220</v>
      </c>
      <c r="D669" t="s">
        <v>1580</v>
      </c>
      <c r="E669" t="s">
        <v>1035</v>
      </c>
      <c r="F669" t="s">
        <v>21</v>
      </c>
    </row>
    <row r="670" spans="1:6" x14ac:dyDescent="0.25">
      <c r="A670" t="s">
        <v>1581</v>
      </c>
      <c r="B670" t="s">
        <v>47</v>
      </c>
      <c r="C670" t="s">
        <v>482</v>
      </c>
      <c r="D670" t="s">
        <v>1582</v>
      </c>
      <c r="E670" t="s">
        <v>20</v>
      </c>
      <c r="F670" t="s">
        <v>21</v>
      </c>
    </row>
    <row r="671" spans="1:6" x14ac:dyDescent="0.25">
      <c r="A671" t="s">
        <v>1583</v>
      </c>
      <c r="B671" t="s">
        <v>47</v>
      </c>
      <c r="C671" t="s">
        <v>558</v>
      </c>
      <c r="D671" t="s">
        <v>1584</v>
      </c>
      <c r="E671" t="s">
        <v>20</v>
      </c>
      <c r="F671" t="s">
        <v>21</v>
      </c>
    </row>
    <row r="672" spans="1:6" x14ac:dyDescent="0.25">
      <c r="A672" t="s">
        <v>1585</v>
      </c>
      <c r="B672" t="s">
        <v>47</v>
      </c>
      <c r="C672" t="s">
        <v>53</v>
      </c>
      <c r="D672" t="s">
        <v>161</v>
      </c>
      <c r="E672" t="s">
        <v>10</v>
      </c>
      <c r="F672" t="s">
        <v>11</v>
      </c>
    </row>
    <row r="673" spans="1:6" x14ac:dyDescent="0.25">
      <c r="A673" t="s">
        <v>1586</v>
      </c>
      <c r="B673" t="s">
        <v>47</v>
      </c>
      <c r="C673" t="s">
        <v>1587</v>
      </c>
      <c r="D673" t="s">
        <v>1588</v>
      </c>
      <c r="E673" t="s">
        <v>1589</v>
      </c>
      <c r="F673" t="s">
        <v>50</v>
      </c>
    </row>
    <row r="674" spans="1:6" x14ac:dyDescent="0.25">
      <c r="A674" t="s">
        <v>1590</v>
      </c>
      <c r="B674" t="s">
        <v>47</v>
      </c>
      <c r="C674" t="s">
        <v>834</v>
      </c>
      <c r="D674" t="s">
        <v>1591</v>
      </c>
      <c r="E674" t="s">
        <v>10</v>
      </c>
      <c r="F674" t="s">
        <v>11</v>
      </c>
    </row>
    <row r="675" spans="1:6" x14ac:dyDescent="0.25">
      <c r="A675" t="s">
        <v>1592</v>
      </c>
      <c r="B675" t="s">
        <v>47</v>
      </c>
      <c r="C675" t="s">
        <v>1593</v>
      </c>
      <c r="D675" t="s">
        <v>506</v>
      </c>
      <c r="E675" t="s">
        <v>49</v>
      </c>
      <c r="F675" t="s">
        <v>50</v>
      </c>
    </row>
    <row r="676" spans="1:6" x14ac:dyDescent="0.25">
      <c r="A676" t="s">
        <v>1594</v>
      </c>
      <c r="B676" t="s">
        <v>47</v>
      </c>
      <c r="C676" t="s">
        <v>1006</v>
      </c>
      <c r="D676" t="s">
        <v>1595</v>
      </c>
      <c r="E676" t="s">
        <v>10</v>
      </c>
      <c r="F676" t="s">
        <v>11</v>
      </c>
    </row>
    <row r="677" spans="1:6" x14ac:dyDescent="0.25">
      <c r="A677" t="s">
        <v>1596</v>
      </c>
      <c r="B677" t="s">
        <v>47</v>
      </c>
      <c r="C677" t="s">
        <v>1597</v>
      </c>
      <c r="D677" t="s">
        <v>1598</v>
      </c>
      <c r="E677" t="s">
        <v>44</v>
      </c>
      <c r="F677" t="s">
        <v>21</v>
      </c>
    </row>
    <row r="678" spans="1:6" x14ac:dyDescent="0.25">
      <c r="A678" t="s">
        <v>1599</v>
      </c>
      <c r="B678" t="s">
        <v>47</v>
      </c>
      <c r="C678" t="s">
        <v>1363</v>
      </c>
      <c r="D678" t="s">
        <v>292</v>
      </c>
      <c r="E678" t="s">
        <v>10</v>
      </c>
      <c r="F678" t="s">
        <v>11</v>
      </c>
    </row>
    <row r="679" spans="1:6" x14ac:dyDescent="0.25">
      <c r="A679" t="s">
        <v>1600</v>
      </c>
      <c r="B679" t="s">
        <v>47</v>
      </c>
      <c r="C679" t="s">
        <v>623</v>
      </c>
      <c r="D679" t="s">
        <v>1601</v>
      </c>
      <c r="E679" t="s">
        <v>10</v>
      </c>
      <c r="F679" t="s">
        <v>11</v>
      </c>
    </row>
    <row r="680" spans="1:6" x14ac:dyDescent="0.25">
      <c r="A680" t="s">
        <v>1602</v>
      </c>
      <c r="B680" t="s">
        <v>47</v>
      </c>
      <c r="C680" t="s">
        <v>1603</v>
      </c>
      <c r="D680" t="s">
        <v>79</v>
      </c>
      <c r="E680" t="s">
        <v>10</v>
      </c>
      <c r="F680" t="s">
        <v>11</v>
      </c>
    </row>
    <row r="681" spans="1:6" x14ac:dyDescent="0.25">
      <c r="A681" t="s">
        <v>1604</v>
      </c>
      <c r="B681" t="s">
        <v>47</v>
      </c>
      <c r="C681" t="s">
        <v>891</v>
      </c>
      <c r="D681" t="s">
        <v>1605</v>
      </c>
      <c r="E681" t="s">
        <v>326</v>
      </c>
      <c r="F681" t="s">
        <v>21</v>
      </c>
    </row>
    <row r="682" spans="1:6" x14ac:dyDescent="0.25">
      <c r="A682" t="s">
        <v>1606</v>
      </c>
      <c r="B682" t="s">
        <v>47</v>
      </c>
      <c r="C682" t="s">
        <v>436</v>
      </c>
      <c r="D682" t="s">
        <v>1607</v>
      </c>
      <c r="E682" t="s">
        <v>20</v>
      </c>
      <c r="F682" t="s">
        <v>21</v>
      </c>
    </row>
    <row r="683" spans="1:6" x14ac:dyDescent="0.25">
      <c r="A683" t="s">
        <v>1608</v>
      </c>
      <c r="B683" t="s">
        <v>47</v>
      </c>
      <c r="C683" t="s">
        <v>1609</v>
      </c>
      <c r="D683" t="s">
        <v>752</v>
      </c>
      <c r="E683" t="s">
        <v>20</v>
      </c>
      <c r="F683" t="s">
        <v>21</v>
      </c>
    </row>
    <row r="684" spans="1:6" x14ac:dyDescent="0.25">
      <c r="A684" t="s">
        <v>1610</v>
      </c>
      <c r="B684" t="s">
        <v>47</v>
      </c>
      <c r="C684" t="s">
        <v>1611</v>
      </c>
      <c r="D684" t="s">
        <v>1612</v>
      </c>
      <c r="E684" t="s">
        <v>10</v>
      </c>
      <c r="F684" t="s">
        <v>11</v>
      </c>
    </row>
    <row r="685" spans="1:6" x14ac:dyDescent="0.25">
      <c r="A685" t="s">
        <v>1613</v>
      </c>
      <c r="B685" t="s">
        <v>47</v>
      </c>
      <c r="C685" t="s">
        <v>783</v>
      </c>
      <c r="D685" t="s">
        <v>254</v>
      </c>
      <c r="E685" t="s">
        <v>20</v>
      </c>
      <c r="F685" t="s">
        <v>21</v>
      </c>
    </row>
    <row r="686" spans="1:6" x14ac:dyDescent="0.25">
      <c r="A686" t="s">
        <v>1614</v>
      </c>
      <c r="B686" t="s">
        <v>47</v>
      </c>
      <c r="C686" t="s">
        <v>1615</v>
      </c>
      <c r="D686" t="s">
        <v>66</v>
      </c>
      <c r="E686" t="s">
        <v>10</v>
      </c>
      <c r="F686" t="s">
        <v>11</v>
      </c>
    </row>
    <row r="687" spans="1:6" x14ac:dyDescent="0.25">
      <c r="A687" t="s">
        <v>1616</v>
      </c>
      <c r="B687" t="s">
        <v>47</v>
      </c>
      <c r="C687" t="s">
        <v>1609</v>
      </c>
      <c r="D687" t="s">
        <v>1617</v>
      </c>
      <c r="E687" t="s">
        <v>20</v>
      </c>
      <c r="F687" t="s">
        <v>21</v>
      </c>
    </row>
    <row r="688" spans="1:6" x14ac:dyDescent="0.25">
      <c r="A688" t="s">
        <v>1618</v>
      </c>
      <c r="B688" t="s">
        <v>47</v>
      </c>
      <c r="C688" t="s">
        <v>1619</v>
      </c>
      <c r="D688" t="s">
        <v>1620</v>
      </c>
      <c r="E688" t="s">
        <v>20</v>
      </c>
      <c r="F688" t="s">
        <v>21</v>
      </c>
    </row>
    <row r="689" spans="1:6" x14ac:dyDescent="0.25">
      <c r="A689" t="s">
        <v>1621</v>
      </c>
      <c r="B689" t="s">
        <v>47</v>
      </c>
      <c r="C689" s="1">
        <v>0</v>
      </c>
      <c r="D689" t="s">
        <v>302</v>
      </c>
      <c r="E689" t="s">
        <v>10</v>
      </c>
      <c r="F689" t="s">
        <v>11</v>
      </c>
    </row>
    <row r="690" spans="1:6" x14ac:dyDescent="0.25">
      <c r="A690" t="s">
        <v>1622</v>
      </c>
      <c r="B690" t="s">
        <v>47</v>
      </c>
      <c r="C690" t="s">
        <v>645</v>
      </c>
      <c r="D690" t="s">
        <v>1623</v>
      </c>
      <c r="E690" t="s">
        <v>20</v>
      </c>
      <c r="F690" t="s">
        <v>21</v>
      </c>
    </row>
    <row r="691" spans="1:6" x14ac:dyDescent="0.25">
      <c r="A691" t="s">
        <v>1624</v>
      </c>
      <c r="B691" t="s">
        <v>47</v>
      </c>
      <c r="C691" t="s">
        <v>1058</v>
      </c>
      <c r="D691" t="s">
        <v>1496</v>
      </c>
      <c r="E691" t="s">
        <v>384</v>
      </c>
      <c r="F691" t="s">
        <v>21</v>
      </c>
    </row>
    <row r="692" spans="1:6" x14ac:dyDescent="0.25">
      <c r="A692" t="s">
        <v>1625</v>
      </c>
      <c r="B692" t="s">
        <v>47</v>
      </c>
      <c r="C692" t="s">
        <v>1626</v>
      </c>
      <c r="D692" t="s">
        <v>1627</v>
      </c>
      <c r="E692" t="s">
        <v>365</v>
      </c>
      <c r="F692" t="s">
        <v>11</v>
      </c>
    </row>
    <row r="693" spans="1:6" x14ac:dyDescent="0.25">
      <c r="A693" t="s">
        <v>1628</v>
      </c>
      <c r="B693" t="s">
        <v>47</v>
      </c>
      <c r="C693" t="s">
        <v>966</v>
      </c>
      <c r="D693" t="s">
        <v>1629</v>
      </c>
      <c r="E693" t="s">
        <v>170</v>
      </c>
      <c r="F693" t="s">
        <v>50</v>
      </c>
    </row>
    <row r="694" spans="1:6" x14ac:dyDescent="0.25">
      <c r="A694" t="s">
        <v>1630</v>
      </c>
      <c r="B694" t="s">
        <v>47</v>
      </c>
      <c r="C694" t="s">
        <v>1631</v>
      </c>
      <c r="D694" t="s">
        <v>1632</v>
      </c>
      <c r="E694" t="s">
        <v>49</v>
      </c>
      <c r="F694" t="s">
        <v>50</v>
      </c>
    </row>
    <row r="695" spans="1:6" x14ac:dyDescent="0.25">
      <c r="A695" t="s">
        <v>1633</v>
      </c>
      <c r="B695" t="s">
        <v>47</v>
      </c>
      <c r="C695" t="s">
        <v>1634</v>
      </c>
      <c r="D695" t="s">
        <v>955</v>
      </c>
      <c r="E695" t="s">
        <v>10</v>
      </c>
      <c r="F695" t="s">
        <v>11</v>
      </c>
    </row>
    <row r="696" spans="1:6" x14ac:dyDescent="0.25">
      <c r="A696" t="s">
        <v>1635</v>
      </c>
      <c r="B696" t="s">
        <v>47</v>
      </c>
      <c r="C696" t="s">
        <v>1038</v>
      </c>
      <c r="D696" t="s">
        <v>1636</v>
      </c>
      <c r="E696" t="s">
        <v>10</v>
      </c>
      <c r="F696" t="s">
        <v>11</v>
      </c>
    </row>
    <row r="697" spans="1:6" x14ac:dyDescent="0.25">
      <c r="A697" t="s">
        <v>1637</v>
      </c>
      <c r="B697" t="s">
        <v>47</v>
      </c>
      <c r="C697" t="s">
        <v>1638</v>
      </c>
      <c r="D697" t="s">
        <v>1639</v>
      </c>
      <c r="E697" t="s">
        <v>10</v>
      </c>
      <c r="F697" t="s">
        <v>11</v>
      </c>
    </row>
    <row r="698" spans="1:6" x14ac:dyDescent="0.25">
      <c r="A698" t="s">
        <v>1640</v>
      </c>
      <c r="B698" t="s">
        <v>47</v>
      </c>
      <c r="C698" t="s">
        <v>1641</v>
      </c>
      <c r="D698" t="s">
        <v>1642</v>
      </c>
      <c r="E698" t="s">
        <v>10</v>
      </c>
      <c r="F698" t="s">
        <v>11</v>
      </c>
    </row>
    <row r="699" spans="1:6" x14ac:dyDescent="0.25">
      <c r="A699" t="s">
        <v>1643</v>
      </c>
      <c r="B699" t="s">
        <v>47</v>
      </c>
      <c r="C699" t="s">
        <v>1609</v>
      </c>
      <c r="D699" t="s">
        <v>1644</v>
      </c>
      <c r="E699" t="s">
        <v>10</v>
      </c>
      <c r="F699" t="s">
        <v>11</v>
      </c>
    </row>
    <row r="700" spans="1:6" x14ac:dyDescent="0.25">
      <c r="A700" t="s">
        <v>1645</v>
      </c>
      <c r="B700" t="s">
        <v>47</v>
      </c>
      <c r="C700" t="s">
        <v>1646</v>
      </c>
      <c r="D700" t="s">
        <v>1647</v>
      </c>
      <c r="E700" t="s">
        <v>10</v>
      </c>
      <c r="F700" t="s">
        <v>11</v>
      </c>
    </row>
    <row r="701" spans="1:6" x14ac:dyDescent="0.25">
      <c r="A701" t="s">
        <v>1648</v>
      </c>
      <c r="B701" t="s">
        <v>47</v>
      </c>
      <c r="C701" t="s">
        <v>691</v>
      </c>
      <c r="D701" t="s">
        <v>448</v>
      </c>
      <c r="E701" t="s">
        <v>10</v>
      </c>
      <c r="F701" t="s">
        <v>11</v>
      </c>
    </row>
    <row r="702" spans="1:6" x14ac:dyDescent="0.25">
      <c r="A702" t="s">
        <v>1649</v>
      </c>
      <c r="B702" t="s">
        <v>47</v>
      </c>
      <c r="C702" t="s">
        <v>1650</v>
      </c>
      <c r="D702" t="s">
        <v>1651</v>
      </c>
      <c r="E702" t="s">
        <v>49</v>
      </c>
      <c r="F702" t="s">
        <v>50</v>
      </c>
    </row>
    <row r="703" spans="1:6" x14ac:dyDescent="0.25">
      <c r="A703" t="s">
        <v>1652</v>
      </c>
      <c r="B703" t="s">
        <v>47</v>
      </c>
      <c r="C703" t="s">
        <v>1653</v>
      </c>
      <c r="D703" t="s">
        <v>177</v>
      </c>
      <c r="E703" t="s">
        <v>1035</v>
      </c>
      <c r="F703" t="s">
        <v>21</v>
      </c>
    </row>
    <row r="704" spans="1:6" x14ac:dyDescent="0.25">
      <c r="A704" t="s">
        <v>1654</v>
      </c>
      <c r="B704" t="s">
        <v>47</v>
      </c>
      <c r="C704" t="s">
        <v>1655</v>
      </c>
      <c r="D704" t="s">
        <v>1656</v>
      </c>
      <c r="E704" t="s">
        <v>1657</v>
      </c>
      <c r="F704" t="s">
        <v>50</v>
      </c>
    </row>
    <row r="705" spans="1:6" x14ac:dyDescent="0.25">
      <c r="A705" t="s">
        <v>1658</v>
      </c>
      <c r="B705" t="s">
        <v>47</v>
      </c>
      <c r="C705" t="s">
        <v>1205</v>
      </c>
      <c r="D705" t="s">
        <v>316</v>
      </c>
      <c r="E705" t="s">
        <v>10</v>
      </c>
      <c r="F705" t="s">
        <v>11</v>
      </c>
    </row>
    <row r="706" spans="1:6" x14ac:dyDescent="0.25">
      <c r="A706" t="s">
        <v>1659</v>
      </c>
      <c r="B706" t="s">
        <v>47</v>
      </c>
      <c r="C706" t="s">
        <v>1402</v>
      </c>
      <c r="D706" t="s">
        <v>1282</v>
      </c>
      <c r="E706" t="s">
        <v>10</v>
      </c>
      <c r="F706" t="s">
        <v>11</v>
      </c>
    </row>
    <row r="707" spans="1:6" x14ac:dyDescent="0.25">
      <c r="A707" t="s">
        <v>1660</v>
      </c>
      <c r="B707" t="s">
        <v>47</v>
      </c>
      <c r="C707" t="s">
        <v>1390</v>
      </c>
      <c r="D707" t="s">
        <v>1661</v>
      </c>
      <c r="E707" t="s">
        <v>10</v>
      </c>
      <c r="F707" t="s">
        <v>11</v>
      </c>
    </row>
    <row r="708" spans="1:6" x14ac:dyDescent="0.25">
      <c r="A708" t="s">
        <v>1662</v>
      </c>
      <c r="B708" t="s">
        <v>47</v>
      </c>
      <c r="C708" t="s">
        <v>1663</v>
      </c>
      <c r="D708" t="s">
        <v>1664</v>
      </c>
      <c r="E708" t="s">
        <v>10</v>
      </c>
      <c r="F708" t="s">
        <v>11</v>
      </c>
    </row>
    <row r="709" spans="1:6" x14ac:dyDescent="0.25">
      <c r="A709" t="s">
        <v>1665</v>
      </c>
      <c r="B709" t="s">
        <v>47</v>
      </c>
      <c r="C709" t="s">
        <v>1650</v>
      </c>
      <c r="D709" t="s">
        <v>1666</v>
      </c>
      <c r="E709" t="s">
        <v>445</v>
      </c>
      <c r="F709" t="s">
        <v>50</v>
      </c>
    </row>
    <row r="710" spans="1:6" x14ac:dyDescent="0.25">
      <c r="A710" t="s">
        <v>1667</v>
      </c>
      <c r="B710" t="s">
        <v>47</v>
      </c>
      <c r="C710" t="s">
        <v>1668</v>
      </c>
      <c r="D710" t="s">
        <v>1669</v>
      </c>
      <c r="E710" t="s">
        <v>10</v>
      </c>
      <c r="F710" t="s">
        <v>11</v>
      </c>
    </row>
    <row r="711" spans="1:6" x14ac:dyDescent="0.25">
      <c r="A711" t="s">
        <v>1670</v>
      </c>
      <c r="B711" t="s">
        <v>47</v>
      </c>
      <c r="C711" t="s">
        <v>125</v>
      </c>
      <c r="D711" t="s">
        <v>1671</v>
      </c>
      <c r="E711" t="s">
        <v>10</v>
      </c>
      <c r="F711" t="s">
        <v>11</v>
      </c>
    </row>
    <row r="712" spans="1:6" x14ac:dyDescent="0.25">
      <c r="A712" t="s">
        <v>1672</v>
      </c>
      <c r="B712" t="s">
        <v>47</v>
      </c>
      <c r="C712" t="s">
        <v>849</v>
      </c>
      <c r="D712" t="s">
        <v>29</v>
      </c>
      <c r="E712" t="s">
        <v>20</v>
      </c>
      <c r="F712" t="s">
        <v>21</v>
      </c>
    </row>
    <row r="713" spans="1:6" x14ac:dyDescent="0.25">
      <c r="A713" t="s">
        <v>1673</v>
      </c>
      <c r="B713" t="s">
        <v>47</v>
      </c>
      <c r="C713" t="s">
        <v>1674</v>
      </c>
      <c r="D713" t="s">
        <v>1675</v>
      </c>
      <c r="E713" t="s">
        <v>10</v>
      </c>
      <c r="F713" t="s">
        <v>11</v>
      </c>
    </row>
    <row r="714" spans="1:6" x14ac:dyDescent="0.25">
      <c r="A714" t="s">
        <v>1676</v>
      </c>
      <c r="B714" t="s">
        <v>47</v>
      </c>
      <c r="C714" t="s">
        <v>1677</v>
      </c>
      <c r="D714" t="s">
        <v>1678</v>
      </c>
      <c r="E714" t="s">
        <v>10</v>
      </c>
      <c r="F714" t="s">
        <v>11</v>
      </c>
    </row>
    <row r="715" spans="1:6" x14ac:dyDescent="0.25">
      <c r="A715" t="s">
        <v>1679</v>
      </c>
      <c r="B715" t="s">
        <v>47</v>
      </c>
      <c r="C715" t="s">
        <v>983</v>
      </c>
      <c r="D715" t="s">
        <v>1680</v>
      </c>
      <c r="E715" t="s">
        <v>170</v>
      </c>
      <c r="F715" t="s">
        <v>50</v>
      </c>
    </row>
    <row r="716" spans="1:6" x14ac:dyDescent="0.25">
      <c r="A716" t="s">
        <v>1681</v>
      </c>
      <c r="B716" t="s">
        <v>47</v>
      </c>
      <c r="C716" t="s">
        <v>1682</v>
      </c>
      <c r="D716" t="s">
        <v>1683</v>
      </c>
      <c r="E716" t="s">
        <v>10</v>
      </c>
      <c r="F716" t="s">
        <v>11</v>
      </c>
    </row>
    <row r="717" spans="1:6" x14ac:dyDescent="0.25">
      <c r="A717" t="s">
        <v>1684</v>
      </c>
      <c r="B717" t="s">
        <v>47</v>
      </c>
      <c r="C717" t="s">
        <v>1685</v>
      </c>
      <c r="D717" t="s">
        <v>955</v>
      </c>
      <c r="E717" t="s">
        <v>10</v>
      </c>
      <c r="F717" t="s">
        <v>11</v>
      </c>
    </row>
    <row r="718" spans="1:6" x14ac:dyDescent="0.25">
      <c r="A718" t="s">
        <v>1686</v>
      </c>
      <c r="B718" t="s">
        <v>47</v>
      </c>
      <c r="C718" t="s">
        <v>125</v>
      </c>
      <c r="D718" t="s">
        <v>1687</v>
      </c>
      <c r="E718" t="s">
        <v>10</v>
      </c>
      <c r="F718" t="s">
        <v>11</v>
      </c>
    </row>
    <row r="719" spans="1:6" x14ac:dyDescent="0.25">
      <c r="A719" t="s">
        <v>1688</v>
      </c>
      <c r="B719" t="s">
        <v>47</v>
      </c>
      <c r="C719" t="s">
        <v>1453</v>
      </c>
      <c r="D719" t="s">
        <v>1689</v>
      </c>
      <c r="E719" t="s">
        <v>10</v>
      </c>
      <c r="F719" t="s">
        <v>11</v>
      </c>
    </row>
    <row r="720" spans="1:6" x14ac:dyDescent="0.25">
      <c r="A720" t="s">
        <v>1690</v>
      </c>
      <c r="B720" t="s">
        <v>47</v>
      </c>
      <c r="C720" t="s">
        <v>1406</v>
      </c>
      <c r="D720" t="s">
        <v>1116</v>
      </c>
      <c r="E720" t="s">
        <v>187</v>
      </c>
      <c r="F720" t="s">
        <v>50</v>
      </c>
    </row>
    <row r="721" spans="1:6" x14ac:dyDescent="0.25">
      <c r="A721" t="s">
        <v>1691</v>
      </c>
      <c r="B721" t="s">
        <v>47</v>
      </c>
      <c r="C721" t="s">
        <v>1101</v>
      </c>
      <c r="D721" t="s">
        <v>1183</v>
      </c>
      <c r="E721" t="s">
        <v>187</v>
      </c>
      <c r="F721" t="s">
        <v>50</v>
      </c>
    </row>
    <row r="722" spans="1:6" x14ac:dyDescent="0.25">
      <c r="A722" t="s">
        <v>1692</v>
      </c>
      <c r="B722" t="s">
        <v>47</v>
      </c>
      <c r="C722" t="s">
        <v>911</v>
      </c>
      <c r="D722" t="s">
        <v>1693</v>
      </c>
      <c r="E722" t="s">
        <v>10</v>
      </c>
      <c r="F722" t="s">
        <v>11</v>
      </c>
    </row>
    <row r="723" spans="1:6" x14ac:dyDescent="0.25">
      <c r="A723" t="s">
        <v>1694</v>
      </c>
      <c r="B723" t="s">
        <v>47</v>
      </c>
      <c r="C723" t="s">
        <v>1428</v>
      </c>
      <c r="D723" t="s">
        <v>1695</v>
      </c>
      <c r="E723" t="s">
        <v>326</v>
      </c>
      <c r="F723" t="s">
        <v>21</v>
      </c>
    </row>
    <row r="724" spans="1:6" x14ac:dyDescent="0.25">
      <c r="A724" t="s">
        <v>1696</v>
      </c>
      <c r="B724" t="s">
        <v>47</v>
      </c>
      <c r="C724" t="s">
        <v>885</v>
      </c>
      <c r="D724" t="s">
        <v>696</v>
      </c>
      <c r="E724" t="s">
        <v>10</v>
      </c>
      <c r="F724" t="s">
        <v>11</v>
      </c>
    </row>
    <row r="725" spans="1:6" x14ac:dyDescent="0.25">
      <c r="A725" t="s">
        <v>1697</v>
      </c>
      <c r="B725" t="s">
        <v>47</v>
      </c>
      <c r="C725" t="s">
        <v>1698</v>
      </c>
      <c r="D725" t="s">
        <v>1699</v>
      </c>
      <c r="E725" t="s">
        <v>384</v>
      </c>
      <c r="F725" t="s">
        <v>21</v>
      </c>
    </row>
    <row r="726" spans="1:6" x14ac:dyDescent="0.25">
      <c r="A726" t="s">
        <v>1700</v>
      </c>
      <c r="B726" t="s">
        <v>47</v>
      </c>
      <c r="C726" t="s">
        <v>234</v>
      </c>
      <c r="D726" t="s">
        <v>1701</v>
      </c>
      <c r="E726" t="s">
        <v>20</v>
      </c>
      <c r="F726" t="s">
        <v>21</v>
      </c>
    </row>
    <row r="727" spans="1:6" x14ac:dyDescent="0.25">
      <c r="A727" t="s">
        <v>1702</v>
      </c>
      <c r="B727" t="s">
        <v>47</v>
      </c>
      <c r="C727" t="s">
        <v>1554</v>
      </c>
      <c r="D727" t="s">
        <v>254</v>
      </c>
      <c r="E727" t="s">
        <v>10</v>
      </c>
      <c r="F727" t="s">
        <v>11</v>
      </c>
    </row>
    <row r="728" spans="1:6" x14ac:dyDescent="0.25">
      <c r="A728" t="s">
        <v>1703</v>
      </c>
      <c r="B728" t="s">
        <v>47</v>
      </c>
      <c r="C728" t="s">
        <v>1525</v>
      </c>
      <c r="E728" t="s">
        <v>20</v>
      </c>
      <c r="F728" t="s">
        <v>21</v>
      </c>
    </row>
    <row r="729" spans="1:6" x14ac:dyDescent="0.25">
      <c r="A729" t="s">
        <v>1704</v>
      </c>
      <c r="B729" t="s">
        <v>47</v>
      </c>
      <c r="C729" t="s">
        <v>1705</v>
      </c>
      <c r="D729" t="s">
        <v>1706</v>
      </c>
      <c r="E729" t="s">
        <v>20</v>
      </c>
      <c r="F729" t="s">
        <v>21</v>
      </c>
    </row>
    <row r="730" spans="1:6" x14ac:dyDescent="0.25">
      <c r="A730" t="s">
        <v>1707</v>
      </c>
      <c r="B730" t="s">
        <v>47</v>
      </c>
      <c r="C730" t="s">
        <v>1685</v>
      </c>
      <c r="D730" t="s">
        <v>1708</v>
      </c>
      <c r="E730" t="s">
        <v>20</v>
      </c>
      <c r="F730" t="s">
        <v>21</v>
      </c>
    </row>
    <row r="731" spans="1:6" x14ac:dyDescent="0.25">
      <c r="A731" t="s">
        <v>1709</v>
      </c>
      <c r="B731" t="s">
        <v>47</v>
      </c>
      <c r="C731" t="s">
        <v>1359</v>
      </c>
      <c r="D731" t="s">
        <v>1710</v>
      </c>
      <c r="E731" t="s">
        <v>10</v>
      </c>
      <c r="F731" t="s">
        <v>11</v>
      </c>
    </row>
    <row r="732" spans="1:6" x14ac:dyDescent="0.25">
      <c r="A732" t="s">
        <v>1711</v>
      </c>
      <c r="B732" t="s">
        <v>47</v>
      </c>
      <c r="C732" t="s">
        <v>906</v>
      </c>
      <c r="D732" t="s">
        <v>1712</v>
      </c>
      <c r="E732" t="s">
        <v>10</v>
      </c>
      <c r="F732" t="s">
        <v>11</v>
      </c>
    </row>
    <row r="733" spans="1:6" x14ac:dyDescent="0.25">
      <c r="A733" t="s">
        <v>1713</v>
      </c>
      <c r="B733" t="s">
        <v>47</v>
      </c>
      <c r="C733" t="s">
        <v>1714</v>
      </c>
      <c r="D733" t="s">
        <v>130</v>
      </c>
      <c r="E733" t="s">
        <v>170</v>
      </c>
      <c r="F733" t="s">
        <v>50</v>
      </c>
    </row>
    <row r="734" spans="1:6" x14ac:dyDescent="0.25">
      <c r="A734" t="s">
        <v>1715</v>
      </c>
      <c r="B734" t="s">
        <v>47</v>
      </c>
      <c r="C734" t="s">
        <v>1205</v>
      </c>
      <c r="D734" t="s">
        <v>500</v>
      </c>
      <c r="E734" t="s">
        <v>10</v>
      </c>
      <c r="F734" t="s">
        <v>11</v>
      </c>
    </row>
    <row r="735" spans="1:6" x14ac:dyDescent="0.25">
      <c r="A735" t="s">
        <v>1716</v>
      </c>
      <c r="B735" t="s">
        <v>47</v>
      </c>
      <c r="C735" t="s">
        <v>1717</v>
      </c>
      <c r="D735" t="s">
        <v>1718</v>
      </c>
      <c r="E735" t="s">
        <v>44</v>
      </c>
      <c r="F735" t="s">
        <v>21</v>
      </c>
    </row>
    <row r="736" spans="1:6" x14ac:dyDescent="0.25">
      <c r="A736" t="s">
        <v>1719</v>
      </c>
      <c r="B736" t="s">
        <v>47</v>
      </c>
      <c r="C736" t="s">
        <v>780</v>
      </c>
      <c r="D736" t="s">
        <v>955</v>
      </c>
      <c r="E736" t="s">
        <v>10</v>
      </c>
      <c r="F736" t="s">
        <v>11</v>
      </c>
    </row>
    <row r="737" spans="1:6" x14ac:dyDescent="0.25">
      <c r="A737" t="s">
        <v>1720</v>
      </c>
      <c r="B737" t="s">
        <v>47</v>
      </c>
      <c r="C737" t="s">
        <v>1721</v>
      </c>
      <c r="D737" t="s">
        <v>1722</v>
      </c>
      <c r="E737" t="s">
        <v>10</v>
      </c>
      <c r="F737" t="s">
        <v>11</v>
      </c>
    </row>
    <row r="738" spans="1:6" x14ac:dyDescent="0.25">
      <c r="A738" t="s">
        <v>1723</v>
      </c>
      <c r="B738" t="s">
        <v>47</v>
      </c>
      <c r="C738" t="s">
        <v>1545</v>
      </c>
      <c r="D738" t="s">
        <v>1724</v>
      </c>
      <c r="E738" t="s">
        <v>652</v>
      </c>
      <c r="F738" t="s">
        <v>50</v>
      </c>
    </row>
    <row r="739" spans="1:6" x14ac:dyDescent="0.25">
      <c r="A739" t="s">
        <v>1725</v>
      </c>
      <c r="B739" t="s">
        <v>47</v>
      </c>
      <c r="C739" t="s">
        <v>1726</v>
      </c>
      <c r="D739" t="s">
        <v>146</v>
      </c>
      <c r="E739" t="s">
        <v>20</v>
      </c>
      <c r="F739" t="s">
        <v>21</v>
      </c>
    </row>
    <row r="740" spans="1:6" x14ac:dyDescent="0.25">
      <c r="A740" t="s">
        <v>1727</v>
      </c>
      <c r="B740" t="s">
        <v>47</v>
      </c>
      <c r="C740" t="s">
        <v>1728</v>
      </c>
      <c r="E740" t="s">
        <v>20</v>
      </c>
      <c r="F740" t="s">
        <v>21</v>
      </c>
    </row>
    <row r="741" spans="1:6" x14ac:dyDescent="0.25">
      <c r="A741" t="s">
        <v>1729</v>
      </c>
      <c r="B741" t="s">
        <v>47</v>
      </c>
      <c r="C741" t="s">
        <v>1730</v>
      </c>
      <c r="D741" t="s">
        <v>1731</v>
      </c>
      <c r="E741" t="s">
        <v>294</v>
      </c>
      <c r="F741" t="s">
        <v>21</v>
      </c>
    </row>
    <row r="742" spans="1:6" x14ac:dyDescent="0.25">
      <c r="A742" t="s">
        <v>1732</v>
      </c>
      <c r="B742" t="s">
        <v>47</v>
      </c>
      <c r="C742" t="s">
        <v>216</v>
      </c>
      <c r="D742" t="s">
        <v>454</v>
      </c>
      <c r="E742" t="s">
        <v>1035</v>
      </c>
      <c r="F742" t="s">
        <v>21</v>
      </c>
    </row>
    <row r="743" spans="1:6" x14ac:dyDescent="0.25">
      <c r="A743" t="s">
        <v>1733</v>
      </c>
      <c r="B743" t="s">
        <v>47</v>
      </c>
      <c r="C743" t="s">
        <v>1734</v>
      </c>
      <c r="D743" t="s">
        <v>1735</v>
      </c>
      <c r="E743" t="s">
        <v>10</v>
      </c>
      <c r="F743" t="s">
        <v>11</v>
      </c>
    </row>
    <row r="744" spans="1:6" x14ac:dyDescent="0.25">
      <c r="A744" t="s">
        <v>1736</v>
      </c>
      <c r="B744" t="s">
        <v>47</v>
      </c>
      <c r="C744" t="s">
        <v>780</v>
      </c>
      <c r="D744" t="s">
        <v>1737</v>
      </c>
      <c r="E744" t="s">
        <v>10</v>
      </c>
      <c r="F744" t="s">
        <v>11</v>
      </c>
    </row>
    <row r="745" spans="1:6" x14ac:dyDescent="0.25">
      <c r="A745" t="s">
        <v>1738</v>
      </c>
      <c r="B745" t="s">
        <v>47</v>
      </c>
      <c r="C745" t="s">
        <v>1085</v>
      </c>
      <c r="D745" t="s">
        <v>1739</v>
      </c>
      <c r="E745" t="s">
        <v>445</v>
      </c>
      <c r="F745" t="s">
        <v>50</v>
      </c>
    </row>
    <row r="746" spans="1:6" x14ac:dyDescent="0.25">
      <c r="A746" t="s">
        <v>1740</v>
      </c>
      <c r="B746" t="s">
        <v>47</v>
      </c>
      <c r="C746" t="s">
        <v>1242</v>
      </c>
      <c r="D746" t="s">
        <v>1741</v>
      </c>
      <c r="E746" t="s">
        <v>10</v>
      </c>
      <c r="F746" t="s">
        <v>11</v>
      </c>
    </row>
    <row r="747" spans="1:6" x14ac:dyDescent="0.25">
      <c r="A747" t="s">
        <v>1742</v>
      </c>
      <c r="B747" t="s">
        <v>47</v>
      </c>
      <c r="C747" t="s">
        <v>1743</v>
      </c>
      <c r="D747" t="s">
        <v>1744</v>
      </c>
      <c r="E747" t="s">
        <v>20</v>
      </c>
      <c r="F747" t="s">
        <v>21</v>
      </c>
    </row>
    <row r="748" spans="1:6" x14ac:dyDescent="0.25">
      <c r="A748" t="s">
        <v>1745</v>
      </c>
      <c r="B748" t="s">
        <v>47</v>
      </c>
      <c r="C748" t="s">
        <v>106</v>
      </c>
      <c r="E748" t="s">
        <v>49</v>
      </c>
      <c r="F748" t="s">
        <v>50</v>
      </c>
    </row>
    <row r="749" spans="1:6" x14ac:dyDescent="0.25">
      <c r="A749" t="s">
        <v>1746</v>
      </c>
      <c r="B749" t="s">
        <v>47</v>
      </c>
      <c r="C749" t="s">
        <v>1747</v>
      </c>
      <c r="D749" t="s">
        <v>1748</v>
      </c>
      <c r="E749" t="s">
        <v>10</v>
      </c>
      <c r="F749" t="s">
        <v>11</v>
      </c>
    </row>
    <row r="750" spans="1:6" x14ac:dyDescent="0.25">
      <c r="A750" t="s">
        <v>1749</v>
      </c>
      <c r="B750" t="s">
        <v>47</v>
      </c>
      <c r="C750" t="s">
        <v>947</v>
      </c>
      <c r="D750" t="s">
        <v>1750</v>
      </c>
      <c r="E750" t="s">
        <v>10</v>
      </c>
      <c r="F750" t="s">
        <v>11</v>
      </c>
    </row>
    <row r="751" spans="1:6" x14ac:dyDescent="0.25">
      <c r="A751" t="s">
        <v>1751</v>
      </c>
      <c r="B751" t="s">
        <v>47</v>
      </c>
      <c r="C751" t="s">
        <v>1752</v>
      </c>
      <c r="D751" t="s">
        <v>1753</v>
      </c>
      <c r="E751" t="s">
        <v>108</v>
      </c>
      <c r="F751" t="s">
        <v>109</v>
      </c>
    </row>
    <row r="752" spans="1:6" x14ac:dyDescent="0.25">
      <c r="A752" t="s">
        <v>1754</v>
      </c>
      <c r="B752" t="s">
        <v>47</v>
      </c>
      <c r="C752" t="s">
        <v>556</v>
      </c>
      <c r="E752" t="s">
        <v>10</v>
      </c>
      <c r="F752" t="s">
        <v>11</v>
      </c>
    </row>
    <row r="753" spans="1:6" x14ac:dyDescent="0.25">
      <c r="A753" t="s">
        <v>1755</v>
      </c>
      <c r="B753" t="s">
        <v>47</v>
      </c>
      <c r="C753" t="s">
        <v>1756</v>
      </c>
      <c r="D753" t="s">
        <v>1757</v>
      </c>
      <c r="E753" t="s">
        <v>350</v>
      </c>
      <c r="F753" t="s">
        <v>21</v>
      </c>
    </row>
    <row r="754" spans="1:6" x14ac:dyDescent="0.25">
      <c r="A754" t="s">
        <v>1758</v>
      </c>
      <c r="B754" t="s">
        <v>47</v>
      </c>
      <c r="C754" t="s">
        <v>1759</v>
      </c>
      <c r="D754" t="s">
        <v>1760</v>
      </c>
      <c r="E754" t="s">
        <v>10</v>
      </c>
      <c r="F754" t="s">
        <v>11</v>
      </c>
    </row>
    <row r="755" spans="1:6" x14ac:dyDescent="0.25">
      <c r="A755" t="s">
        <v>1761</v>
      </c>
      <c r="B755" t="s">
        <v>47</v>
      </c>
      <c r="C755" t="s">
        <v>1762</v>
      </c>
      <c r="D755" t="s">
        <v>1102</v>
      </c>
      <c r="E755" t="s">
        <v>10</v>
      </c>
      <c r="F755" t="s">
        <v>11</v>
      </c>
    </row>
    <row r="756" spans="1:6" x14ac:dyDescent="0.25">
      <c r="A756" t="s">
        <v>1763</v>
      </c>
      <c r="B756" t="s">
        <v>47</v>
      </c>
      <c r="C756" t="s">
        <v>1088</v>
      </c>
      <c r="D756" t="s">
        <v>254</v>
      </c>
      <c r="E756" t="s">
        <v>10</v>
      </c>
      <c r="F756" t="s">
        <v>11</v>
      </c>
    </row>
    <row r="757" spans="1:6" x14ac:dyDescent="0.25">
      <c r="A757" t="s">
        <v>1764</v>
      </c>
      <c r="B757" t="s">
        <v>47</v>
      </c>
      <c r="C757" t="s">
        <v>1193</v>
      </c>
      <c r="D757" t="s">
        <v>1318</v>
      </c>
      <c r="E757" t="s">
        <v>1035</v>
      </c>
      <c r="F757" t="s">
        <v>21</v>
      </c>
    </row>
    <row r="758" spans="1:6" x14ac:dyDescent="0.25">
      <c r="A758" t="s">
        <v>1765</v>
      </c>
      <c r="B758" t="s">
        <v>47</v>
      </c>
      <c r="C758" t="s">
        <v>1498</v>
      </c>
      <c r="D758" t="s">
        <v>1373</v>
      </c>
      <c r="E758" t="s">
        <v>10</v>
      </c>
      <c r="F758" t="s">
        <v>11</v>
      </c>
    </row>
    <row r="759" spans="1:6" x14ac:dyDescent="0.25">
      <c r="A759" t="s">
        <v>1766</v>
      </c>
      <c r="B759" t="s">
        <v>47</v>
      </c>
      <c r="C759" t="s">
        <v>1301</v>
      </c>
      <c r="D759" t="s">
        <v>130</v>
      </c>
      <c r="E759" t="s">
        <v>44</v>
      </c>
      <c r="F759" t="s">
        <v>21</v>
      </c>
    </row>
    <row r="760" spans="1:6" x14ac:dyDescent="0.25">
      <c r="A760" t="s">
        <v>1767</v>
      </c>
      <c r="B760" t="s">
        <v>47</v>
      </c>
      <c r="C760" t="s">
        <v>1768</v>
      </c>
      <c r="D760" t="s">
        <v>159</v>
      </c>
      <c r="E760" t="s">
        <v>10</v>
      </c>
      <c r="F760" t="s">
        <v>11</v>
      </c>
    </row>
    <row r="761" spans="1:6" x14ac:dyDescent="0.25">
      <c r="A761" t="s">
        <v>1769</v>
      </c>
      <c r="B761" t="s">
        <v>47</v>
      </c>
      <c r="C761" t="s">
        <v>47</v>
      </c>
      <c r="D761" t="s">
        <v>1770</v>
      </c>
      <c r="E761" t="s">
        <v>20</v>
      </c>
      <c r="F761" t="s">
        <v>21</v>
      </c>
    </row>
    <row r="762" spans="1:6" x14ac:dyDescent="0.25">
      <c r="A762" t="s">
        <v>1771</v>
      </c>
      <c r="B762" t="s">
        <v>47</v>
      </c>
      <c r="C762" t="s">
        <v>47</v>
      </c>
      <c r="D762" t="s">
        <v>1772</v>
      </c>
      <c r="E762" t="s">
        <v>44</v>
      </c>
      <c r="F762" t="s">
        <v>21</v>
      </c>
    </row>
    <row r="763" spans="1:6" x14ac:dyDescent="0.25">
      <c r="A763" t="s">
        <v>1773</v>
      </c>
      <c r="B763" t="s">
        <v>47</v>
      </c>
      <c r="C763" t="s">
        <v>1774</v>
      </c>
      <c r="D763" t="s">
        <v>79</v>
      </c>
      <c r="E763" t="s">
        <v>210</v>
      </c>
      <c r="F763" t="s">
        <v>50</v>
      </c>
    </row>
    <row r="764" spans="1:6" x14ac:dyDescent="0.25">
      <c r="A764" t="s">
        <v>1775</v>
      </c>
      <c r="B764" t="s">
        <v>47</v>
      </c>
      <c r="C764" t="s">
        <v>1498</v>
      </c>
      <c r="D764" t="s">
        <v>1282</v>
      </c>
      <c r="E764" t="s">
        <v>210</v>
      </c>
      <c r="F764" t="s">
        <v>50</v>
      </c>
    </row>
    <row r="765" spans="1:6" x14ac:dyDescent="0.25">
      <c r="A765" t="s">
        <v>1776</v>
      </c>
      <c r="B765" t="s">
        <v>47</v>
      </c>
      <c r="C765" t="s">
        <v>1777</v>
      </c>
      <c r="D765" t="s">
        <v>409</v>
      </c>
      <c r="E765" t="s">
        <v>10</v>
      </c>
      <c r="F765" t="s">
        <v>11</v>
      </c>
    </row>
    <row r="766" spans="1:6" x14ac:dyDescent="0.25">
      <c r="A766" t="s">
        <v>1778</v>
      </c>
      <c r="B766" t="s">
        <v>47</v>
      </c>
      <c r="C766" t="s">
        <v>1001</v>
      </c>
      <c r="D766" t="s">
        <v>1779</v>
      </c>
      <c r="E766" t="s">
        <v>10</v>
      </c>
      <c r="F766" t="s">
        <v>11</v>
      </c>
    </row>
    <row r="767" spans="1:6" x14ac:dyDescent="0.25">
      <c r="A767" t="s">
        <v>1780</v>
      </c>
      <c r="B767" t="s">
        <v>47</v>
      </c>
      <c r="C767" t="s">
        <v>1743</v>
      </c>
      <c r="D767" t="s">
        <v>316</v>
      </c>
      <c r="E767" t="s">
        <v>10</v>
      </c>
      <c r="F767" t="s">
        <v>11</v>
      </c>
    </row>
    <row r="768" spans="1:6" x14ac:dyDescent="0.25">
      <c r="A768" t="s">
        <v>1781</v>
      </c>
      <c r="B768" t="s">
        <v>47</v>
      </c>
      <c r="C768" t="s">
        <v>943</v>
      </c>
      <c r="D768" t="s">
        <v>1782</v>
      </c>
      <c r="E768" t="s">
        <v>10</v>
      </c>
      <c r="F768" t="s">
        <v>11</v>
      </c>
    </row>
    <row r="769" spans="1:6" x14ac:dyDescent="0.25">
      <c r="A769" t="s">
        <v>1783</v>
      </c>
      <c r="B769" t="s">
        <v>47</v>
      </c>
      <c r="C769" t="s">
        <v>1784</v>
      </c>
      <c r="D769" t="s">
        <v>1785</v>
      </c>
      <c r="E769" t="s">
        <v>10</v>
      </c>
      <c r="F769" t="s">
        <v>11</v>
      </c>
    </row>
    <row r="770" spans="1:6" x14ac:dyDescent="0.25">
      <c r="A770" t="s">
        <v>1786</v>
      </c>
      <c r="B770" t="s">
        <v>47</v>
      </c>
      <c r="C770" t="s">
        <v>645</v>
      </c>
      <c r="D770" t="s">
        <v>1053</v>
      </c>
      <c r="E770" t="s">
        <v>44</v>
      </c>
      <c r="F770" t="s">
        <v>21</v>
      </c>
    </row>
    <row r="771" spans="1:6" x14ac:dyDescent="0.25">
      <c r="A771" t="s">
        <v>1787</v>
      </c>
      <c r="B771" t="s">
        <v>47</v>
      </c>
      <c r="C771" t="s">
        <v>1788</v>
      </c>
      <c r="D771" t="s">
        <v>955</v>
      </c>
      <c r="E771" t="s">
        <v>787</v>
      </c>
      <c r="F771" t="s">
        <v>50</v>
      </c>
    </row>
    <row r="772" spans="1:6" x14ac:dyDescent="0.25">
      <c r="A772" t="s">
        <v>1789</v>
      </c>
      <c r="B772" t="s">
        <v>47</v>
      </c>
      <c r="C772" t="s">
        <v>345</v>
      </c>
      <c r="D772" t="s">
        <v>641</v>
      </c>
      <c r="E772" t="s">
        <v>365</v>
      </c>
      <c r="F772" t="s">
        <v>11</v>
      </c>
    </row>
    <row r="773" spans="1:6" x14ac:dyDescent="0.25">
      <c r="A773" t="s">
        <v>1790</v>
      </c>
      <c r="B773" t="s">
        <v>47</v>
      </c>
      <c r="C773" t="s">
        <v>1791</v>
      </c>
      <c r="D773" t="s">
        <v>1792</v>
      </c>
      <c r="E773" t="s">
        <v>1172</v>
      </c>
      <c r="F773" t="s">
        <v>21</v>
      </c>
    </row>
    <row r="774" spans="1:6" x14ac:dyDescent="0.25">
      <c r="A774" t="s">
        <v>1793</v>
      </c>
      <c r="B774" t="s">
        <v>47</v>
      </c>
      <c r="C774" t="s">
        <v>556</v>
      </c>
      <c r="D774" t="s">
        <v>1794</v>
      </c>
      <c r="E774" t="s">
        <v>10</v>
      </c>
      <c r="F774" t="s">
        <v>11</v>
      </c>
    </row>
    <row r="775" spans="1:6" x14ac:dyDescent="0.25">
      <c r="A775" t="s">
        <v>1795</v>
      </c>
      <c r="B775" t="s">
        <v>47</v>
      </c>
      <c r="C775" t="s">
        <v>1569</v>
      </c>
      <c r="D775" t="s">
        <v>1796</v>
      </c>
      <c r="E775" t="s">
        <v>10</v>
      </c>
      <c r="F775" t="s">
        <v>11</v>
      </c>
    </row>
    <row r="776" spans="1:6" x14ac:dyDescent="0.25">
      <c r="A776" t="s">
        <v>1797</v>
      </c>
      <c r="B776" t="s">
        <v>47</v>
      </c>
      <c r="C776" t="s">
        <v>1798</v>
      </c>
      <c r="D776" t="s">
        <v>254</v>
      </c>
      <c r="E776" t="s">
        <v>49</v>
      </c>
      <c r="F776" t="s">
        <v>50</v>
      </c>
    </row>
    <row r="777" spans="1:6" x14ac:dyDescent="0.25">
      <c r="A777" t="s">
        <v>1799</v>
      </c>
      <c r="B777" t="s">
        <v>47</v>
      </c>
      <c r="C777" t="s">
        <v>1363</v>
      </c>
      <c r="D777" t="s">
        <v>1800</v>
      </c>
      <c r="E777" t="s">
        <v>648</v>
      </c>
      <c r="F777" t="s">
        <v>50</v>
      </c>
    </row>
    <row r="778" spans="1:6" x14ac:dyDescent="0.25">
      <c r="A778" t="s">
        <v>1801</v>
      </c>
      <c r="B778" t="s">
        <v>47</v>
      </c>
      <c r="C778" t="s">
        <v>1802</v>
      </c>
      <c r="D778" t="s">
        <v>1803</v>
      </c>
      <c r="E778" t="s">
        <v>10</v>
      </c>
      <c r="F778" t="s">
        <v>11</v>
      </c>
    </row>
    <row r="779" spans="1:6" x14ac:dyDescent="0.25">
      <c r="A779" t="s">
        <v>1804</v>
      </c>
      <c r="B779" t="s">
        <v>47</v>
      </c>
      <c r="C779" t="s">
        <v>1805</v>
      </c>
      <c r="D779" t="s">
        <v>1806</v>
      </c>
      <c r="E779" t="s">
        <v>170</v>
      </c>
      <c r="F779" t="s">
        <v>50</v>
      </c>
    </row>
    <row r="780" spans="1:6" x14ac:dyDescent="0.25">
      <c r="A780" t="s">
        <v>1807</v>
      </c>
      <c r="B780" t="s">
        <v>47</v>
      </c>
      <c r="C780" t="s">
        <v>1638</v>
      </c>
      <c r="D780" t="s">
        <v>55</v>
      </c>
      <c r="E780" t="s">
        <v>1035</v>
      </c>
      <c r="F780" t="s">
        <v>21</v>
      </c>
    </row>
    <row r="781" spans="1:6" x14ac:dyDescent="0.25">
      <c r="A781" t="s">
        <v>1808</v>
      </c>
      <c r="B781" t="s">
        <v>47</v>
      </c>
      <c r="C781" t="s">
        <v>1390</v>
      </c>
      <c r="D781" t="s">
        <v>1535</v>
      </c>
      <c r="E781" t="s">
        <v>10</v>
      </c>
      <c r="F781" t="s">
        <v>11</v>
      </c>
    </row>
    <row r="782" spans="1:6" x14ac:dyDescent="0.25">
      <c r="A782" t="s">
        <v>1809</v>
      </c>
      <c r="B782" t="s">
        <v>47</v>
      </c>
      <c r="C782" t="s">
        <v>1549</v>
      </c>
      <c r="D782" t="s">
        <v>254</v>
      </c>
      <c r="E782" t="s">
        <v>10</v>
      </c>
      <c r="F782" t="s">
        <v>11</v>
      </c>
    </row>
    <row r="783" spans="1:6" x14ac:dyDescent="0.25">
      <c r="A783" t="s">
        <v>1810</v>
      </c>
      <c r="B783" t="s">
        <v>47</v>
      </c>
      <c r="C783" t="s">
        <v>1569</v>
      </c>
      <c r="D783" t="s">
        <v>1811</v>
      </c>
      <c r="E783" t="s">
        <v>10</v>
      </c>
      <c r="F783" t="s">
        <v>11</v>
      </c>
    </row>
    <row r="784" spans="1:6" x14ac:dyDescent="0.25">
      <c r="A784" t="s">
        <v>1812</v>
      </c>
      <c r="B784" t="s">
        <v>47</v>
      </c>
      <c r="C784" t="s">
        <v>1276</v>
      </c>
      <c r="D784" t="s">
        <v>1813</v>
      </c>
      <c r="E784" t="s">
        <v>10</v>
      </c>
      <c r="F784" t="s">
        <v>11</v>
      </c>
    </row>
    <row r="785" spans="1:6" x14ac:dyDescent="0.25">
      <c r="A785" t="s">
        <v>1814</v>
      </c>
      <c r="B785" t="s">
        <v>47</v>
      </c>
      <c r="C785" t="s">
        <v>1815</v>
      </c>
      <c r="D785" t="s">
        <v>254</v>
      </c>
      <c r="E785" t="s">
        <v>10</v>
      </c>
      <c r="F785" t="s">
        <v>11</v>
      </c>
    </row>
    <row r="786" spans="1:6" x14ac:dyDescent="0.25">
      <c r="A786" t="s">
        <v>1816</v>
      </c>
      <c r="B786" t="s">
        <v>47</v>
      </c>
      <c r="C786" t="s">
        <v>1817</v>
      </c>
      <c r="D786" t="s">
        <v>1818</v>
      </c>
      <c r="E786" t="s">
        <v>10</v>
      </c>
      <c r="F786" t="s">
        <v>11</v>
      </c>
    </row>
    <row r="787" spans="1:6" x14ac:dyDescent="0.25">
      <c r="A787" t="s">
        <v>1819</v>
      </c>
      <c r="B787" t="s">
        <v>47</v>
      </c>
      <c r="C787" t="s">
        <v>1820</v>
      </c>
      <c r="D787" t="s">
        <v>1601</v>
      </c>
      <c r="E787" t="s">
        <v>10</v>
      </c>
      <c r="F787" t="s">
        <v>11</v>
      </c>
    </row>
    <row r="788" spans="1:6" x14ac:dyDescent="0.25">
      <c r="A788" t="s">
        <v>1821</v>
      </c>
      <c r="B788" t="s">
        <v>47</v>
      </c>
      <c r="C788" t="s">
        <v>1822</v>
      </c>
      <c r="D788" t="s">
        <v>1823</v>
      </c>
      <c r="E788" t="s">
        <v>10</v>
      </c>
      <c r="F788" t="s">
        <v>11</v>
      </c>
    </row>
    <row r="789" spans="1:6" x14ac:dyDescent="0.25">
      <c r="A789" t="s">
        <v>1824</v>
      </c>
      <c r="B789" t="s">
        <v>47</v>
      </c>
      <c r="C789" t="s">
        <v>47</v>
      </c>
      <c r="D789" t="s">
        <v>1825</v>
      </c>
      <c r="E789" t="s">
        <v>10</v>
      </c>
      <c r="F789" t="s">
        <v>11</v>
      </c>
    </row>
    <row r="790" spans="1:6" x14ac:dyDescent="0.25">
      <c r="A790" t="s">
        <v>1826</v>
      </c>
      <c r="B790" t="s">
        <v>47</v>
      </c>
      <c r="C790" t="s">
        <v>1827</v>
      </c>
      <c r="D790" t="s">
        <v>1828</v>
      </c>
      <c r="E790" t="s">
        <v>1829</v>
      </c>
      <c r="F790" t="s">
        <v>21</v>
      </c>
    </row>
    <row r="791" spans="1:6" x14ac:dyDescent="0.25">
      <c r="A791" t="s">
        <v>1830</v>
      </c>
      <c r="B791" t="s">
        <v>47</v>
      </c>
      <c r="C791" t="s">
        <v>1831</v>
      </c>
      <c r="D791" t="s">
        <v>1232</v>
      </c>
      <c r="E791" t="s">
        <v>44</v>
      </c>
      <c r="F791" t="s">
        <v>21</v>
      </c>
    </row>
    <row r="792" spans="1:6" x14ac:dyDescent="0.25">
      <c r="A792" t="s">
        <v>1832</v>
      </c>
      <c r="B792" t="s">
        <v>47</v>
      </c>
      <c r="C792" t="s">
        <v>1525</v>
      </c>
      <c r="D792" t="s">
        <v>413</v>
      </c>
      <c r="E792" t="s">
        <v>10</v>
      </c>
      <c r="F792" t="s">
        <v>11</v>
      </c>
    </row>
    <row r="793" spans="1:6" x14ac:dyDescent="0.25">
      <c r="A793" t="s">
        <v>1833</v>
      </c>
      <c r="B793" t="s">
        <v>47</v>
      </c>
      <c r="C793" t="s">
        <v>986</v>
      </c>
      <c r="D793" t="s">
        <v>1834</v>
      </c>
      <c r="E793" t="s">
        <v>10</v>
      </c>
      <c r="F793" t="s">
        <v>11</v>
      </c>
    </row>
    <row r="794" spans="1:6" x14ac:dyDescent="0.25">
      <c r="A794" t="s">
        <v>1835</v>
      </c>
      <c r="B794" t="s">
        <v>47</v>
      </c>
      <c r="C794" t="s">
        <v>1390</v>
      </c>
      <c r="D794" t="s">
        <v>1836</v>
      </c>
      <c r="E794" t="s">
        <v>10</v>
      </c>
      <c r="F794" t="s">
        <v>11</v>
      </c>
    </row>
    <row r="795" spans="1:6" x14ac:dyDescent="0.25">
      <c r="A795" t="s">
        <v>1837</v>
      </c>
      <c r="B795" t="s">
        <v>47</v>
      </c>
      <c r="C795" t="s">
        <v>1838</v>
      </c>
      <c r="D795" t="s">
        <v>611</v>
      </c>
      <c r="E795" t="s">
        <v>10</v>
      </c>
      <c r="F795" t="s">
        <v>11</v>
      </c>
    </row>
    <row r="796" spans="1:6" x14ac:dyDescent="0.25">
      <c r="A796" t="s">
        <v>1839</v>
      </c>
      <c r="B796" t="s">
        <v>47</v>
      </c>
      <c r="C796" t="s">
        <v>1840</v>
      </c>
      <c r="D796" t="s">
        <v>1722</v>
      </c>
      <c r="E796" t="s">
        <v>10</v>
      </c>
      <c r="F796" t="s">
        <v>11</v>
      </c>
    </row>
    <row r="797" spans="1:6" x14ac:dyDescent="0.25">
      <c r="A797" t="s">
        <v>1841</v>
      </c>
      <c r="B797" t="s">
        <v>47</v>
      </c>
      <c r="C797" t="s">
        <v>1842</v>
      </c>
      <c r="D797" t="s">
        <v>1843</v>
      </c>
      <c r="E797" t="s">
        <v>10</v>
      </c>
      <c r="F797" t="s">
        <v>11</v>
      </c>
    </row>
    <row r="798" spans="1:6" x14ac:dyDescent="0.25">
      <c r="A798" t="s">
        <v>1844</v>
      </c>
      <c r="B798" t="s">
        <v>47</v>
      </c>
      <c r="C798" t="s">
        <v>1845</v>
      </c>
      <c r="D798" t="s">
        <v>1846</v>
      </c>
      <c r="E798" t="s">
        <v>170</v>
      </c>
      <c r="F798" t="s">
        <v>50</v>
      </c>
    </row>
    <row r="799" spans="1:6" x14ac:dyDescent="0.25">
      <c r="A799" t="s">
        <v>1847</v>
      </c>
      <c r="B799" t="s">
        <v>47</v>
      </c>
      <c r="C799" t="s">
        <v>1848</v>
      </c>
      <c r="D799" t="s">
        <v>1849</v>
      </c>
      <c r="E799" t="s">
        <v>49</v>
      </c>
      <c r="F799" t="s">
        <v>50</v>
      </c>
    </row>
    <row r="800" spans="1:6" x14ac:dyDescent="0.25">
      <c r="A800" t="s">
        <v>1850</v>
      </c>
      <c r="B800" t="s">
        <v>47</v>
      </c>
      <c r="C800" t="s">
        <v>1851</v>
      </c>
      <c r="D800" t="s">
        <v>1852</v>
      </c>
      <c r="E800" t="s">
        <v>10</v>
      </c>
      <c r="F800" t="s">
        <v>11</v>
      </c>
    </row>
    <row r="801" spans="1:6" x14ac:dyDescent="0.25">
      <c r="A801" t="s">
        <v>1853</v>
      </c>
      <c r="B801" t="s">
        <v>47</v>
      </c>
      <c r="C801" s="1">
        <v>0</v>
      </c>
      <c r="E801" t="s">
        <v>365</v>
      </c>
      <c r="F801" t="s">
        <v>11</v>
      </c>
    </row>
    <row r="802" spans="1:6" x14ac:dyDescent="0.25">
      <c r="A802" t="s">
        <v>1854</v>
      </c>
      <c r="B802" t="s">
        <v>47</v>
      </c>
      <c r="C802" t="s">
        <v>1390</v>
      </c>
      <c r="D802" t="s">
        <v>469</v>
      </c>
      <c r="E802" t="s">
        <v>10</v>
      </c>
      <c r="F802" t="s">
        <v>11</v>
      </c>
    </row>
    <row r="803" spans="1:6" x14ac:dyDescent="0.25">
      <c r="A803" t="s">
        <v>1855</v>
      </c>
      <c r="B803" t="s">
        <v>47</v>
      </c>
      <c r="C803" t="s">
        <v>1165</v>
      </c>
      <c r="D803" t="s">
        <v>1856</v>
      </c>
    </row>
    <row r="804" spans="1:6" x14ac:dyDescent="0.25">
      <c r="A804" t="s">
        <v>1857</v>
      </c>
      <c r="B804" t="s">
        <v>47</v>
      </c>
      <c r="C804" t="s">
        <v>106</v>
      </c>
      <c r="D804" t="s">
        <v>1361</v>
      </c>
      <c r="E804" t="s">
        <v>1858</v>
      </c>
      <c r="F804" t="s">
        <v>109</v>
      </c>
    </row>
    <row r="805" spans="1:6" x14ac:dyDescent="0.25">
      <c r="A805" t="s">
        <v>1859</v>
      </c>
      <c r="B805" t="s">
        <v>47</v>
      </c>
      <c r="C805" t="s">
        <v>785</v>
      </c>
      <c r="D805" t="s">
        <v>1860</v>
      </c>
      <c r="E805" t="s">
        <v>10</v>
      </c>
      <c r="F805" t="s">
        <v>11</v>
      </c>
    </row>
    <row r="806" spans="1:6" x14ac:dyDescent="0.25">
      <c r="A806" t="s">
        <v>1861</v>
      </c>
      <c r="B806" t="s">
        <v>47</v>
      </c>
      <c r="C806" t="s">
        <v>715</v>
      </c>
      <c r="D806" t="s">
        <v>1862</v>
      </c>
      <c r="E806" t="s">
        <v>187</v>
      </c>
      <c r="F806" t="s">
        <v>50</v>
      </c>
    </row>
    <row r="807" spans="1:6" x14ac:dyDescent="0.25">
      <c r="A807" t="s">
        <v>1863</v>
      </c>
      <c r="B807" t="s">
        <v>47</v>
      </c>
      <c r="C807" t="s">
        <v>1864</v>
      </c>
      <c r="D807" t="s">
        <v>1865</v>
      </c>
      <c r="E807" t="s">
        <v>10</v>
      </c>
      <c r="F807" t="s">
        <v>11</v>
      </c>
    </row>
    <row r="808" spans="1:6" x14ac:dyDescent="0.25">
      <c r="A808" t="s">
        <v>1866</v>
      </c>
      <c r="B808" t="s">
        <v>47</v>
      </c>
      <c r="C808" t="s">
        <v>280</v>
      </c>
      <c r="D808" t="s">
        <v>1867</v>
      </c>
      <c r="E808" t="s">
        <v>20</v>
      </c>
      <c r="F808" t="s">
        <v>21</v>
      </c>
    </row>
    <row r="809" spans="1:6" x14ac:dyDescent="0.25">
      <c r="A809" t="s">
        <v>1868</v>
      </c>
      <c r="B809" t="s">
        <v>47</v>
      </c>
      <c r="C809" t="s">
        <v>894</v>
      </c>
      <c r="D809" t="s">
        <v>1869</v>
      </c>
      <c r="E809" t="s">
        <v>62</v>
      </c>
      <c r="F809" t="s">
        <v>63</v>
      </c>
    </row>
    <row r="810" spans="1:6" x14ac:dyDescent="0.25">
      <c r="A810" t="s">
        <v>1870</v>
      </c>
      <c r="B810" t="s">
        <v>47</v>
      </c>
      <c r="C810" t="s">
        <v>1433</v>
      </c>
      <c r="D810" t="s">
        <v>1605</v>
      </c>
      <c r="E810" t="s">
        <v>1172</v>
      </c>
      <c r="F810" t="s">
        <v>21</v>
      </c>
    </row>
    <row r="811" spans="1:6" x14ac:dyDescent="0.25">
      <c r="A811" t="s">
        <v>1871</v>
      </c>
      <c r="B811" t="s">
        <v>47</v>
      </c>
      <c r="C811" t="s">
        <v>1872</v>
      </c>
      <c r="D811" t="s">
        <v>1873</v>
      </c>
      <c r="E811" t="s">
        <v>10</v>
      </c>
      <c r="F811" t="s">
        <v>11</v>
      </c>
    </row>
    <row r="812" spans="1:6" x14ac:dyDescent="0.25">
      <c r="A812" t="s">
        <v>1874</v>
      </c>
      <c r="B812" t="s">
        <v>47</v>
      </c>
      <c r="C812" t="s">
        <v>1875</v>
      </c>
      <c r="D812" t="s">
        <v>1876</v>
      </c>
      <c r="E812" t="s">
        <v>10</v>
      </c>
      <c r="F812" t="s">
        <v>11</v>
      </c>
    </row>
    <row r="813" spans="1:6" x14ac:dyDescent="0.25">
      <c r="A813" t="s">
        <v>1877</v>
      </c>
      <c r="B813" t="s">
        <v>47</v>
      </c>
      <c r="C813" t="s">
        <v>1838</v>
      </c>
      <c r="D813" t="s">
        <v>1878</v>
      </c>
      <c r="E813" t="s">
        <v>10</v>
      </c>
      <c r="F813" t="s">
        <v>11</v>
      </c>
    </row>
    <row r="814" spans="1:6" x14ac:dyDescent="0.25">
      <c r="A814" t="s">
        <v>1879</v>
      </c>
      <c r="B814" t="s">
        <v>47</v>
      </c>
      <c r="C814" t="s">
        <v>1880</v>
      </c>
      <c r="D814" t="s">
        <v>1881</v>
      </c>
      <c r="E814" t="s">
        <v>10</v>
      </c>
      <c r="F814" t="s">
        <v>11</v>
      </c>
    </row>
    <row r="815" spans="1:6" x14ac:dyDescent="0.25">
      <c r="A815" t="s">
        <v>1882</v>
      </c>
      <c r="B815" t="s">
        <v>47</v>
      </c>
      <c r="C815" t="s">
        <v>1883</v>
      </c>
      <c r="D815" t="s">
        <v>1884</v>
      </c>
      <c r="E815" t="s">
        <v>10</v>
      </c>
      <c r="F815" t="s">
        <v>11</v>
      </c>
    </row>
    <row r="816" spans="1:6" x14ac:dyDescent="0.25">
      <c r="A816" t="s">
        <v>1885</v>
      </c>
      <c r="B816" t="s">
        <v>47</v>
      </c>
      <c r="C816" t="s">
        <v>511</v>
      </c>
      <c r="D816" t="s">
        <v>1886</v>
      </c>
      <c r="E816" t="s">
        <v>20</v>
      </c>
      <c r="F816" t="s">
        <v>21</v>
      </c>
    </row>
    <row r="817" spans="1:6" x14ac:dyDescent="0.25">
      <c r="A817" t="s">
        <v>1887</v>
      </c>
      <c r="B817" t="s">
        <v>47</v>
      </c>
      <c r="C817" t="s">
        <v>1888</v>
      </c>
      <c r="D817" t="s">
        <v>1889</v>
      </c>
      <c r="E817" t="s">
        <v>10</v>
      </c>
      <c r="F817" t="s">
        <v>11</v>
      </c>
    </row>
    <row r="818" spans="1:6" x14ac:dyDescent="0.25">
      <c r="A818" t="s">
        <v>1890</v>
      </c>
      <c r="B818" t="s">
        <v>47</v>
      </c>
      <c r="C818" t="s">
        <v>1891</v>
      </c>
      <c r="D818" t="s">
        <v>1892</v>
      </c>
      <c r="E818" t="s">
        <v>787</v>
      </c>
      <c r="F818" t="s">
        <v>50</v>
      </c>
    </row>
    <row r="819" spans="1:6" x14ac:dyDescent="0.25">
      <c r="A819" t="s">
        <v>1893</v>
      </c>
      <c r="B819" t="s">
        <v>47</v>
      </c>
      <c r="C819" t="s">
        <v>1894</v>
      </c>
      <c r="D819" t="s">
        <v>254</v>
      </c>
      <c r="E819" t="s">
        <v>10</v>
      </c>
      <c r="F819" t="s">
        <v>11</v>
      </c>
    </row>
    <row r="820" spans="1:6" x14ac:dyDescent="0.25">
      <c r="A820" t="s">
        <v>1895</v>
      </c>
      <c r="B820" t="s">
        <v>47</v>
      </c>
      <c r="C820" t="s">
        <v>1896</v>
      </c>
      <c r="D820" t="s">
        <v>696</v>
      </c>
      <c r="E820" t="s">
        <v>10</v>
      </c>
      <c r="F820" t="s">
        <v>11</v>
      </c>
    </row>
    <row r="821" spans="1:6" x14ac:dyDescent="0.25">
      <c r="A821" t="s">
        <v>1897</v>
      </c>
      <c r="B821" t="s">
        <v>47</v>
      </c>
      <c r="C821" t="s">
        <v>1898</v>
      </c>
      <c r="D821" t="s">
        <v>1899</v>
      </c>
      <c r="E821" t="s">
        <v>10</v>
      </c>
      <c r="F821" t="s">
        <v>11</v>
      </c>
    </row>
    <row r="822" spans="1:6" x14ac:dyDescent="0.25">
      <c r="A822" t="s">
        <v>1900</v>
      </c>
      <c r="B822" t="s">
        <v>47</v>
      </c>
      <c r="C822" t="s">
        <v>1901</v>
      </c>
      <c r="E822" t="s">
        <v>1902</v>
      </c>
      <c r="F822" t="s">
        <v>11</v>
      </c>
    </row>
    <row r="823" spans="1:6" x14ac:dyDescent="0.25">
      <c r="A823" t="s">
        <v>1903</v>
      </c>
      <c r="B823" t="s">
        <v>47</v>
      </c>
      <c r="C823" t="s">
        <v>1904</v>
      </c>
      <c r="D823" t="s">
        <v>1905</v>
      </c>
      <c r="E823" t="s">
        <v>10</v>
      </c>
      <c r="F823" t="s">
        <v>11</v>
      </c>
    </row>
    <row r="824" spans="1:6" x14ac:dyDescent="0.25">
      <c r="A824" t="s">
        <v>1906</v>
      </c>
      <c r="B824" t="s">
        <v>47</v>
      </c>
      <c r="C824" t="s">
        <v>1346</v>
      </c>
      <c r="D824" t="s">
        <v>137</v>
      </c>
      <c r="E824" t="s">
        <v>10</v>
      </c>
      <c r="F824" t="s">
        <v>11</v>
      </c>
    </row>
    <row r="825" spans="1:6" x14ac:dyDescent="0.25">
      <c r="A825" t="s">
        <v>1907</v>
      </c>
      <c r="B825" t="s">
        <v>47</v>
      </c>
      <c r="C825" t="s">
        <v>1908</v>
      </c>
      <c r="D825" t="s">
        <v>1909</v>
      </c>
      <c r="E825" t="s">
        <v>44</v>
      </c>
      <c r="F825" t="s">
        <v>21</v>
      </c>
    </row>
    <row r="826" spans="1:6" x14ac:dyDescent="0.25">
      <c r="A826" t="s">
        <v>1910</v>
      </c>
      <c r="B826" t="s">
        <v>47</v>
      </c>
      <c r="C826" t="s">
        <v>1891</v>
      </c>
      <c r="D826" t="s">
        <v>1911</v>
      </c>
      <c r="E826" t="s">
        <v>10</v>
      </c>
      <c r="F826" t="s">
        <v>11</v>
      </c>
    </row>
    <row r="827" spans="1:6" x14ac:dyDescent="0.25">
      <c r="A827" t="s">
        <v>1912</v>
      </c>
      <c r="B827" t="s">
        <v>47</v>
      </c>
      <c r="C827" t="s">
        <v>628</v>
      </c>
      <c r="D827" t="s">
        <v>1913</v>
      </c>
      <c r="E827" t="s">
        <v>10</v>
      </c>
      <c r="F827" t="s">
        <v>11</v>
      </c>
    </row>
    <row r="828" spans="1:6" x14ac:dyDescent="0.25">
      <c r="A828" t="s">
        <v>1914</v>
      </c>
      <c r="B828" t="s">
        <v>47</v>
      </c>
      <c r="C828" t="s">
        <v>1915</v>
      </c>
      <c r="D828" t="s">
        <v>1507</v>
      </c>
      <c r="E828" t="s">
        <v>10</v>
      </c>
      <c r="F828" t="s">
        <v>11</v>
      </c>
    </row>
    <row r="829" spans="1:6" x14ac:dyDescent="0.25">
      <c r="A829" t="s">
        <v>1916</v>
      </c>
      <c r="B829" t="s">
        <v>47</v>
      </c>
      <c r="C829" t="s">
        <v>1917</v>
      </c>
      <c r="D829" t="s">
        <v>159</v>
      </c>
      <c r="E829" t="s">
        <v>44</v>
      </c>
      <c r="F829" t="s">
        <v>21</v>
      </c>
    </row>
    <row r="830" spans="1:6" x14ac:dyDescent="0.25">
      <c r="A830" t="s">
        <v>1918</v>
      </c>
      <c r="B830" t="s">
        <v>47</v>
      </c>
      <c r="C830" t="s">
        <v>1569</v>
      </c>
      <c r="D830" t="s">
        <v>1042</v>
      </c>
      <c r="E830" t="s">
        <v>10</v>
      </c>
      <c r="F830" t="s">
        <v>11</v>
      </c>
    </row>
    <row r="831" spans="1:6" x14ac:dyDescent="0.25">
      <c r="A831" t="s">
        <v>1919</v>
      </c>
      <c r="B831" t="s">
        <v>47</v>
      </c>
      <c r="C831" t="s">
        <v>487</v>
      </c>
      <c r="D831" t="s">
        <v>689</v>
      </c>
      <c r="E831" t="s">
        <v>10</v>
      </c>
      <c r="F831" t="s">
        <v>11</v>
      </c>
    </row>
    <row r="832" spans="1:6" x14ac:dyDescent="0.25">
      <c r="A832" t="s">
        <v>1920</v>
      </c>
      <c r="B832" t="s">
        <v>47</v>
      </c>
      <c r="C832" t="s">
        <v>1921</v>
      </c>
      <c r="D832" t="s">
        <v>1922</v>
      </c>
      <c r="E832" t="s">
        <v>10</v>
      </c>
      <c r="F832" t="s">
        <v>11</v>
      </c>
    </row>
    <row r="833" spans="1:6" x14ac:dyDescent="0.25">
      <c r="A833" t="s">
        <v>1923</v>
      </c>
      <c r="B833" t="s">
        <v>47</v>
      </c>
      <c r="C833" t="s">
        <v>1904</v>
      </c>
      <c r="D833" t="s">
        <v>1671</v>
      </c>
      <c r="E833" t="s">
        <v>10</v>
      </c>
      <c r="F833" t="s">
        <v>11</v>
      </c>
    </row>
    <row r="834" spans="1:6" x14ac:dyDescent="0.25">
      <c r="A834" t="s">
        <v>1924</v>
      </c>
      <c r="B834" t="s">
        <v>47</v>
      </c>
      <c r="C834" t="s">
        <v>495</v>
      </c>
      <c r="D834" t="s">
        <v>221</v>
      </c>
      <c r="E834" t="s">
        <v>10</v>
      </c>
      <c r="F834" t="s">
        <v>11</v>
      </c>
    </row>
    <row r="835" spans="1:6" x14ac:dyDescent="0.25">
      <c r="A835" t="s">
        <v>1925</v>
      </c>
      <c r="B835" t="s">
        <v>47</v>
      </c>
      <c r="C835" t="s">
        <v>1926</v>
      </c>
      <c r="D835" t="s">
        <v>1927</v>
      </c>
      <c r="E835" t="s">
        <v>10</v>
      </c>
      <c r="F835" t="s">
        <v>11</v>
      </c>
    </row>
    <row r="836" spans="1:6" x14ac:dyDescent="0.25">
      <c r="A836" t="s">
        <v>1928</v>
      </c>
      <c r="B836" t="s">
        <v>47</v>
      </c>
      <c r="C836" t="s">
        <v>1929</v>
      </c>
      <c r="D836" t="s">
        <v>1930</v>
      </c>
      <c r="E836" t="s">
        <v>294</v>
      </c>
      <c r="F836" t="s">
        <v>21</v>
      </c>
    </row>
    <row r="837" spans="1:6" x14ac:dyDescent="0.25">
      <c r="A837" t="s">
        <v>1931</v>
      </c>
      <c r="B837" t="s">
        <v>47</v>
      </c>
      <c r="C837" t="s">
        <v>1932</v>
      </c>
      <c r="D837" t="s">
        <v>254</v>
      </c>
      <c r="E837" t="s">
        <v>10</v>
      </c>
      <c r="F837" t="s">
        <v>11</v>
      </c>
    </row>
    <row r="838" spans="1:6" x14ac:dyDescent="0.25">
      <c r="A838" t="s">
        <v>1933</v>
      </c>
      <c r="B838" t="s">
        <v>47</v>
      </c>
      <c r="C838" t="s">
        <v>370</v>
      </c>
      <c r="D838" t="s">
        <v>1934</v>
      </c>
      <c r="E838" t="s">
        <v>20</v>
      </c>
      <c r="F838" t="s">
        <v>21</v>
      </c>
    </row>
    <row r="839" spans="1:6" x14ac:dyDescent="0.25">
      <c r="A839" t="s">
        <v>1935</v>
      </c>
      <c r="B839" t="s">
        <v>47</v>
      </c>
      <c r="C839" t="s">
        <v>1101</v>
      </c>
      <c r="D839" t="s">
        <v>409</v>
      </c>
      <c r="E839" t="s">
        <v>10</v>
      </c>
      <c r="F839" t="s">
        <v>11</v>
      </c>
    </row>
    <row r="840" spans="1:6" x14ac:dyDescent="0.25">
      <c r="A840" t="s">
        <v>1936</v>
      </c>
      <c r="B840" t="s">
        <v>47</v>
      </c>
      <c r="C840" t="s">
        <v>1714</v>
      </c>
      <c r="D840" t="s">
        <v>1937</v>
      </c>
      <c r="E840" t="s">
        <v>20</v>
      </c>
      <c r="F840" t="s">
        <v>21</v>
      </c>
    </row>
    <row r="841" spans="1:6" x14ac:dyDescent="0.25">
      <c r="A841" t="s">
        <v>1938</v>
      </c>
      <c r="B841" t="s">
        <v>47</v>
      </c>
      <c r="C841" t="s">
        <v>1939</v>
      </c>
      <c r="D841" t="s">
        <v>1940</v>
      </c>
      <c r="E841" t="s">
        <v>10</v>
      </c>
      <c r="F841" t="s">
        <v>11</v>
      </c>
    </row>
    <row r="842" spans="1:6" x14ac:dyDescent="0.25">
      <c r="A842" t="s">
        <v>1941</v>
      </c>
      <c r="B842" t="s">
        <v>47</v>
      </c>
      <c r="C842" t="s">
        <v>1942</v>
      </c>
      <c r="D842" t="s">
        <v>1943</v>
      </c>
      <c r="E842" t="s">
        <v>20</v>
      </c>
      <c r="F842" t="s">
        <v>21</v>
      </c>
    </row>
    <row r="843" spans="1:6" x14ac:dyDescent="0.25">
      <c r="A843" t="s">
        <v>1944</v>
      </c>
      <c r="B843" t="s">
        <v>47</v>
      </c>
      <c r="C843" t="s">
        <v>1646</v>
      </c>
      <c r="D843" t="s">
        <v>1945</v>
      </c>
      <c r="E843" t="s">
        <v>20</v>
      </c>
      <c r="F843" t="s">
        <v>21</v>
      </c>
    </row>
    <row r="844" spans="1:6" x14ac:dyDescent="0.25">
      <c r="A844" t="s">
        <v>1946</v>
      </c>
      <c r="B844" t="s">
        <v>47</v>
      </c>
      <c r="C844" t="s">
        <v>1947</v>
      </c>
      <c r="D844" t="s">
        <v>1620</v>
      </c>
      <c r="E844" t="s">
        <v>20</v>
      </c>
      <c r="F844" t="s">
        <v>21</v>
      </c>
    </row>
    <row r="845" spans="1:6" x14ac:dyDescent="0.25">
      <c r="A845" t="s">
        <v>1948</v>
      </c>
      <c r="B845" t="s">
        <v>47</v>
      </c>
      <c r="C845" t="s">
        <v>1022</v>
      </c>
      <c r="E845" t="s">
        <v>20</v>
      </c>
      <c r="F845" t="s">
        <v>21</v>
      </c>
    </row>
    <row r="846" spans="1:6" x14ac:dyDescent="0.25">
      <c r="A846" t="s">
        <v>1949</v>
      </c>
      <c r="B846" t="s">
        <v>47</v>
      </c>
      <c r="C846" t="s">
        <v>1950</v>
      </c>
      <c r="D846" t="s">
        <v>1951</v>
      </c>
      <c r="E846" t="s">
        <v>365</v>
      </c>
      <c r="F846" t="s">
        <v>11</v>
      </c>
    </row>
    <row r="847" spans="1:6" x14ac:dyDescent="0.25">
      <c r="A847" t="s">
        <v>1952</v>
      </c>
      <c r="B847" t="s">
        <v>47</v>
      </c>
      <c r="C847" t="s">
        <v>1851</v>
      </c>
      <c r="D847" t="s">
        <v>1953</v>
      </c>
      <c r="E847" t="s">
        <v>20</v>
      </c>
      <c r="F847" t="s">
        <v>21</v>
      </c>
    </row>
    <row r="848" spans="1:6" x14ac:dyDescent="0.25">
      <c r="A848" t="s">
        <v>1954</v>
      </c>
      <c r="B848" t="s">
        <v>47</v>
      </c>
      <c r="C848" t="s">
        <v>1955</v>
      </c>
      <c r="D848" t="s">
        <v>1956</v>
      </c>
      <c r="E848" t="s">
        <v>384</v>
      </c>
      <c r="F848" t="s">
        <v>21</v>
      </c>
    </row>
    <row r="849" spans="1:6" x14ac:dyDescent="0.25">
      <c r="A849" t="s">
        <v>1957</v>
      </c>
      <c r="B849" t="s">
        <v>47</v>
      </c>
      <c r="C849" s="1">
        <v>0</v>
      </c>
      <c r="D849" t="s">
        <v>1958</v>
      </c>
      <c r="E849" t="s">
        <v>10</v>
      </c>
      <c r="F849" t="s">
        <v>11</v>
      </c>
    </row>
    <row r="850" spans="1:6" x14ac:dyDescent="0.25">
      <c r="A850" t="s">
        <v>1959</v>
      </c>
      <c r="B850" t="s">
        <v>47</v>
      </c>
      <c r="C850" t="s">
        <v>1960</v>
      </c>
      <c r="D850" t="s">
        <v>1961</v>
      </c>
      <c r="E850" t="s">
        <v>10</v>
      </c>
      <c r="F850" t="s">
        <v>11</v>
      </c>
    </row>
    <row r="851" spans="1:6" x14ac:dyDescent="0.25">
      <c r="A851" t="s">
        <v>1962</v>
      </c>
      <c r="B851" t="s">
        <v>47</v>
      </c>
      <c r="C851" t="s">
        <v>1963</v>
      </c>
      <c r="D851" t="s">
        <v>254</v>
      </c>
      <c r="E851" t="s">
        <v>242</v>
      </c>
      <c r="F851" t="s">
        <v>21</v>
      </c>
    </row>
    <row r="852" spans="1:6" x14ac:dyDescent="0.25">
      <c r="A852" t="s">
        <v>1964</v>
      </c>
      <c r="B852" t="s">
        <v>47</v>
      </c>
      <c r="C852" t="s">
        <v>125</v>
      </c>
      <c r="D852" t="s">
        <v>1965</v>
      </c>
      <c r="E852" t="s">
        <v>20</v>
      </c>
      <c r="F852" t="s">
        <v>21</v>
      </c>
    </row>
    <row r="853" spans="1:6" x14ac:dyDescent="0.25">
      <c r="A853" t="s">
        <v>1966</v>
      </c>
      <c r="B853" t="s">
        <v>47</v>
      </c>
      <c r="C853" s="1">
        <v>0</v>
      </c>
      <c r="D853" t="s">
        <v>1620</v>
      </c>
      <c r="E853" t="s">
        <v>20</v>
      </c>
      <c r="F853" t="s">
        <v>21</v>
      </c>
    </row>
    <row r="854" spans="1:6" x14ac:dyDescent="0.25">
      <c r="A854" t="s">
        <v>1967</v>
      </c>
      <c r="B854" t="s">
        <v>47</v>
      </c>
      <c r="C854" t="s">
        <v>1968</v>
      </c>
      <c r="D854" t="s">
        <v>1969</v>
      </c>
      <c r="E854" t="s">
        <v>1035</v>
      </c>
      <c r="F854" t="s">
        <v>21</v>
      </c>
    </row>
    <row r="855" spans="1:6" x14ac:dyDescent="0.25">
      <c r="A855" t="s">
        <v>1970</v>
      </c>
      <c r="B855" t="s">
        <v>47</v>
      </c>
      <c r="C855" t="s">
        <v>1971</v>
      </c>
      <c r="D855" t="s">
        <v>731</v>
      </c>
      <c r="E855" t="s">
        <v>20</v>
      </c>
      <c r="F855" t="s">
        <v>21</v>
      </c>
    </row>
    <row r="856" spans="1:6" x14ac:dyDescent="0.25">
      <c r="A856" t="s">
        <v>1972</v>
      </c>
      <c r="B856" t="s">
        <v>47</v>
      </c>
      <c r="C856" t="s">
        <v>1973</v>
      </c>
    </row>
    <row r="857" spans="1:6" x14ac:dyDescent="0.25">
      <c r="A857" t="s">
        <v>1974</v>
      </c>
      <c r="B857" t="s">
        <v>47</v>
      </c>
      <c r="C857" t="s">
        <v>1975</v>
      </c>
      <c r="E857" t="s">
        <v>20</v>
      </c>
      <c r="F857" t="s">
        <v>21</v>
      </c>
    </row>
    <row r="858" spans="1:6" x14ac:dyDescent="0.25">
      <c r="A858" t="s">
        <v>1976</v>
      </c>
      <c r="B858" t="s">
        <v>47</v>
      </c>
      <c r="C858" t="s">
        <v>1278</v>
      </c>
      <c r="D858" t="s">
        <v>641</v>
      </c>
      <c r="E858" t="s">
        <v>360</v>
      </c>
      <c r="F858" t="s">
        <v>50</v>
      </c>
    </row>
    <row r="859" spans="1:6" x14ac:dyDescent="0.25">
      <c r="A859" t="s">
        <v>1977</v>
      </c>
      <c r="B859" t="s">
        <v>47</v>
      </c>
      <c r="C859" t="s">
        <v>1549</v>
      </c>
      <c r="D859" t="s">
        <v>1813</v>
      </c>
      <c r="E859" t="s">
        <v>10</v>
      </c>
      <c r="F859" t="s">
        <v>11</v>
      </c>
    </row>
    <row r="860" spans="1:6" x14ac:dyDescent="0.25">
      <c r="A860" t="s">
        <v>1978</v>
      </c>
      <c r="B860" t="s">
        <v>47</v>
      </c>
      <c r="C860" t="s">
        <v>1774</v>
      </c>
      <c r="D860" t="s">
        <v>254</v>
      </c>
      <c r="E860" t="s">
        <v>10</v>
      </c>
      <c r="F860" t="s">
        <v>11</v>
      </c>
    </row>
    <row r="861" spans="1:6" x14ac:dyDescent="0.25">
      <c r="A861" t="s">
        <v>1979</v>
      </c>
      <c r="B861" t="s">
        <v>47</v>
      </c>
      <c r="C861" t="s">
        <v>1980</v>
      </c>
      <c r="D861" t="s">
        <v>1981</v>
      </c>
      <c r="E861" t="s">
        <v>10</v>
      </c>
      <c r="F861" t="s">
        <v>11</v>
      </c>
    </row>
    <row r="862" spans="1:6" x14ac:dyDescent="0.25">
      <c r="A862" t="s">
        <v>1982</v>
      </c>
      <c r="B862" t="s">
        <v>47</v>
      </c>
      <c r="C862" t="s">
        <v>1431</v>
      </c>
      <c r="D862" t="s">
        <v>1983</v>
      </c>
      <c r="E862" t="s">
        <v>1488</v>
      </c>
      <c r="F862" t="s">
        <v>21</v>
      </c>
    </row>
    <row r="863" spans="1:6" x14ac:dyDescent="0.25">
      <c r="A863" t="s">
        <v>1984</v>
      </c>
      <c r="B863" t="s">
        <v>47</v>
      </c>
      <c r="C863" t="s">
        <v>1985</v>
      </c>
      <c r="D863" t="s">
        <v>1282</v>
      </c>
      <c r="E863" t="s">
        <v>10</v>
      </c>
      <c r="F863" t="s">
        <v>11</v>
      </c>
    </row>
    <row r="864" spans="1:6" x14ac:dyDescent="0.25">
      <c r="A864" t="s">
        <v>1986</v>
      </c>
      <c r="B864" t="s">
        <v>47</v>
      </c>
      <c r="C864" t="s">
        <v>1987</v>
      </c>
      <c r="D864" t="s">
        <v>1988</v>
      </c>
      <c r="E864" t="s">
        <v>1035</v>
      </c>
      <c r="F864" t="s">
        <v>21</v>
      </c>
    </row>
    <row r="865" spans="1:6" x14ac:dyDescent="0.25">
      <c r="A865" t="s">
        <v>1989</v>
      </c>
      <c r="B865" t="s">
        <v>47</v>
      </c>
      <c r="C865" t="s">
        <v>1802</v>
      </c>
      <c r="D865" t="s">
        <v>689</v>
      </c>
      <c r="E865" t="s">
        <v>10</v>
      </c>
      <c r="F865" t="s">
        <v>11</v>
      </c>
    </row>
    <row r="866" spans="1:6" x14ac:dyDescent="0.25">
      <c r="A866" t="s">
        <v>1990</v>
      </c>
      <c r="B866" t="s">
        <v>47</v>
      </c>
      <c r="C866" t="s">
        <v>1991</v>
      </c>
      <c r="D866" t="s">
        <v>1992</v>
      </c>
      <c r="E866" t="s">
        <v>10</v>
      </c>
      <c r="F866" t="s">
        <v>11</v>
      </c>
    </row>
    <row r="867" spans="1:6" x14ac:dyDescent="0.25">
      <c r="A867" t="s">
        <v>1993</v>
      </c>
      <c r="B867" t="s">
        <v>47</v>
      </c>
      <c r="C867" t="s">
        <v>1994</v>
      </c>
      <c r="D867" t="s">
        <v>611</v>
      </c>
      <c r="E867" t="s">
        <v>10</v>
      </c>
      <c r="F867" t="s">
        <v>11</v>
      </c>
    </row>
    <row r="868" spans="1:6" x14ac:dyDescent="0.25">
      <c r="A868" t="s">
        <v>1995</v>
      </c>
      <c r="B868" t="s">
        <v>47</v>
      </c>
      <c r="C868" t="s">
        <v>1996</v>
      </c>
      <c r="E868" t="s">
        <v>10</v>
      </c>
      <c r="F868" t="s">
        <v>11</v>
      </c>
    </row>
    <row r="869" spans="1:6" x14ac:dyDescent="0.25">
      <c r="A869" t="s">
        <v>1997</v>
      </c>
      <c r="B869" t="s">
        <v>47</v>
      </c>
      <c r="C869" t="s">
        <v>1281</v>
      </c>
      <c r="D869" t="s">
        <v>1998</v>
      </c>
      <c r="E869" t="s">
        <v>275</v>
      </c>
      <c r="F869" t="s">
        <v>21</v>
      </c>
    </row>
    <row r="870" spans="1:6" x14ac:dyDescent="0.25">
      <c r="A870" t="s">
        <v>1999</v>
      </c>
      <c r="B870" t="s">
        <v>47</v>
      </c>
      <c r="C870" t="s">
        <v>2000</v>
      </c>
      <c r="D870" t="s">
        <v>496</v>
      </c>
      <c r="E870" t="s">
        <v>10</v>
      </c>
      <c r="F870" t="s">
        <v>11</v>
      </c>
    </row>
    <row r="871" spans="1:6" x14ac:dyDescent="0.25">
      <c r="A871" t="s">
        <v>2001</v>
      </c>
      <c r="B871" t="s">
        <v>47</v>
      </c>
      <c r="C871" t="s">
        <v>1428</v>
      </c>
      <c r="D871" t="s">
        <v>1927</v>
      </c>
      <c r="E871" t="s">
        <v>10</v>
      </c>
      <c r="F871" t="s">
        <v>11</v>
      </c>
    </row>
    <row r="872" spans="1:6" x14ac:dyDescent="0.25">
      <c r="A872" t="s">
        <v>2002</v>
      </c>
      <c r="B872" t="s">
        <v>47</v>
      </c>
      <c r="C872" t="s">
        <v>1896</v>
      </c>
      <c r="D872" t="s">
        <v>2003</v>
      </c>
      <c r="E872" t="s">
        <v>10</v>
      </c>
      <c r="F872" t="s">
        <v>11</v>
      </c>
    </row>
    <row r="873" spans="1:6" x14ac:dyDescent="0.25">
      <c r="A873" t="s">
        <v>2004</v>
      </c>
      <c r="B873" t="s">
        <v>47</v>
      </c>
      <c r="C873" t="s">
        <v>2005</v>
      </c>
      <c r="D873" t="s">
        <v>876</v>
      </c>
      <c r="E873" t="s">
        <v>10</v>
      </c>
      <c r="F873" t="s">
        <v>11</v>
      </c>
    </row>
    <row r="874" spans="1:6" x14ac:dyDescent="0.25">
      <c r="A874" t="s">
        <v>2006</v>
      </c>
      <c r="B874" t="s">
        <v>47</v>
      </c>
      <c r="C874" t="s">
        <v>2007</v>
      </c>
      <c r="D874" t="s">
        <v>1647</v>
      </c>
      <c r="E874" t="s">
        <v>10</v>
      </c>
      <c r="F874" t="s">
        <v>11</v>
      </c>
    </row>
    <row r="875" spans="1:6" x14ac:dyDescent="0.25">
      <c r="A875" t="s">
        <v>2008</v>
      </c>
      <c r="B875" t="s">
        <v>47</v>
      </c>
      <c r="C875" t="s">
        <v>1525</v>
      </c>
      <c r="D875" t="s">
        <v>1437</v>
      </c>
      <c r="E875" t="s">
        <v>44</v>
      </c>
      <c r="F875" t="s">
        <v>21</v>
      </c>
    </row>
    <row r="876" spans="1:6" x14ac:dyDescent="0.25">
      <c r="A876" t="s">
        <v>2009</v>
      </c>
      <c r="B876" t="s">
        <v>47</v>
      </c>
      <c r="C876" t="s">
        <v>2010</v>
      </c>
      <c r="D876" t="s">
        <v>254</v>
      </c>
      <c r="E876" t="s">
        <v>10</v>
      </c>
      <c r="F876" t="s">
        <v>11</v>
      </c>
    </row>
    <row r="877" spans="1:6" x14ac:dyDescent="0.25">
      <c r="A877" t="s">
        <v>2011</v>
      </c>
      <c r="B877" t="s">
        <v>47</v>
      </c>
      <c r="C877" t="s">
        <v>2012</v>
      </c>
      <c r="D877" t="s">
        <v>636</v>
      </c>
      <c r="E877" t="s">
        <v>10</v>
      </c>
      <c r="F877" t="s">
        <v>11</v>
      </c>
    </row>
    <row r="878" spans="1:6" x14ac:dyDescent="0.25">
      <c r="A878" t="s">
        <v>2013</v>
      </c>
      <c r="B878" t="s">
        <v>47</v>
      </c>
      <c r="C878" t="s">
        <v>1157</v>
      </c>
      <c r="D878" t="s">
        <v>2014</v>
      </c>
      <c r="E878" t="s">
        <v>10</v>
      </c>
      <c r="F878" t="s">
        <v>11</v>
      </c>
    </row>
    <row r="879" spans="1:6" x14ac:dyDescent="0.25">
      <c r="A879" t="s">
        <v>2015</v>
      </c>
      <c r="B879" t="s">
        <v>47</v>
      </c>
      <c r="C879" t="s">
        <v>986</v>
      </c>
      <c r="D879" t="s">
        <v>1542</v>
      </c>
      <c r="E879" t="s">
        <v>10</v>
      </c>
      <c r="F879" t="s">
        <v>11</v>
      </c>
    </row>
    <row r="880" spans="1:6" x14ac:dyDescent="0.25">
      <c r="A880" t="s">
        <v>2016</v>
      </c>
      <c r="B880" t="s">
        <v>47</v>
      </c>
      <c r="C880" t="s">
        <v>2017</v>
      </c>
      <c r="D880" t="s">
        <v>2018</v>
      </c>
      <c r="E880" t="s">
        <v>319</v>
      </c>
      <c r="F880" t="s">
        <v>50</v>
      </c>
    </row>
    <row r="881" spans="1:6" x14ac:dyDescent="0.25">
      <c r="A881" t="s">
        <v>2019</v>
      </c>
      <c r="B881" t="s">
        <v>47</v>
      </c>
      <c r="C881" t="s">
        <v>2020</v>
      </c>
      <c r="D881" t="s">
        <v>2021</v>
      </c>
      <c r="E881" t="s">
        <v>49</v>
      </c>
      <c r="F881" t="s">
        <v>50</v>
      </c>
    </row>
    <row r="882" spans="1:6" x14ac:dyDescent="0.25">
      <c r="A882" t="s">
        <v>2022</v>
      </c>
      <c r="B882" t="s">
        <v>47</v>
      </c>
      <c r="C882" t="s">
        <v>2023</v>
      </c>
      <c r="D882" t="s">
        <v>2024</v>
      </c>
      <c r="E882" t="s">
        <v>10</v>
      </c>
      <c r="F882" t="s">
        <v>11</v>
      </c>
    </row>
    <row r="883" spans="1:6" x14ac:dyDescent="0.25">
      <c r="A883" t="s">
        <v>2025</v>
      </c>
      <c r="B883" t="s">
        <v>47</v>
      </c>
      <c r="C883" t="s">
        <v>1894</v>
      </c>
      <c r="D883" t="s">
        <v>389</v>
      </c>
      <c r="E883" t="s">
        <v>554</v>
      </c>
      <c r="F883" t="s">
        <v>526</v>
      </c>
    </row>
    <row r="884" spans="1:6" x14ac:dyDescent="0.25">
      <c r="A884" t="s">
        <v>2026</v>
      </c>
      <c r="B884" t="s">
        <v>47</v>
      </c>
      <c r="C884" t="s">
        <v>721</v>
      </c>
      <c r="D884" t="s">
        <v>2027</v>
      </c>
      <c r="E884" t="s">
        <v>10</v>
      </c>
      <c r="F884" t="s">
        <v>11</v>
      </c>
    </row>
    <row r="885" spans="1:6" x14ac:dyDescent="0.25">
      <c r="A885" t="s">
        <v>2028</v>
      </c>
      <c r="B885" t="s">
        <v>47</v>
      </c>
      <c r="C885" t="s">
        <v>808</v>
      </c>
      <c r="D885" t="s">
        <v>2029</v>
      </c>
      <c r="E885" t="s">
        <v>10</v>
      </c>
      <c r="F885" t="s">
        <v>11</v>
      </c>
    </row>
    <row r="886" spans="1:6" x14ac:dyDescent="0.25">
      <c r="A886" t="s">
        <v>2030</v>
      </c>
      <c r="B886" t="s">
        <v>47</v>
      </c>
      <c r="C886" t="s">
        <v>2031</v>
      </c>
      <c r="D886" t="s">
        <v>2032</v>
      </c>
      <c r="E886" t="s">
        <v>652</v>
      </c>
      <c r="F886" t="s">
        <v>50</v>
      </c>
    </row>
    <row r="887" spans="1:6" x14ac:dyDescent="0.25">
      <c r="A887" t="s">
        <v>2033</v>
      </c>
      <c r="B887" t="s">
        <v>47</v>
      </c>
      <c r="C887" t="s">
        <v>2034</v>
      </c>
      <c r="D887" t="s">
        <v>2035</v>
      </c>
      <c r="E887" t="s">
        <v>10</v>
      </c>
      <c r="F887" t="s">
        <v>11</v>
      </c>
    </row>
    <row r="888" spans="1:6" x14ac:dyDescent="0.25">
      <c r="A888" t="s">
        <v>2036</v>
      </c>
      <c r="B888" t="s">
        <v>47</v>
      </c>
      <c r="C888" t="s">
        <v>2037</v>
      </c>
      <c r="D888" t="s">
        <v>955</v>
      </c>
      <c r="E888" t="s">
        <v>10</v>
      </c>
      <c r="F888" t="s">
        <v>11</v>
      </c>
    </row>
    <row r="889" spans="1:6" x14ac:dyDescent="0.25">
      <c r="A889" t="s">
        <v>2038</v>
      </c>
      <c r="B889" t="s">
        <v>47</v>
      </c>
      <c r="C889" t="s">
        <v>2039</v>
      </c>
      <c r="D889" t="s">
        <v>932</v>
      </c>
      <c r="E889" t="s">
        <v>10</v>
      </c>
      <c r="F889" t="s">
        <v>11</v>
      </c>
    </row>
    <row r="890" spans="1:6" x14ac:dyDescent="0.25">
      <c r="A890" t="s">
        <v>2040</v>
      </c>
      <c r="B890" t="s">
        <v>47</v>
      </c>
      <c r="C890" t="s">
        <v>575</v>
      </c>
      <c r="D890" t="s">
        <v>496</v>
      </c>
      <c r="E890" t="s">
        <v>10</v>
      </c>
      <c r="F890" t="s">
        <v>11</v>
      </c>
    </row>
    <row r="891" spans="1:6" x14ac:dyDescent="0.25">
      <c r="A891" t="s">
        <v>2041</v>
      </c>
      <c r="B891" t="s">
        <v>47</v>
      </c>
      <c r="C891" t="s">
        <v>2042</v>
      </c>
      <c r="D891" t="s">
        <v>1526</v>
      </c>
      <c r="E891" t="s">
        <v>350</v>
      </c>
      <c r="F891" t="s">
        <v>21</v>
      </c>
    </row>
    <row r="892" spans="1:6" x14ac:dyDescent="0.25">
      <c r="A892" t="s">
        <v>2043</v>
      </c>
      <c r="B892" t="s">
        <v>47</v>
      </c>
      <c r="C892" t="s">
        <v>1917</v>
      </c>
      <c r="D892" t="s">
        <v>79</v>
      </c>
      <c r="E892" t="s">
        <v>10</v>
      </c>
      <c r="F892" t="s">
        <v>11</v>
      </c>
    </row>
    <row r="893" spans="1:6" x14ac:dyDescent="0.25">
      <c r="A893" t="s">
        <v>2044</v>
      </c>
      <c r="B893" t="s">
        <v>47</v>
      </c>
      <c r="C893" t="s">
        <v>2045</v>
      </c>
      <c r="D893" t="s">
        <v>2046</v>
      </c>
      <c r="E893" t="s">
        <v>20</v>
      </c>
      <c r="F893" t="s">
        <v>21</v>
      </c>
    </row>
    <row r="894" spans="1:6" x14ac:dyDescent="0.25">
      <c r="A894" t="s">
        <v>2047</v>
      </c>
      <c r="B894" t="s">
        <v>47</v>
      </c>
      <c r="C894" t="s">
        <v>1562</v>
      </c>
      <c r="D894" t="s">
        <v>545</v>
      </c>
      <c r="E894" t="s">
        <v>44</v>
      </c>
      <c r="F894" t="s">
        <v>21</v>
      </c>
    </row>
    <row r="895" spans="1:6" x14ac:dyDescent="0.25">
      <c r="A895" t="s">
        <v>2048</v>
      </c>
      <c r="B895" t="s">
        <v>47</v>
      </c>
      <c r="C895" t="s">
        <v>2049</v>
      </c>
      <c r="D895" t="s">
        <v>120</v>
      </c>
      <c r="E895" t="s">
        <v>10</v>
      </c>
      <c r="F895" t="s">
        <v>11</v>
      </c>
    </row>
    <row r="896" spans="1:6" x14ac:dyDescent="0.25">
      <c r="A896" t="s">
        <v>2050</v>
      </c>
      <c r="B896" t="s">
        <v>47</v>
      </c>
      <c r="C896" t="s">
        <v>1994</v>
      </c>
      <c r="D896" t="s">
        <v>2051</v>
      </c>
      <c r="E896" t="s">
        <v>350</v>
      </c>
      <c r="F896" t="s">
        <v>21</v>
      </c>
    </row>
    <row r="897" spans="1:6" x14ac:dyDescent="0.25">
      <c r="A897" t="s">
        <v>2052</v>
      </c>
      <c r="B897" t="s">
        <v>47</v>
      </c>
      <c r="C897" t="s">
        <v>552</v>
      </c>
      <c r="D897" t="s">
        <v>2053</v>
      </c>
      <c r="E897" t="s">
        <v>20</v>
      </c>
      <c r="F897" t="s">
        <v>21</v>
      </c>
    </row>
    <row r="898" spans="1:6" x14ac:dyDescent="0.25">
      <c r="A898" t="s">
        <v>2054</v>
      </c>
      <c r="B898" t="s">
        <v>47</v>
      </c>
      <c r="C898" t="s">
        <v>495</v>
      </c>
      <c r="D898" t="s">
        <v>2055</v>
      </c>
      <c r="E898" t="s">
        <v>2056</v>
      </c>
      <c r="F898" t="s">
        <v>526</v>
      </c>
    </row>
    <row r="899" spans="1:6" x14ac:dyDescent="0.25">
      <c r="A899" t="s">
        <v>2057</v>
      </c>
      <c r="B899" t="s">
        <v>47</v>
      </c>
      <c r="C899" t="s">
        <v>1743</v>
      </c>
      <c r="D899" t="s">
        <v>66</v>
      </c>
      <c r="E899" t="s">
        <v>10</v>
      </c>
      <c r="F899" t="s">
        <v>11</v>
      </c>
    </row>
    <row r="900" spans="1:6" x14ac:dyDescent="0.25">
      <c r="A900" t="s">
        <v>2058</v>
      </c>
      <c r="B900" t="s">
        <v>47</v>
      </c>
      <c r="C900" t="s">
        <v>2059</v>
      </c>
      <c r="D900" t="s">
        <v>2060</v>
      </c>
      <c r="E900" t="s">
        <v>10</v>
      </c>
      <c r="F900" t="s">
        <v>11</v>
      </c>
    </row>
    <row r="901" spans="1:6" x14ac:dyDescent="0.25">
      <c r="A901" t="s">
        <v>2061</v>
      </c>
      <c r="B901" t="s">
        <v>47</v>
      </c>
      <c r="C901" t="s">
        <v>2062</v>
      </c>
      <c r="D901" t="s">
        <v>2063</v>
      </c>
      <c r="E901" t="s">
        <v>62</v>
      </c>
      <c r="F901" t="s">
        <v>63</v>
      </c>
    </row>
    <row r="902" spans="1:6" x14ac:dyDescent="0.25">
      <c r="A902" t="s">
        <v>2064</v>
      </c>
      <c r="B902" t="s">
        <v>47</v>
      </c>
      <c r="C902" t="s">
        <v>960</v>
      </c>
      <c r="D902" t="s">
        <v>209</v>
      </c>
      <c r="E902" t="s">
        <v>10</v>
      </c>
      <c r="F902" t="s">
        <v>11</v>
      </c>
    </row>
    <row r="903" spans="1:6" x14ac:dyDescent="0.25">
      <c r="A903" t="s">
        <v>2065</v>
      </c>
      <c r="B903" t="s">
        <v>47</v>
      </c>
      <c r="C903" t="s">
        <v>1449</v>
      </c>
      <c r="D903" t="s">
        <v>578</v>
      </c>
      <c r="E903" t="s">
        <v>20</v>
      </c>
      <c r="F903" t="s">
        <v>21</v>
      </c>
    </row>
    <row r="904" spans="1:6" x14ac:dyDescent="0.25">
      <c r="A904" t="s">
        <v>2066</v>
      </c>
      <c r="B904" t="s">
        <v>47</v>
      </c>
      <c r="C904" s="1">
        <v>0</v>
      </c>
      <c r="D904" t="s">
        <v>2067</v>
      </c>
      <c r="E904" t="s">
        <v>10</v>
      </c>
      <c r="F904" t="s">
        <v>11</v>
      </c>
    </row>
    <row r="905" spans="1:6" x14ac:dyDescent="0.25">
      <c r="A905" t="s">
        <v>2068</v>
      </c>
      <c r="B905" t="s">
        <v>47</v>
      </c>
      <c r="C905" t="s">
        <v>2069</v>
      </c>
      <c r="D905" t="s">
        <v>2070</v>
      </c>
      <c r="E905" t="s">
        <v>20</v>
      </c>
      <c r="F905" t="s">
        <v>21</v>
      </c>
    </row>
    <row r="906" spans="1:6" x14ac:dyDescent="0.25">
      <c r="A906" t="s">
        <v>2071</v>
      </c>
      <c r="B906" t="s">
        <v>47</v>
      </c>
      <c r="C906" t="s">
        <v>894</v>
      </c>
      <c r="D906" t="s">
        <v>254</v>
      </c>
      <c r="E906" t="s">
        <v>10</v>
      </c>
      <c r="F906" t="s">
        <v>11</v>
      </c>
    </row>
    <row r="907" spans="1:6" x14ac:dyDescent="0.25">
      <c r="A907" t="s">
        <v>2072</v>
      </c>
      <c r="B907" t="s">
        <v>47</v>
      </c>
      <c r="C907" t="s">
        <v>1234</v>
      </c>
      <c r="D907" t="s">
        <v>576</v>
      </c>
      <c r="E907" t="s">
        <v>20</v>
      </c>
      <c r="F907" t="s">
        <v>21</v>
      </c>
    </row>
    <row r="908" spans="1:6" x14ac:dyDescent="0.25">
      <c r="A908" t="s">
        <v>2073</v>
      </c>
      <c r="B908" t="s">
        <v>47</v>
      </c>
      <c r="C908" t="s">
        <v>1805</v>
      </c>
      <c r="D908" t="s">
        <v>1228</v>
      </c>
      <c r="E908" t="s">
        <v>44</v>
      </c>
      <c r="F908" t="s">
        <v>21</v>
      </c>
    </row>
    <row r="909" spans="1:6" x14ac:dyDescent="0.25">
      <c r="A909" t="s">
        <v>2074</v>
      </c>
      <c r="B909" t="s">
        <v>47</v>
      </c>
      <c r="C909" t="s">
        <v>2075</v>
      </c>
      <c r="D909" t="s">
        <v>2076</v>
      </c>
      <c r="E909" t="s">
        <v>10</v>
      </c>
      <c r="F909" t="s">
        <v>11</v>
      </c>
    </row>
    <row r="910" spans="1:6" x14ac:dyDescent="0.25">
      <c r="A910" t="s">
        <v>2077</v>
      </c>
      <c r="B910" t="s">
        <v>47</v>
      </c>
      <c r="C910" t="s">
        <v>2078</v>
      </c>
      <c r="D910" t="s">
        <v>409</v>
      </c>
      <c r="E910" t="s">
        <v>10</v>
      </c>
      <c r="F910" t="s">
        <v>11</v>
      </c>
    </row>
    <row r="911" spans="1:6" x14ac:dyDescent="0.25">
      <c r="A911" t="s">
        <v>2079</v>
      </c>
      <c r="B911" t="s">
        <v>47</v>
      </c>
      <c r="C911" t="s">
        <v>1375</v>
      </c>
      <c r="D911" t="s">
        <v>177</v>
      </c>
      <c r="E911" t="s">
        <v>10</v>
      </c>
      <c r="F911" t="s">
        <v>11</v>
      </c>
    </row>
    <row r="912" spans="1:6" x14ac:dyDescent="0.25">
      <c r="A912" t="s">
        <v>2080</v>
      </c>
      <c r="B912" t="s">
        <v>47</v>
      </c>
      <c r="C912" t="s">
        <v>2081</v>
      </c>
      <c r="D912" t="s">
        <v>2082</v>
      </c>
      <c r="E912" t="s">
        <v>554</v>
      </c>
      <c r="F912" t="s">
        <v>526</v>
      </c>
    </row>
    <row r="913" spans="1:6" x14ac:dyDescent="0.25">
      <c r="A913" t="s">
        <v>2083</v>
      </c>
      <c r="B913" t="s">
        <v>47</v>
      </c>
      <c r="C913" t="s">
        <v>2084</v>
      </c>
      <c r="D913" t="s">
        <v>2085</v>
      </c>
      <c r="E913" t="s">
        <v>350</v>
      </c>
      <c r="F913" t="s">
        <v>21</v>
      </c>
    </row>
    <row r="914" spans="1:6" x14ac:dyDescent="0.25">
      <c r="A914" t="s">
        <v>2086</v>
      </c>
      <c r="B914" t="s">
        <v>47</v>
      </c>
      <c r="C914" t="s">
        <v>1545</v>
      </c>
      <c r="D914" t="s">
        <v>2087</v>
      </c>
      <c r="E914" t="s">
        <v>49</v>
      </c>
      <c r="F914" t="s">
        <v>50</v>
      </c>
    </row>
    <row r="915" spans="1:6" x14ac:dyDescent="0.25">
      <c r="A915" t="s">
        <v>2088</v>
      </c>
      <c r="B915" t="s">
        <v>47</v>
      </c>
      <c r="C915" t="s">
        <v>2020</v>
      </c>
      <c r="D915" t="s">
        <v>984</v>
      </c>
      <c r="E915" t="s">
        <v>49</v>
      </c>
      <c r="F915" t="s">
        <v>50</v>
      </c>
    </row>
    <row r="916" spans="1:6" x14ac:dyDescent="0.25">
      <c r="A916" t="s">
        <v>2089</v>
      </c>
      <c r="B916" t="s">
        <v>47</v>
      </c>
      <c r="C916" t="s">
        <v>2090</v>
      </c>
      <c r="D916" t="s">
        <v>496</v>
      </c>
      <c r="E916" t="s">
        <v>365</v>
      </c>
      <c r="F916" t="s">
        <v>11</v>
      </c>
    </row>
    <row r="917" spans="1:6" x14ac:dyDescent="0.25">
      <c r="A917" t="s">
        <v>2091</v>
      </c>
      <c r="B917" t="s">
        <v>47</v>
      </c>
      <c r="C917" t="s">
        <v>125</v>
      </c>
      <c r="D917" t="s">
        <v>2092</v>
      </c>
      <c r="E917" t="s">
        <v>10</v>
      </c>
      <c r="F917" t="s">
        <v>11</v>
      </c>
    </row>
    <row r="918" spans="1:6" x14ac:dyDescent="0.25">
      <c r="A918" t="s">
        <v>2093</v>
      </c>
      <c r="B918" t="s">
        <v>47</v>
      </c>
      <c r="C918" t="s">
        <v>2094</v>
      </c>
      <c r="D918" t="s">
        <v>2095</v>
      </c>
      <c r="E918" t="s">
        <v>20</v>
      </c>
      <c r="F918" t="s">
        <v>21</v>
      </c>
    </row>
    <row r="919" spans="1:6" x14ac:dyDescent="0.25">
      <c r="A919" t="s">
        <v>2096</v>
      </c>
      <c r="B919" t="s">
        <v>47</v>
      </c>
      <c r="C919" t="s">
        <v>2097</v>
      </c>
      <c r="D919" t="s">
        <v>2098</v>
      </c>
      <c r="E919" t="s">
        <v>10</v>
      </c>
      <c r="F919" t="s">
        <v>11</v>
      </c>
    </row>
    <row r="920" spans="1:6" x14ac:dyDescent="0.25">
      <c r="A920" t="s">
        <v>2099</v>
      </c>
      <c r="B920" t="s">
        <v>47</v>
      </c>
      <c r="C920" t="s">
        <v>2100</v>
      </c>
      <c r="D920" t="s">
        <v>2101</v>
      </c>
      <c r="E920" t="s">
        <v>10</v>
      </c>
      <c r="F920" t="s">
        <v>11</v>
      </c>
    </row>
    <row r="921" spans="1:6" x14ac:dyDescent="0.25">
      <c r="A921" t="s">
        <v>2102</v>
      </c>
      <c r="B921" t="s">
        <v>47</v>
      </c>
      <c r="C921" t="s">
        <v>2103</v>
      </c>
      <c r="D921" t="s">
        <v>2104</v>
      </c>
      <c r="E921" t="s">
        <v>10</v>
      </c>
      <c r="F921" t="s">
        <v>11</v>
      </c>
    </row>
    <row r="922" spans="1:6" x14ac:dyDescent="0.25">
      <c r="A922" t="s">
        <v>2105</v>
      </c>
      <c r="B922" t="s">
        <v>47</v>
      </c>
      <c r="C922" t="s">
        <v>678</v>
      </c>
      <c r="D922" t="s">
        <v>2106</v>
      </c>
      <c r="E922" t="s">
        <v>10</v>
      </c>
      <c r="F922" t="s">
        <v>11</v>
      </c>
    </row>
    <row r="923" spans="1:6" x14ac:dyDescent="0.25">
      <c r="A923" t="s">
        <v>2107</v>
      </c>
      <c r="B923" t="s">
        <v>47</v>
      </c>
      <c r="C923" t="s">
        <v>1663</v>
      </c>
      <c r="D923" t="s">
        <v>2108</v>
      </c>
      <c r="E923" t="s">
        <v>10</v>
      </c>
      <c r="F923" t="s">
        <v>11</v>
      </c>
    </row>
    <row r="924" spans="1:6" x14ac:dyDescent="0.25">
      <c r="A924" t="s">
        <v>2109</v>
      </c>
      <c r="B924" t="s">
        <v>47</v>
      </c>
      <c r="C924" t="s">
        <v>770</v>
      </c>
      <c r="D924" t="s">
        <v>66</v>
      </c>
      <c r="E924" t="s">
        <v>44</v>
      </c>
      <c r="F924" t="s">
        <v>21</v>
      </c>
    </row>
    <row r="925" spans="1:6" x14ac:dyDescent="0.25">
      <c r="A925" t="s">
        <v>2110</v>
      </c>
      <c r="B925" t="s">
        <v>47</v>
      </c>
      <c r="C925" t="s">
        <v>1055</v>
      </c>
      <c r="D925" t="s">
        <v>2111</v>
      </c>
      <c r="E925" t="s">
        <v>10</v>
      </c>
      <c r="F925" t="s">
        <v>11</v>
      </c>
    </row>
    <row r="926" spans="1:6" x14ac:dyDescent="0.25">
      <c r="A926" t="s">
        <v>2112</v>
      </c>
      <c r="B926" t="s">
        <v>47</v>
      </c>
      <c r="C926" t="s">
        <v>1537</v>
      </c>
      <c r="D926" t="s">
        <v>2113</v>
      </c>
      <c r="E926" t="s">
        <v>2114</v>
      </c>
      <c r="F926" t="s">
        <v>526</v>
      </c>
    </row>
    <row r="927" spans="1:6" x14ac:dyDescent="0.25">
      <c r="A927" t="s">
        <v>2115</v>
      </c>
      <c r="B927" t="s">
        <v>47</v>
      </c>
      <c r="C927" t="s">
        <v>1185</v>
      </c>
      <c r="D927" t="s">
        <v>2116</v>
      </c>
      <c r="E927" t="s">
        <v>44</v>
      </c>
      <c r="F927" t="s">
        <v>21</v>
      </c>
    </row>
    <row r="928" spans="1:6" x14ac:dyDescent="0.25">
      <c r="A928" t="s">
        <v>2117</v>
      </c>
      <c r="B928" t="s">
        <v>47</v>
      </c>
      <c r="C928" t="s">
        <v>2118</v>
      </c>
      <c r="D928" t="s">
        <v>469</v>
      </c>
      <c r="E928" t="s">
        <v>10</v>
      </c>
      <c r="F928" t="s">
        <v>11</v>
      </c>
    </row>
    <row r="929" spans="1:6" x14ac:dyDescent="0.25">
      <c r="A929" t="s">
        <v>2119</v>
      </c>
      <c r="B929" t="s">
        <v>47</v>
      </c>
      <c r="C929" s="1">
        <v>0</v>
      </c>
      <c r="E929" t="s">
        <v>10</v>
      </c>
      <c r="F929" t="s">
        <v>11</v>
      </c>
    </row>
    <row r="930" spans="1:6" x14ac:dyDescent="0.25">
      <c r="A930" t="s">
        <v>2120</v>
      </c>
      <c r="B930" t="s">
        <v>47</v>
      </c>
      <c r="C930" t="s">
        <v>1346</v>
      </c>
      <c r="D930" t="s">
        <v>1779</v>
      </c>
      <c r="E930" t="s">
        <v>10</v>
      </c>
      <c r="F930" t="s">
        <v>11</v>
      </c>
    </row>
    <row r="931" spans="1:6" x14ac:dyDescent="0.25">
      <c r="A931" t="s">
        <v>2121</v>
      </c>
      <c r="B931" t="s">
        <v>47</v>
      </c>
      <c r="C931" t="s">
        <v>250</v>
      </c>
      <c r="D931" t="s">
        <v>2122</v>
      </c>
      <c r="E931" t="s">
        <v>10</v>
      </c>
      <c r="F931" t="s">
        <v>11</v>
      </c>
    </row>
    <row r="932" spans="1:6" x14ac:dyDescent="0.25">
      <c r="A932" t="s">
        <v>2123</v>
      </c>
      <c r="B932" t="s">
        <v>47</v>
      </c>
      <c r="C932" t="s">
        <v>2062</v>
      </c>
      <c r="D932" t="s">
        <v>2104</v>
      </c>
      <c r="E932" t="s">
        <v>10</v>
      </c>
      <c r="F932" t="s">
        <v>11</v>
      </c>
    </row>
    <row r="933" spans="1:6" x14ac:dyDescent="0.25">
      <c r="A933" t="s">
        <v>2124</v>
      </c>
      <c r="B933" t="s">
        <v>125</v>
      </c>
      <c r="C933" t="s">
        <v>925</v>
      </c>
      <c r="D933" t="s">
        <v>2125</v>
      </c>
      <c r="E933" t="s">
        <v>170</v>
      </c>
      <c r="F933" t="s">
        <v>50</v>
      </c>
    </row>
    <row r="934" spans="1:6" x14ac:dyDescent="0.25">
      <c r="A934" t="s">
        <v>2126</v>
      </c>
      <c r="B934" t="s">
        <v>125</v>
      </c>
      <c r="C934" t="s">
        <v>1098</v>
      </c>
      <c r="D934" t="s">
        <v>2127</v>
      </c>
      <c r="E934" t="s">
        <v>365</v>
      </c>
      <c r="F934" t="s">
        <v>11</v>
      </c>
    </row>
    <row r="935" spans="1:6" x14ac:dyDescent="0.25">
      <c r="A935" t="s">
        <v>2128</v>
      </c>
      <c r="B935" t="s">
        <v>125</v>
      </c>
      <c r="C935" t="s">
        <v>2129</v>
      </c>
      <c r="D935" t="s">
        <v>2130</v>
      </c>
      <c r="E935" t="s">
        <v>20</v>
      </c>
      <c r="F935" t="s">
        <v>21</v>
      </c>
    </row>
    <row r="936" spans="1:6" x14ac:dyDescent="0.25">
      <c r="A936" t="s">
        <v>2131</v>
      </c>
      <c r="B936" t="s">
        <v>125</v>
      </c>
      <c r="C936" t="s">
        <v>662</v>
      </c>
      <c r="D936" t="s">
        <v>29</v>
      </c>
      <c r="E936" t="s">
        <v>20</v>
      </c>
      <c r="F936" t="s">
        <v>21</v>
      </c>
    </row>
    <row r="937" spans="1:6" x14ac:dyDescent="0.25">
      <c r="A937" t="s">
        <v>2132</v>
      </c>
      <c r="B937" t="s">
        <v>125</v>
      </c>
      <c r="C937" t="s">
        <v>2133</v>
      </c>
      <c r="D937" t="s">
        <v>2134</v>
      </c>
      <c r="E937" t="s">
        <v>20</v>
      </c>
      <c r="F937" t="s">
        <v>21</v>
      </c>
    </row>
    <row r="938" spans="1:6" x14ac:dyDescent="0.25">
      <c r="A938" t="s">
        <v>2135</v>
      </c>
      <c r="B938" t="s">
        <v>125</v>
      </c>
      <c r="C938" t="s">
        <v>544</v>
      </c>
      <c r="D938" t="s">
        <v>2136</v>
      </c>
      <c r="E938" t="s">
        <v>20</v>
      </c>
      <c r="F938" t="s">
        <v>21</v>
      </c>
    </row>
    <row r="939" spans="1:6" x14ac:dyDescent="0.25">
      <c r="A939" t="s">
        <v>2137</v>
      </c>
      <c r="B939" t="s">
        <v>125</v>
      </c>
      <c r="C939" t="s">
        <v>2017</v>
      </c>
      <c r="E939" t="s">
        <v>20</v>
      </c>
      <c r="F939" t="s">
        <v>21</v>
      </c>
    </row>
    <row r="940" spans="1:6" x14ac:dyDescent="0.25">
      <c r="A940" t="s">
        <v>2138</v>
      </c>
      <c r="B940" t="s">
        <v>125</v>
      </c>
      <c r="C940" t="s">
        <v>2139</v>
      </c>
      <c r="D940" t="s">
        <v>2140</v>
      </c>
      <c r="E940" t="s">
        <v>20</v>
      </c>
      <c r="F940" t="s">
        <v>21</v>
      </c>
    </row>
    <row r="941" spans="1:6" x14ac:dyDescent="0.25">
      <c r="A941" t="s">
        <v>2141</v>
      </c>
      <c r="B941" t="s">
        <v>125</v>
      </c>
      <c r="C941" t="s">
        <v>628</v>
      </c>
      <c r="D941" t="s">
        <v>531</v>
      </c>
      <c r="E941" t="s">
        <v>10</v>
      </c>
      <c r="F941" t="s">
        <v>11</v>
      </c>
    </row>
    <row r="942" spans="1:6" x14ac:dyDescent="0.25">
      <c r="A942" t="s">
        <v>2142</v>
      </c>
      <c r="B942" t="s">
        <v>125</v>
      </c>
      <c r="C942" t="s">
        <v>2143</v>
      </c>
      <c r="D942" t="s">
        <v>2144</v>
      </c>
      <c r="E942" t="s">
        <v>1195</v>
      </c>
      <c r="F942" t="s">
        <v>50</v>
      </c>
    </row>
    <row r="943" spans="1:6" x14ac:dyDescent="0.25">
      <c r="A943" t="s">
        <v>2145</v>
      </c>
      <c r="B943" t="s">
        <v>125</v>
      </c>
      <c r="C943" t="s">
        <v>1076</v>
      </c>
      <c r="D943" t="s">
        <v>2146</v>
      </c>
      <c r="E943" t="s">
        <v>20</v>
      </c>
      <c r="F943" t="s">
        <v>21</v>
      </c>
    </row>
    <row r="944" spans="1:6" x14ac:dyDescent="0.25">
      <c r="A944" t="s">
        <v>2147</v>
      </c>
      <c r="B944" t="s">
        <v>125</v>
      </c>
      <c r="C944" t="s">
        <v>896</v>
      </c>
      <c r="E944" t="s">
        <v>20</v>
      </c>
      <c r="F944" t="s">
        <v>21</v>
      </c>
    </row>
    <row r="945" spans="1:6" x14ac:dyDescent="0.25">
      <c r="A945" t="s">
        <v>2148</v>
      </c>
      <c r="B945" t="s">
        <v>125</v>
      </c>
      <c r="C945" t="s">
        <v>1058</v>
      </c>
      <c r="D945" t="s">
        <v>2149</v>
      </c>
      <c r="E945" t="s">
        <v>20</v>
      </c>
      <c r="F945" t="s">
        <v>21</v>
      </c>
    </row>
    <row r="946" spans="1:6" x14ac:dyDescent="0.25">
      <c r="A946" t="s">
        <v>2150</v>
      </c>
      <c r="B946" t="s">
        <v>125</v>
      </c>
      <c r="C946" t="s">
        <v>1339</v>
      </c>
      <c r="D946" t="s">
        <v>2151</v>
      </c>
    </row>
    <row r="947" spans="1:6" x14ac:dyDescent="0.25">
      <c r="A947" t="s">
        <v>2152</v>
      </c>
      <c r="B947" t="s">
        <v>125</v>
      </c>
      <c r="C947" t="s">
        <v>2153</v>
      </c>
      <c r="D947" t="s">
        <v>496</v>
      </c>
      <c r="E947" t="s">
        <v>187</v>
      </c>
      <c r="F947" t="s">
        <v>50</v>
      </c>
    </row>
    <row r="948" spans="1:6" x14ac:dyDescent="0.25">
      <c r="A948" t="s">
        <v>2154</v>
      </c>
      <c r="B948" t="s">
        <v>125</v>
      </c>
      <c r="C948" t="s">
        <v>2155</v>
      </c>
      <c r="D948" t="s">
        <v>2156</v>
      </c>
      <c r="E948" t="s">
        <v>20</v>
      </c>
      <c r="F948" t="s">
        <v>21</v>
      </c>
    </row>
    <row r="949" spans="1:6" x14ac:dyDescent="0.25">
      <c r="A949" t="s">
        <v>2157</v>
      </c>
      <c r="B949" t="s">
        <v>125</v>
      </c>
      <c r="C949" t="s">
        <v>2158</v>
      </c>
      <c r="D949" t="s">
        <v>2159</v>
      </c>
      <c r="E949" t="s">
        <v>20</v>
      </c>
      <c r="F949" t="s">
        <v>21</v>
      </c>
    </row>
    <row r="950" spans="1:6" x14ac:dyDescent="0.25">
      <c r="A950" t="s">
        <v>2160</v>
      </c>
      <c r="B950" t="s">
        <v>125</v>
      </c>
      <c r="C950" t="s">
        <v>345</v>
      </c>
      <c r="D950" t="s">
        <v>2161</v>
      </c>
      <c r="E950" t="s">
        <v>20</v>
      </c>
      <c r="F950" t="s">
        <v>21</v>
      </c>
    </row>
    <row r="951" spans="1:6" x14ac:dyDescent="0.25">
      <c r="A951" t="s">
        <v>2162</v>
      </c>
      <c r="B951" t="s">
        <v>125</v>
      </c>
      <c r="C951" t="s">
        <v>2163</v>
      </c>
      <c r="D951" t="s">
        <v>2164</v>
      </c>
      <c r="E951" t="s">
        <v>10</v>
      </c>
      <c r="F951" t="s">
        <v>11</v>
      </c>
    </row>
    <row r="952" spans="1:6" x14ac:dyDescent="0.25">
      <c r="A952" t="s">
        <v>2165</v>
      </c>
      <c r="B952" t="s">
        <v>125</v>
      </c>
      <c r="C952" t="s">
        <v>1721</v>
      </c>
      <c r="D952" t="s">
        <v>254</v>
      </c>
      <c r="E952" t="s">
        <v>10</v>
      </c>
      <c r="F952" t="s">
        <v>11</v>
      </c>
    </row>
    <row r="953" spans="1:6" x14ac:dyDescent="0.25">
      <c r="A953" t="s">
        <v>2166</v>
      </c>
      <c r="B953" t="s">
        <v>125</v>
      </c>
      <c r="C953" t="s">
        <v>1139</v>
      </c>
      <c r="D953" t="s">
        <v>1642</v>
      </c>
      <c r="E953" t="s">
        <v>10</v>
      </c>
      <c r="F953" t="s">
        <v>11</v>
      </c>
    </row>
    <row r="954" spans="1:6" x14ac:dyDescent="0.25">
      <c r="A954" t="s">
        <v>2167</v>
      </c>
      <c r="B954" t="s">
        <v>125</v>
      </c>
      <c r="C954" t="s">
        <v>1603</v>
      </c>
      <c r="D954" t="s">
        <v>2168</v>
      </c>
      <c r="E954" t="s">
        <v>20</v>
      </c>
      <c r="F954" t="s">
        <v>21</v>
      </c>
    </row>
    <row r="955" spans="1:6" x14ac:dyDescent="0.25">
      <c r="A955" t="s">
        <v>2169</v>
      </c>
      <c r="B955" t="s">
        <v>125</v>
      </c>
      <c r="C955" t="s">
        <v>81</v>
      </c>
      <c r="D955" t="s">
        <v>2170</v>
      </c>
      <c r="E955" t="s">
        <v>20</v>
      </c>
      <c r="F955" t="s">
        <v>21</v>
      </c>
    </row>
    <row r="956" spans="1:6" x14ac:dyDescent="0.25">
      <c r="A956" t="s">
        <v>2171</v>
      </c>
      <c r="B956" t="s">
        <v>125</v>
      </c>
      <c r="C956" t="s">
        <v>2172</v>
      </c>
      <c r="D956" t="s">
        <v>2173</v>
      </c>
      <c r="E956" t="s">
        <v>20</v>
      </c>
      <c r="F956" t="s">
        <v>21</v>
      </c>
    </row>
    <row r="957" spans="1:6" x14ac:dyDescent="0.25">
      <c r="A957" t="s">
        <v>2174</v>
      </c>
      <c r="B957" t="s">
        <v>125</v>
      </c>
      <c r="C957" t="s">
        <v>2175</v>
      </c>
      <c r="D957" t="s">
        <v>2176</v>
      </c>
      <c r="E957" t="s">
        <v>20</v>
      </c>
      <c r="F957" t="s">
        <v>21</v>
      </c>
    </row>
    <row r="958" spans="1:6" x14ac:dyDescent="0.25">
      <c r="A958" t="s">
        <v>2177</v>
      </c>
      <c r="B958" t="s">
        <v>125</v>
      </c>
      <c r="C958" t="s">
        <v>873</v>
      </c>
      <c r="D958" t="s">
        <v>576</v>
      </c>
      <c r="E958" t="s">
        <v>20</v>
      </c>
      <c r="F958" t="s">
        <v>21</v>
      </c>
    </row>
    <row r="959" spans="1:6" x14ac:dyDescent="0.25">
      <c r="A959" t="s">
        <v>2178</v>
      </c>
      <c r="B959" t="s">
        <v>125</v>
      </c>
      <c r="C959" t="s">
        <v>2179</v>
      </c>
      <c r="D959" t="s">
        <v>2180</v>
      </c>
      <c r="E959" t="s">
        <v>10</v>
      </c>
      <c r="F959" t="s">
        <v>11</v>
      </c>
    </row>
    <row r="960" spans="1:6" x14ac:dyDescent="0.25">
      <c r="A960" t="s">
        <v>2181</v>
      </c>
      <c r="B960" t="s">
        <v>125</v>
      </c>
      <c r="C960" t="s">
        <v>1698</v>
      </c>
      <c r="E960" t="s">
        <v>62</v>
      </c>
      <c r="F960" t="s">
        <v>63</v>
      </c>
    </row>
    <row r="961" spans="1:6" x14ac:dyDescent="0.25">
      <c r="A961" t="s">
        <v>2182</v>
      </c>
      <c r="B961" t="s">
        <v>125</v>
      </c>
      <c r="C961" t="s">
        <v>2183</v>
      </c>
      <c r="D961" t="s">
        <v>2184</v>
      </c>
      <c r="E961" t="s">
        <v>187</v>
      </c>
      <c r="F961" t="s">
        <v>50</v>
      </c>
    </row>
    <row r="962" spans="1:6" x14ac:dyDescent="0.25">
      <c r="A962" t="s">
        <v>2185</v>
      </c>
      <c r="B962" t="s">
        <v>125</v>
      </c>
      <c r="C962" t="s">
        <v>2097</v>
      </c>
      <c r="D962" t="s">
        <v>2186</v>
      </c>
      <c r="E962" t="s">
        <v>20</v>
      </c>
      <c r="F962" t="s">
        <v>21</v>
      </c>
    </row>
    <row r="963" spans="1:6" x14ac:dyDescent="0.25">
      <c r="A963" t="s">
        <v>2187</v>
      </c>
      <c r="B963" t="s">
        <v>125</v>
      </c>
      <c r="C963" t="s">
        <v>1453</v>
      </c>
      <c r="D963" t="s">
        <v>2188</v>
      </c>
      <c r="E963" t="s">
        <v>20</v>
      </c>
      <c r="F963" t="s">
        <v>21</v>
      </c>
    </row>
    <row r="964" spans="1:6" x14ac:dyDescent="0.25">
      <c r="A964" t="s">
        <v>2189</v>
      </c>
      <c r="B964" t="s">
        <v>125</v>
      </c>
      <c r="C964" t="s">
        <v>2190</v>
      </c>
    </row>
    <row r="965" spans="1:6" x14ac:dyDescent="0.25">
      <c r="A965" t="s">
        <v>2191</v>
      </c>
      <c r="B965" t="s">
        <v>125</v>
      </c>
      <c r="C965" t="s">
        <v>1898</v>
      </c>
      <c r="D965" t="s">
        <v>130</v>
      </c>
      <c r="E965" t="s">
        <v>365</v>
      </c>
      <c r="F965" t="s">
        <v>11</v>
      </c>
    </row>
    <row r="966" spans="1:6" x14ac:dyDescent="0.25">
      <c r="A966" t="s">
        <v>2192</v>
      </c>
      <c r="B966" t="s">
        <v>125</v>
      </c>
      <c r="C966" t="s">
        <v>1363</v>
      </c>
      <c r="D966" t="s">
        <v>722</v>
      </c>
      <c r="E966" t="s">
        <v>49</v>
      </c>
      <c r="F966" t="s">
        <v>50</v>
      </c>
    </row>
    <row r="967" spans="1:6" x14ac:dyDescent="0.25">
      <c r="A967" t="s">
        <v>2193</v>
      </c>
      <c r="B967" t="s">
        <v>125</v>
      </c>
      <c r="C967" t="s">
        <v>1199</v>
      </c>
      <c r="D967" t="s">
        <v>1983</v>
      </c>
      <c r="E967" t="s">
        <v>10</v>
      </c>
      <c r="F967" t="s">
        <v>11</v>
      </c>
    </row>
    <row r="968" spans="1:6" x14ac:dyDescent="0.25">
      <c r="A968" t="s">
        <v>2194</v>
      </c>
      <c r="B968" t="s">
        <v>125</v>
      </c>
      <c r="C968" t="s">
        <v>348</v>
      </c>
      <c r="D968" t="s">
        <v>2120</v>
      </c>
    </row>
    <row r="969" spans="1:6" x14ac:dyDescent="0.25">
      <c r="A969" t="s">
        <v>2195</v>
      </c>
      <c r="B969" t="s">
        <v>125</v>
      </c>
      <c r="C969" t="s">
        <v>1908</v>
      </c>
      <c r="D969" t="s">
        <v>2196</v>
      </c>
      <c r="E969" t="s">
        <v>350</v>
      </c>
      <c r="F969" t="s">
        <v>21</v>
      </c>
    </row>
    <row r="970" spans="1:6" x14ac:dyDescent="0.25">
      <c r="A970" t="s">
        <v>2197</v>
      </c>
      <c r="B970" t="s">
        <v>125</v>
      </c>
      <c r="C970" t="s">
        <v>613</v>
      </c>
      <c r="D970" t="s">
        <v>2198</v>
      </c>
      <c r="E970" t="s">
        <v>1172</v>
      </c>
      <c r="F970" t="s">
        <v>21</v>
      </c>
    </row>
    <row r="971" spans="1:6" x14ac:dyDescent="0.25">
      <c r="A971" t="s">
        <v>2199</v>
      </c>
      <c r="B971" t="s">
        <v>125</v>
      </c>
      <c r="C971" t="s">
        <v>1323</v>
      </c>
      <c r="D971" t="s">
        <v>2200</v>
      </c>
      <c r="E971" t="s">
        <v>294</v>
      </c>
      <c r="F971" t="s">
        <v>21</v>
      </c>
    </row>
    <row r="972" spans="1:6" x14ac:dyDescent="0.25">
      <c r="A972" t="s">
        <v>2201</v>
      </c>
      <c r="B972" t="s">
        <v>125</v>
      </c>
      <c r="C972" t="s">
        <v>1650</v>
      </c>
      <c r="D972" t="s">
        <v>1068</v>
      </c>
      <c r="E972" t="s">
        <v>10</v>
      </c>
      <c r="F972" t="s">
        <v>11</v>
      </c>
    </row>
    <row r="973" spans="1:6" x14ac:dyDescent="0.25">
      <c r="A973" t="s">
        <v>2202</v>
      </c>
      <c r="B973" t="s">
        <v>125</v>
      </c>
      <c r="C973" t="s">
        <v>2203</v>
      </c>
      <c r="D973" t="s">
        <v>2204</v>
      </c>
      <c r="E973" t="s">
        <v>10</v>
      </c>
      <c r="F973" t="s">
        <v>11</v>
      </c>
    </row>
    <row r="974" spans="1:6" x14ac:dyDescent="0.25">
      <c r="A974" t="s">
        <v>2205</v>
      </c>
      <c r="B974" t="s">
        <v>125</v>
      </c>
      <c r="C974" t="s">
        <v>2206</v>
      </c>
      <c r="E974" t="s">
        <v>20</v>
      </c>
      <c r="F974" t="s">
        <v>21</v>
      </c>
    </row>
    <row r="975" spans="1:6" x14ac:dyDescent="0.25">
      <c r="A975" t="s">
        <v>2207</v>
      </c>
      <c r="B975" t="s">
        <v>125</v>
      </c>
      <c r="C975" t="s">
        <v>2208</v>
      </c>
      <c r="D975" t="s">
        <v>2209</v>
      </c>
      <c r="E975" t="s">
        <v>10</v>
      </c>
      <c r="F975" t="s">
        <v>11</v>
      </c>
    </row>
    <row r="976" spans="1:6" x14ac:dyDescent="0.25">
      <c r="A976" t="s">
        <v>2210</v>
      </c>
      <c r="B976" t="s">
        <v>125</v>
      </c>
      <c r="C976" t="s">
        <v>1677</v>
      </c>
      <c r="D976" t="s">
        <v>254</v>
      </c>
      <c r="E976" t="s">
        <v>10</v>
      </c>
      <c r="F976" t="s">
        <v>11</v>
      </c>
    </row>
    <row r="977" spans="1:6" x14ac:dyDescent="0.25">
      <c r="A977" t="s">
        <v>2211</v>
      </c>
      <c r="B977" t="s">
        <v>125</v>
      </c>
      <c r="C977" t="s">
        <v>2212</v>
      </c>
      <c r="D977" t="s">
        <v>120</v>
      </c>
      <c r="E977" t="s">
        <v>44</v>
      </c>
      <c r="F977" t="s">
        <v>21</v>
      </c>
    </row>
    <row r="978" spans="1:6" x14ac:dyDescent="0.25">
      <c r="A978" t="s">
        <v>2213</v>
      </c>
      <c r="B978" t="s">
        <v>125</v>
      </c>
      <c r="C978" t="s">
        <v>2214</v>
      </c>
      <c r="D978" t="s">
        <v>1175</v>
      </c>
      <c r="E978" t="s">
        <v>10</v>
      </c>
      <c r="F978" t="s">
        <v>11</v>
      </c>
    </row>
    <row r="979" spans="1:6" x14ac:dyDescent="0.25">
      <c r="A979" t="s">
        <v>2215</v>
      </c>
      <c r="B979" t="s">
        <v>125</v>
      </c>
      <c r="C979" t="s">
        <v>1446</v>
      </c>
      <c r="D979" t="s">
        <v>335</v>
      </c>
      <c r="E979" t="s">
        <v>10</v>
      </c>
      <c r="F979" t="s">
        <v>11</v>
      </c>
    </row>
    <row r="980" spans="1:6" x14ac:dyDescent="0.25">
      <c r="A980" t="s">
        <v>2216</v>
      </c>
      <c r="B980" t="s">
        <v>125</v>
      </c>
      <c r="C980" t="s">
        <v>978</v>
      </c>
      <c r="D980" t="s">
        <v>148</v>
      </c>
      <c r="E980" t="s">
        <v>10</v>
      </c>
      <c r="F980" t="s">
        <v>11</v>
      </c>
    </row>
    <row r="981" spans="1:6" x14ac:dyDescent="0.25">
      <c r="A981" t="s">
        <v>2217</v>
      </c>
      <c r="B981" t="s">
        <v>125</v>
      </c>
      <c r="C981" t="s">
        <v>2218</v>
      </c>
      <c r="D981" t="s">
        <v>739</v>
      </c>
      <c r="E981" t="s">
        <v>10</v>
      </c>
      <c r="F981" t="s">
        <v>11</v>
      </c>
    </row>
    <row r="982" spans="1:6" x14ac:dyDescent="0.25">
      <c r="A982" t="s">
        <v>2219</v>
      </c>
      <c r="B982" t="s">
        <v>125</v>
      </c>
      <c r="C982" t="s">
        <v>2220</v>
      </c>
      <c r="D982" t="s">
        <v>2221</v>
      </c>
      <c r="E982" t="s">
        <v>10</v>
      </c>
      <c r="F982" t="s">
        <v>11</v>
      </c>
    </row>
    <row r="983" spans="1:6" x14ac:dyDescent="0.25">
      <c r="A983" t="s">
        <v>2222</v>
      </c>
      <c r="B983" t="s">
        <v>125</v>
      </c>
      <c r="C983" t="s">
        <v>628</v>
      </c>
      <c r="D983" t="s">
        <v>1722</v>
      </c>
      <c r="E983" t="s">
        <v>10</v>
      </c>
      <c r="F983" t="s">
        <v>11</v>
      </c>
    </row>
    <row r="984" spans="1:6" x14ac:dyDescent="0.25">
      <c r="A984" t="s">
        <v>2223</v>
      </c>
      <c r="B984" t="s">
        <v>125</v>
      </c>
      <c r="C984" t="s">
        <v>1822</v>
      </c>
      <c r="D984" t="s">
        <v>2224</v>
      </c>
      <c r="E984" t="s">
        <v>329</v>
      </c>
      <c r="F984" t="s">
        <v>50</v>
      </c>
    </row>
    <row r="985" spans="1:6" x14ac:dyDescent="0.25">
      <c r="A985" t="s">
        <v>2225</v>
      </c>
      <c r="B985" t="s">
        <v>125</v>
      </c>
      <c r="C985" t="s">
        <v>2226</v>
      </c>
      <c r="D985" t="s">
        <v>2227</v>
      </c>
      <c r="E985" t="s">
        <v>10</v>
      </c>
      <c r="F985" t="s">
        <v>11</v>
      </c>
    </row>
    <row r="986" spans="1:6" x14ac:dyDescent="0.25">
      <c r="A986" t="s">
        <v>2228</v>
      </c>
      <c r="B986" t="s">
        <v>125</v>
      </c>
      <c r="C986" t="s">
        <v>2012</v>
      </c>
      <c r="D986" t="s">
        <v>389</v>
      </c>
      <c r="E986" t="s">
        <v>10</v>
      </c>
      <c r="F986" t="s">
        <v>11</v>
      </c>
    </row>
    <row r="987" spans="1:6" x14ac:dyDescent="0.25">
      <c r="A987" t="s">
        <v>2229</v>
      </c>
      <c r="B987" t="s">
        <v>125</v>
      </c>
      <c r="C987" t="s">
        <v>1029</v>
      </c>
      <c r="D987" t="s">
        <v>2230</v>
      </c>
      <c r="E987" t="s">
        <v>1195</v>
      </c>
      <c r="F987" t="s">
        <v>50</v>
      </c>
    </row>
    <row r="988" spans="1:6" x14ac:dyDescent="0.25">
      <c r="A988" t="s">
        <v>2231</v>
      </c>
      <c r="B988" t="s">
        <v>125</v>
      </c>
      <c r="C988" t="s">
        <v>1314</v>
      </c>
      <c r="D988" t="s">
        <v>2232</v>
      </c>
      <c r="E988" t="s">
        <v>49</v>
      </c>
      <c r="F988" t="s">
        <v>50</v>
      </c>
    </row>
    <row r="989" spans="1:6" x14ac:dyDescent="0.25">
      <c r="A989" t="s">
        <v>2233</v>
      </c>
      <c r="B989" t="s">
        <v>125</v>
      </c>
      <c r="C989" t="s">
        <v>2012</v>
      </c>
      <c r="D989" t="s">
        <v>225</v>
      </c>
      <c r="E989" t="s">
        <v>44</v>
      </c>
      <c r="F989" t="s">
        <v>21</v>
      </c>
    </row>
    <row r="990" spans="1:6" x14ac:dyDescent="0.25">
      <c r="A990" t="s">
        <v>2234</v>
      </c>
      <c r="B990" t="s">
        <v>125</v>
      </c>
      <c r="C990" t="s">
        <v>2235</v>
      </c>
      <c r="D990" t="s">
        <v>2236</v>
      </c>
      <c r="E990" t="s">
        <v>210</v>
      </c>
      <c r="F990" t="s">
        <v>50</v>
      </c>
    </row>
    <row r="991" spans="1:6" x14ac:dyDescent="0.25">
      <c r="A991" t="s">
        <v>2237</v>
      </c>
      <c r="B991" t="s">
        <v>125</v>
      </c>
      <c r="C991" t="s">
        <v>2238</v>
      </c>
      <c r="D991" t="s">
        <v>254</v>
      </c>
      <c r="E991" t="s">
        <v>10</v>
      </c>
      <c r="F991" t="s">
        <v>11</v>
      </c>
    </row>
    <row r="992" spans="1:6" x14ac:dyDescent="0.25">
      <c r="A992" t="s">
        <v>2239</v>
      </c>
      <c r="B992" t="s">
        <v>125</v>
      </c>
      <c r="C992" t="s">
        <v>2240</v>
      </c>
      <c r="D992" t="s">
        <v>251</v>
      </c>
      <c r="E992" t="s">
        <v>604</v>
      </c>
      <c r="F992" t="s">
        <v>21</v>
      </c>
    </row>
    <row r="993" spans="1:6" x14ac:dyDescent="0.25">
      <c r="A993" t="s">
        <v>2241</v>
      </c>
      <c r="B993" t="s">
        <v>125</v>
      </c>
      <c r="C993" t="s">
        <v>1638</v>
      </c>
      <c r="D993" t="s">
        <v>2242</v>
      </c>
      <c r="E993" t="s">
        <v>10</v>
      </c>
      <c r="F993" t="s">
        <v>11</v>
      </c>
    </row>
    <row r="994" spans="1:6" x14ac:dyDescent="0.25">
      <c r="A994" t="s">
        <v>2243</v>
      </c>
      <c r="B994" t="s">
        <v>125</v>
      </c>
      <c r="C994" t="s">
        <v>1242</v>
      </c>
      <c r="D994" t="s">
        <v>2244</v>
      </c>
      <c r="E994" t="s">
        <v>350</v>
      </c>
      <c r="F994" t="s">
        <v>21</v>
      </c>
    </row>
    <row r="995" spans="1:6" x14ac:dyDescent="0.25">
      <c r="A995" t="s">
        <v>2245</v>
      </c>
      <c r="B995" t="s">
        <v>125</v>
      </c>
      <c r="C995" t="s">
        <v>2246</v>
      </c>
      <c r="D995" t="s">
        <v>2247</v>
      </c>
      <c r="E995" t="s">
        <v>10</v>
      </c>
      <c r="F995" t="s">
        <v>11</v>
      </c>
    </row>
    <row r="996" spans="1:6" x14ac:dyDescent="0.25">
      <c r="A996" t="s">
        <v>2248</v>
      </c>
      <c r="B996" t="s">
        <v>125</v>
      </c>
      <c r="C996" t="s">
        <v>1743</v>
      </c>
      <c r="D996" t="s">
        <v>2249</v>
      </c>
      <c r="E996" t="s">
        <v>10</v>
      </c>
      <c r="F996" t="s">
        <v>11</v>
      </c>
    </row>
    <row r="997" spans="1:6" x14ac:dyDescent="0.25">
      <c r="A997" t="s">
        <v>2250</v>
      </c>
      <c r="B997" t="s">
        <v>125</v>
      </c>
      <c r="C997" t="s">
        <v>2251</v>
      </c>
      <c r="D997" t="s">
        <v>2252</v>
      </c>
      <c r="E997" t="s">
        <v>10</v>
      </c>
      <c r="F997" t="s">
        <v>11</v>
      </c>
    </row>
    <row r="998" spans="1:6" x14ac:dyDescent="0.25">
      <c r="A998" t="s">
        <v>2253</v>
      </c>
      <c r="B998" t="s">
        <v>125</v>
      </c>
      <c r="C998" t="s">
        <v>607</v>
      </c>
      <c r="D998" t="s">
        <v>302</v>
      </c>
      <c r="E998" t="s">
        <v>44</v>
      </c>
      <c r="F998" t="s">
        <v>21</v>
      </c>
    </row>
    <row r="999" spans="1:6" x14ac:dyDescent="0.25">
      <c r="A999" t="s">
        <v>2254</v>
      </c>
      <c r="B999" t="s">
        <v>125</v>
      </c>
      <c r="C999" t="s">
        <v>174</v>
      </c>
      <c r="D999" t="s">
        <v>1813</v>
      </c>
      <c r="E999" t="s">
        <v>10</v>
      </c>
      <c r="F999" t="s">
        <v>11</v>
      </c>
    </row>
    <row r="1000" spans="1:6" x14ac:dyDescent="0.25">
      <c r="A1000" t="s">
        <v>2255</v>
      </c>
      <c r="B1000" t="s">
        <v>125</v>
      </c>
      <c r="C1000" t="s">
        <v>2256</v>
      </c>
      <c r="D1000" t="s">
        <v>2257</v>
      </c>
      <c r="E1000" t="s">
        <v>187</v>
      </c>
      <c r="F1000" t="s">
        <v>50</v>
      </c>
    </row>
    <row r="1001" spans="1:6" x14ac:dyDescent="0.25">
      <c r="A1001" t="s">
        <v>2258</v>
      </c>
      <c r="B1001" t="s">
        <v>125</v>
      </c>
      <c r="C1001" t="s">
        <v>1888</v>
      </c>
      <c r="D1001" t="s">
        <v>2259</v>
      </c>
      <c r="E1001" t="s">
        <v>1035</v>
      </c>
      <c r="F1001" t="s">
        <v>21</v>
      </c>
    </row>
    <row r="1002" spans="1:6" x14ac:dyDescent="0.25">
      <c r="A1002" t="s">
        <v>2260</v>
      </c>
      <c r="B1002" t="s">
        <v>125</v>
      </c>
      <c r="C1002" t="s">
        <v>662</v>
      </c>
      <c r="D1002" t="s">
        <v>2261</v>
      </c>
      <c r="E1002" t="s">
        <v>10</v>
      </c>
      <c r="F1002" t="s">
        <v>11</v>
      </c>
    </row>
    <row r="1003" spans="1:6" x14ac:dyDescent="0.25">
      <c r="A1003" t="s">
        <v>2262</v>
      </c>
      <c r="B1003" t="s">
        <v>125</v>
      </c>
      <c r="C1003" t="s">
        <v>2263</v>
      </c>
      <c r="D1003" t="s">
        <v>2264</v>
      </c>
      <c r="E1003" t="s">
        <v>20</v>
      </c>
      <c r="F1003" t="s">
        <v>21</v>
      </c>
    </row>
    <row r="1004" spans="1:6" x14ac:dyDescent="0.25">
      <c r="A1004" t="s">
        <v>2265</v>
      </c>
      <c r="B1004" t="s">
        <v>125</v>
      </c>
      <c r="C1004" t="s">
        <v>1281</v>
      </c>
      <c r="D1004" t="s">
        <v>2266</v>
      </c>
      <c r="E1004" t="s">
        <v>44</v>
      </c>
      <c r="F1004" t="s">
        <v>21</v>
      </c>
    </row>
    <row r="1005" spans="1:6" x14ac:dyDescent="0.25">
      <c r="A1005" t="s">
        <v>2267</v>
      </c>
      <c r="B1005" t="s">
        <v>125</v>
      </c>
      <c r="C1005" t="s">
        <v>2268</v>
      </c>
      <c r="D1005" t="s">
        <v>2269</v>
      </c>
      <c r="E1005" t="s">
        <v>20</v>
      </c>
      <c r="F1005" t="s">
        <v>21</v>
      </c>
    </row>
    <row r="1006" spans="1:6" x14ac:dyDescent="0.25">
      <c r="A1006" t="s">
        <v>2270</v>
      </c>
      <c r="B1006" t="s">
        <v>125</v>
      </c>
      <c r="C1006" t="s">
        <v>864</v>
      </c>
      <c r="D1006" t="s">
        <v>2271</v>
      </c>
      <c r="E1006" t="s">
        <v>44</v>
      </c>
      <c r="F1006" t="s">
        <v>21</v>
      </c>
    </row>
    <row r="1007" spans="1:6" x14ac:dyDescent="0.25">
      <c r="A1007" t="s">
        <v>2272</v>
      </c>
      <c r="B1007" t="s">
        <v>125</v>
      </c>
      <c r="C1007" t="s">
        <v>2273</v>
      </c>
      <c r="D1007" t="s">
        <v>2274</v>
      </c>
      <c r="E1007" t="s">
        <v>49</v>
      </c>
      <c r="F1007" t="s">
        <v>50</v>
      </c>
    </row>
    <row r="1008" spans="1:6" x14ac:dyDescent="0.25">
      <c r="A1008" t="s">
        <v>2275</v>
      </c>
      <c r="B1008" t="s">
        <v>125</v>
      </c>
      <c r="C1008" t="s">
        <v>2276</v>
      </c>
      <c r="D1008" t="s">
        <v>2277</v>
      </c>
      <c r="E1008" t="s">
        <v>554</v>
      </c>
      <c r="F1008" t="s">
        <v>526</v>
      </c>
    </row>
    <row r="1009" spans="1:6" x14ac:dyDescent="0.25">
      <c r="A1009" t="s">
        <v>2278</v>
      </c>
      <c r="B1009" t="s">
        <v>125</v>
      </c>
      <c r="C1009" t="s">
        <v>1898</v>
      </c>
      <c r="D1009" t="s">
        <v>2279</v>
      </c>
      <c r="E1009" t="s">
        <v>20</v>
      </c>
      <c r="F1009" t="s">
        <v>21</v>
      </c>
    </row>
    <row r="1010" spans="1:6" x14ac:dyDescent="0.25">
      <c r="A1010" t="s">
        <v>2280</v>
      </c>
      <c r="B1010" t="s">
        <v>125</v>
      </c>
      <c r="C1010" t="s">
        <v>1968</v>
      </c>
    </row>
    <row r="1011" spans="1:6" x14ac:dyDescent="0.25">
      <c r="A1011" t="s">
        <v>2281</v>
      </c>
      <c r="B1011" t="s">
        <v>125</v>
      </c>
      <c r="C1011" t="s">
        <v>2282</v>
      </c>
      <c r="D1011" t="s">
        <v>2283</v>
      </c>
    </row>
    <row r="1012" spans="1:6" x14ac:dyDescent="0.25">
      <c r="A1012" t="s">
        <v>2284</v>
      </c>
      <c r="B1012" t="s">
        <v>125</v>
      </c>
      <c r="C1012" t="s">
        <v>785</v>
      </c>
      <c r="D1012" t="s">
        <v>2285</v>
      </c>
      <c r="E1012" t="s">
        <v>10</v>
      </c>
      <c r="F1012" t="s">
        <v>11</v>
      </c>
    </row>
    <row r="1013" spans="1:6" x14ac:dyDescent="0.25">
      <c r="A1013" t="s">
        <v>2286</v>
      </c>
      <c r="B1013" t="s">
        <v>125</v>
      </c>
      <c r="C1013" t="s">
        <v>1199</v>
      </c>
      <c r="D1013" t="s">
        <v>2287</v>
      </c>
      <c r="E1013" t="s">
        <v>20</v>
      </c>
      <c r="F1013" t="s">
        <v>21</v>
      </c>
    </row>
    <row r="1014" spans="1:6" x14ac:dyDescent="0.25">
      <c r="A1014" t="s">
        <v>2288</v>
      </c>
      <c r="B1014" t="s">
        <v>125</v>
      </c>
      <c r="C1014" t="s">
        <v>1469</v>
      </c>
      <c r="D1014" t="s">
        <v>407</v>
      </c>
      <c r="E1014" t="s">
        <v>10</v>
      </c>
      <c r="F1014" t="s">
        <v>11</v>
      </c>
    </row>
    <row r="1015" spans="1:6" x14ac:dyDescent="0.25">
      <c r="A1015" t="s">
        <v>2289</v>
      </c>
      <c r="B1015" t="s">
        <v>125</v>
      </c>
      <c r="C1015" t="s">
        <v>815</v>
      </c>
      <c r="D1015" t="s">
        <v>2290</v>
      </c>
      <c r="E1015" t="s">
        <v>10</v>
      </c>
      <c r="F1015" t="s">
        <v>11</v>
      </c>
    </row>
    <row r="1016" spans="1:6" x14ac:dyDescent="0.25">
      <c r="A1016" t="s">
        <v>2291</v>
      </c>
      <c r="B1016" t="s">
        <v>125</v>
      </c>
      <c r="C1016" t="s">
        <v>2084</v>
      </c>
      <c r="D1016" t="s">
        <v>2292</v>
      </c>
      <c r="E1016" t="s">
        <v>10</v>
      </c>
      <c r="F1016" t="s">
        <v>11</v>
      </c>
    </row>
    <row r="1017" spans="1:6" x14ac:dyDescent="0.25">
      <c r="A1017" t="s">
        <v>2293</v>
      </c>
      <c r="B1017" t="s">
        <v>125</v>
      </c>
      <c r="C1017" t="s">
        <v>47</v>
      </c>
      <c r="D1017" t="s">
        <v>2294</v>
      </c>
      <c r="E1017" t="s">
        <v>20</v>
      </c>
      <c r="F1017" t="s">
        <v>21</v>
      </c>
    </row>
    <row r="1018" spans="1:6" x14ac:dyDescent="0.25">
      <c r="A1018" t="s">
        <v>2295</v>
      </c>
      <c r="B1018" t="s">
        <v>125</v>
      </c>
      <c r="C1018" t="s">
        <v>2296</v>
      </c>
      <c r="D1018" t="s">
        <v>120</v>
      </c>
      <c r="E1018" t="s">
        <v>1035</v>
      </c>
      <c r="F1018" t="s">
        <v>21</v>
      </c>
    </row>
    <row r="1019" spans="1:6" x14ac:dyDescent="0.25">
      <c r="A1019" t="s">
        <v>2297</v>
      </c>
      <c r="B1019" t="s">
        <v>125</v>
      </c>
      <c r="C1019" t="s">
        <v>2020</v>
      </c>
      <c r="D1019" t="s">
        <v>2298</v>
      </c>
      <c r="E1019" t="s">
        <v>242</v>
      </c>
      <c r="F1019" t="s">
        <v>21</v>
      </c>
    </row>
    <row r="1020" spans="1:6" x14ac:dyDescent="0.25">
      <c r="A1020" t="s">
        <v>2299</v>
      </c>
      <c r="B1020" t="s">
        <v>125</v>
      </c>
      <c r="C1020" t="s">
        <v>2300</v>
      </c>
      <c r="D1020" t="s">
        <v>1155</v>
      </c>
      <c r="E1020" t="s">
        <v>10</v>
      </c>
      <c r="F1020" t="s">
        <v>11</v>
      </c>
    </row>
    <row r="1021" spans="1:6" x14ac:dyDescent="0.25">
      <c r="A1021" t="s">
        <v>2301</v>
      </c>
      <c r="B1021" t="s">
        <v>125</v>
      </c>
      <c r="C1021" s="1">
        <v>0</v>
      </c>
      <c r="D1021" t="s">
        <v>576</v>
      </c>
      <c r="E1021" t="s">
        <v>20</v>
      </c>
      <c r="F1021" t="s">
        <v>21</v>
      </c>
    </row>
    <row r="1022" spans="1:6" x14ac:dyDescent="0.25">
      <c r="A1022" t="s">
        <v>2302</v>
      </c>
      <c r="B1022" t="s">
        <v>125</v>
      </c>
      <c r="C1022" t="s">
        <v>2303</v>
      </c>
      <c r="D1022" t="s">
        <v>727</v>
      </c>
      <c r="E1022" t="s">
        <v>10</v>
      </c>
      <c r="F1022" t="s">
        <v>11</v>
      </c>
    </row>
    <row r="1023" spans="1:6" x14ac:dyDescent="0.25">
      <c r="A1023" t="s">
        <v>2304</v>
      </c>
      <c r="B1023" t="s">
        <v>125</v>
      </c>
      <c r="C1023" t="s">
        <v>2305</v>
      </c>
      <c r="E1023" t="s">
        <v>294</v>
      </c>
      <c r="F1023" t="s">
        <v>21</v>
      </c>
    </row>
    <row r="1024" spans="1:6" x14ac:dyDescent="0.25">
      <c r="A1024" t="s">
        <v>2306</v>
      </c>
      <c r="B1024" t="s">
        <v>125</v>
      </c>
      <c r="C1024" t="s">
        <v>53</v>
      </c>
      <c r="D1024" t="s">
        <v>148</v>
      </c>
      <c r="E1024" t="s">
        <v>1035</v>
      </c>
      <c r="F1024" t="s">
        <v>21</v>
      </c>
    </row>
    <row r="1025" spans="1:6" x14ac:dyDescent="0.25">
      <c r="A1025" t="s">
        <v>2307</v>
      </c>
      <c r="B1025" t="s">
        <v>125</v>
      </c>
      <c r="C1025" t="s">
        <v>1517</v>
      </c>
      <c r="D1025" t="s">
        <v>2308</v>
      </c>
      <c r="E1025" t="s">
        <v>1657</v>
      </c>
      <c r="F1025" t="s">
        <v>50</v>
      </c>
    </row>
    <row r="1026" spans="1:6" x14ac:dyDescent="0.25">
      <c r="A1026" t="s">
        <v>2309</v>
      </c>
      <c r="B1026" t="s">
        <v>125</v>
      </c>
      <c r="C1026" t="s">
        <v>2012</v>
      </c>
      <c r="D1026" t="s">
        <v>1712</v>
      </c>
      <c r="E1026" t="s">
        <v>294</v>
      </c>
      <c r="F1026" t="s">
        <v>21</v>
      </c>
    </row>
    <row r="1027" spans="1:6" x14ac:dyDescent="0.25">
      <c r="A1027" t="s">
        <v>2310</v>
      </c>
      <c r="B1027" t="s">
        <v>125</v>
      </c>
      <c r="C1027" t="s">
        <v>1377</v>
      </c>
      <c r="D1027" t="s">
        <v>130</v>
      </c>
      <c r="E1027" t="s">
        <v>10</v>
      </c>
      <c r="F1027" t="s">
        <v>11</v>
      </c>
    </row>
    <row r="1028" spans="1:6" x14ac:dyDescent="0.25">
      <c r="A1028" t="s">
        <v>2311</v>
      </c>
      <c r="B1028" t="s">
        <v>125</v>
      </c>
      <c r="C1028" t="s">
        <v>645</v>
      </c>
      <c r="D1028" t="s">
        <v>2312</v>
      </c>
      <c r="E1028" t="s">
        <v>275</v>
      </c>
      <c r="F1028" t="s">
        <v>21</v>
      </c>
    </row>
    <row r="1029" spans="1:6" x14ac:dyDescent="0.25">
      <c r="A1029" t="s">
        <v>2313</v>
      </c>
      <c r="B1029" t="s">
        <v>125</v>
      </c>
      <c r="C1029" t="s">
        <v>2314</v>
      </c>
      <c r="D1029" t="s">
        <v>2315</v>
      </c>
      <c r="E1029" t="s">
        <v>44</v>
      </c>
      <c r="F1029" t="s">
        <v>21</v>
      </c>
    </row>
    <row r="1030" spans="1:6" x14ac:dyDescent="0.25">
      <c r="A1030" t="s">
        <v>2316</v>
      </c>
      <c r="B1030" t="s">
        <v>125</v>
      </c>
      <c r="C1030" t="s">
        <v>2023</v>
      </c>
      <c r="D1030" t="s">
        <v>2317</v>
      </c>
      <c r="E1030" t="s">
        <v>10</v>
      </c>
      <c r="F1030" t="s">
        <v>11</v>
      </c>
    </row>
    <row r="1031" spans="1:6" x14ac:dyDescent="0.25">
      <c r="A1031" t="s">
        <v>2318</v>
      </c>
      <c r="B1031" t="s">
        <v>125</v>
      </c>
      <c r="C1031" t="s">
        <v>2319</v>
      </c>
      <c r="D1031" t="s">
        <v>2320</v>
      </c>
      <c r="E1031" t="s">
        <v>10</v>
      </c>
      <c r="F1031" t="s">
        <v>11</v>
      </c>
    </row>
    <row r="1032" spans="1:6" x14ac:dyDescent="0.25">
      <c r="A1032" t="s">
        <v>2321</v>
      </c>
      <c r="B1032" t="s">
        <v>125</v>
      </c>
      <c r="C1032" t="s">
        <v>2322</v>
      </c>
      <c r="D1032" t="s">
        <v>2323</v>
      </c>
      <c r="E1032" t="s">
        <v>365</v>
      </c>
      <c r="F1032" t="s">
        <v>11</v>
      </c>
    </row>
    <row r="1033" spans="1:6" x14ac:dyDescent="0.25">
      <c r="A1033" t="s">
        <v>2324</v>
      </c>
      <c r="B1033" t="s">
        <v>125</v>
      </c>
      <c r="C1033" t="s">
        <v>1802</v>
      </c>
      <c r="D1033" t="s">
        <v>177</v>
      </c>
      <c r="E1033" t="s">
        <v>49</v>
      </c>
      <c r="F1033" t="s">
        <v>50</v>
      </c>
    </row>
    <row r="1034" spans="1:6" x14ac:dyDescent="0.25">
      <c r="A1034" t="s">
        <v>2325</v>
      </c>
      <c r="B1034" t="s">
        <v>125</v>
      </c>
      <c r="C1034" t="s">
        <v>1115</v>
      </c>
      <c r="D1034" t="s">
        <v>1155</v>
      </c>
      <c r="E1034" t="s">
        <v>10</v>
      </c>
      <c r="F1034" t="s">
        <v>11</v>
      </c>
    </row>
    <row r="1035" spans="1:6" x14ac:dyDescent="0.25">
      <c r="A1035" t="s">
        <v>2326</v>
      </c>
      <c r="B1035" t="s">
        <v>125</v>
      </c>
      <c r="C1035" t="s">
        <v>1880</v>
      </c>
      <c r="D1035" t="s">
        <v>1210</v>
      </c>
      <c r="E1035" t="s">
        <v>10</v>
      </c>
      <c r="F1035" t="s">
        <v>11</v>
      </c>
    </row>
    <row r="1036" spans="1:6" x14ac:dyDescent="0.25">
      <c r="A1036" t="s">
        <v>2327</v>
      </c>
      <c r="B1036" t="s">
        <v>125</v>
      </c>
      <c r="C1036" t="s">
        <v>2328</v>
      </c>
      <c r="D1036" t="s">
        <v>130</v>
      </c>
      <c r="E1036" t="s">
        <v>10</v>
      </c>
      <c r="F1036" t="s">
        <v>11</v>
      </c>
    </row>
    <row r="1037" spans="1:6" x14ac:dyDescent="0.25">
      <c r="A1037" t="s">
        <v>2329</v>
      </c>
      <c r="B1037" t="s">
        <v>125</v>
      </c>
      <c r="C1037" t="s">
        <v>2330</v>
      </c>
      <c r="D1037" t="s">
        <v>2331</v>
      </c>
      <c r="E1037" t="s">
        <v>10</v>
      </c>
      <c r="F1037" t="s">
        <v>11</v>
      </c>
    </row>
    <row r="1038" spans="1:6" x14ac:dyDescent="0.25">
      <c r="A1038" t="s">
        <v>2332</v>
      </c>
      <c r="B1038" t="s">
        <v>125</v>
      </c>
      <c r="C1038" t="s">
        <v>1831</v>
      </c>
      <c r="D1038" t="s">
        <v>2333</v>
      </c>
      <c r="E1038" t="s">
        <v>1008</v>
      </c>
      <c r="F1038" t="s">
        <v>11</v>
      </c>
    </row>
    <row r="1039" spans="1:6" x14ac:dyDescent="0.25">
      <c r="A1039" t="s">
        <v>2334</v>
      </c>
      <c r="B1039" t="s">
        <v>125</v>
      </c>
      <c r="C1039" t="s">
        <v>2335</v>
      </c>
      <c r="D1039" t="s">
        <v>1834</v>
      </c>
      <c r="E1039" t="s">
        <v>10</v>
      </c>
      <c r="F1039" t="s">
        <v>11</v>
      </c>
    </row>
    <row r="1040" spans="1:6" x14ac:dyDescent="0.25">
      <c r="A1040" t="s">
        <v>2336</v>
      </c>
      <c r="B1040" t="s">
        <v>125</v>
      </c>
      <c r="C1040" t="s">
        <v>804</v>
      </c>
      <c r="D1040" t="s">
        <v>2337</v>
      </c>
      <c r="E1040" t="s">
        <v>10</v>
      </c>
      <c r="F1040" t="s">
        <v>11</v>
      </c>
    </row>
    <row r="1041" spans="1:6" x14ac:dyDescent="0.25">
      <c r="A1041" t="s">
        <v>2338</v>
      </c>
      <c r="B1041" t="s">
        <v>125</v>
      </c>
      <c r="C1041" t="s">
        <v>1339</v>
      </c>
      <c r="D1041" t="s">
        <v>2339</v>
      </c>
      <c r="E1041" t="s">
        <v>10</v>
      </c>
      <c r="F1041" t="s">
        <v>11</v>
      </c>
    </row>
    <row r="1042" spans="1:6" x14ac:dyDescent="0.25">
      <c r="A1042" t="s">
        <v>2340</v>
      </c>
      <c r="B1042" t="s">
        <v>125</v>
      </c>
      <c r="C1042" t="s">
        <v>1511</v>
      </c>
      <c r="D1042" t="s">
        <v>1053</v>
      </c>
      <c r="E1042" t="s">
        <v>20</v>
      </c>
      <c r="F1042" t="s">
        <v>21</v>
      </c>
    </row>
    <row r="1043" spans="1:6" x14ac:dyDescent="0.25">
      <c r="A1043" t="s">
        <v>2341</v>
      </c>
      <c r="B1043" t="s">
        <v>125</v>
      </c>
      <c r="C1043" t="s">
        <v>508</v>
      </c>
      <c r="D1043" t="s">
        <v>2342</v>
      </c>
      <c r="E1043" t="s">
        <v>20</v>
      </c>
      <c r="F1043" t="s">
        <v>21</v>
      </c>
    </row>
    <row r="1044" spans="1:6" x14ac:dyDescent="0.25">
      <c r="A1044" t="s">
        <v>2343</v>
      </c>
      <c r="B1044" t="s">
        <v>125</v>
      </c>
      <c r="C1044" t="s">
        <v>1504</v>
      </c>
      <c r="D1044" t="s">
        <v>2344</v>
      </c>
      <c r="E1044" t="s">
        <v>10</v>
      </c>
      <c r="F1044" t="s">
        <v>11</v>
      </c>
    </row>
    <row r="1045" spans="1:6" x14ac:dyDescent="0.25">
      <c r="A1045" t="s">
        <v>2345</v>
      </c>
      <c r="B1045" t="s">
        <v>125</v>
      </c>
      <c r="C1045" t="s">
        <v>2346</v>
      </c>
      <c r="D1045" t="s">
        <v>2347</v>
      </c>
      <c r="E1045" t="s">
        <v>10</v>
      </c>
      <c r="F1045" t="s">
        <v>11</v>
      </c>
    </row>
    <row r="1046" spans="1:6" x14ac:dyDescent="0.25">
      <c r="A1046" t="s">
        <v>2348</v>
      </c>
      <c r="B1046" t="s">
        <v>125</v>
      </c>
      <c r="C1046" t="s">
        <v>2349</v>
      </c>
      <c r="D1046" t="s">
        <v>692</v>
      </c>
      <c r="E1046" t="s">
        <v>62</v>
      </c>
      <c r="F1046" t="s">
        <v>63</v>
      </c>
    </row>
    <row r="1047" spans="1:6" x14ac:dyDescent="0.25">
      <c r="A1047" t="s">
        <v>2350</v>
      </c>
      <c r="B1047" t="s">
        <v>125</v>
      </c>
      <c r="C1047" t="s">
        <v>1159</v>
      </c>
      <c r="D1047" t="s">
        <v>1712</v>
      </c>
      <c r="E1047" t="s">
        <v>10</v>
      </c>
      <c r="F1047" t="s">
        <v>11</v>
      </c>
    </row>
    <row r="1048" spans="1:6" x14ac:dyDescent="0.25">
      <c r="A1048" t="s">
        <v>2351</v>
      </c>
      <c r="B1048" t="s">
        <v>125</v>
      </c>
      <c r="C1048" t="s">
        <v>1185</v>
      </c>
      <c r="D1048" t="s">
        <v>2352</v>
      </c>
      <c r="E1048" t="s">
        <v>10</v>
      </c>
      <c r="F1048" t="s">
        <v>11</v>
      </c>
    </row>
    <row r="1049" spans="1:6" x14ac:dyDescent="0.25">
      <c r="A1049" t="s">
        <v>2353</v>
      </c>
      <c r="B1049" t="s">
        <v>125</v>
      </c>
      <c r="C1049" t="s">
        <v>2354</v>
      </c>
      <c r="D1049" t="s">
        <v>66</v>
      </c>
      <c r="E1049" t="s">
        <v>49</v>
      </c>
      <c r="F1049" t="s">
        <v>50</v>
      </c>
    </row>
    <row r="1050" spans="1:6" x14ac:dyDescent="0.25">
      <c r="A1050" t="s">
        <v>2355</v>
      </c>
      <c r="B1050" t="s">
        <v>125</v>
      </c>
      <c r="C1050" s="1">
        <v>0</v>
      </c>
      <c r="D1050" t="s">
        <v>496</v>
      </c>
      <c r="E1050" t="s">
        <v>10</v>
      </c>
      <c r="F1050" t="s">
        <v>11</v>
      </c>
    </row>
    <row r="1051" spans="1:6" x14ac:dyDescent="0.25">
      <c r="A1051" t="s">
        <v>2356</v>
      </c>
      <c r="B1051" t="s">
        <v>125</v>
      </c>
      <c r="C1051" t="s">
        <v>2203</v>
      </c>
      <c r="D1051" t="s">
        <v>2357</v>
      </c>
      <c r="E1051" t="s">
        <v>10</v>
      </c>
      <c r="F1051" t="s">
        <v>11</v>
      </c>
    </row>
    <row r="1052" spans="1:6" x14ac:dyDescent="0.25">
      <c r="A1052" t="s">
        <v>2358</v>
      </c>
      <c r="B1052" t="s">
        <v>125</v>
      </c>
      <c r="C1052" t="s">
        <v>2359</v>
      </c>
      <c r="D1052" t="s">
        <v>1042</v>
      </c>
      <c r="E1052" t="s">
        <v>350</v>
      </c>
      <c r="F1052" t="s">
        <v>21</v>
      </c>
    </row>
    <row r="1053" spans="1:6" x14ac:dyDescent="0.25">
      <c r="A1053" t="s">
        <v>2360</v>
      </c>
      <c r="B1053" t="s">
        <v>125</v>
      </c>
      <c r="C1053" t="s">
        <v>585</v>
      </c>
      <c r="D1053" t="s">
        <v>2361</v>
      </c>
      <c r="E1053" t="s">
        <v>10</v>
      </c>
      <c r="F1053" t="s">
        <v>11</v>
      </c>
    </row>
    <row r="1054" spans="1:6" x14ac:dyDescent="0.25">
      <c r="A1054" t="s">
        <v>2362</v>
      </c>
      <c r="B1054" t="s">
        <v>125</v>
      </c>
      <c r="C1054" t="s">
        <v>2363</v>
      </c>
      <c r="D1054" t="s">
        <v>2364</v>
      </c>
      <c r="E1054" t="s">
        <v>1008</v>
      </c>
      <c r="F1054" t="s">
        <v>11</v>
      </c>
    </row>
    <row r="1055" spans="1:6" x14ac:dyDescent="0.25">
      <c r="A1055" t="s">
        <v>2365</v>
      </c>
      <c r="B1055" t="s">
        <v>125</v>
      </c>
      <c r="C1055" t="s">
        <v>1409</v>
      </c>
      <c r="D1055" t="s">
        <v>238</v>
      </c>
      <c r="E1055" t="s">
        <v>10</v>
      </c>
      <c r="F1055" t="s">
        <v>11</v>
      </c>
    </row>
    <row r="1056" spans="1:6" x14ac:dyDescent="0.25">
      <c r="A1056" t="s">
        <v>2366</v>
      </c>
      <c r="B1056" t="s">
        <v>125</v>
      </c>
      <c r="C1056" t="s">
        <v>1205</v>
      </c>
      <c r="D1056" t="s">
        <v>2367</v>
      </c>
    </row>
    <row r="1057" spans="1:6" x14ac:dyDescent="0.25">
      <c r="A1057" t="s">
        <v>2368</v>
      </c>
      <c r="B1057" t="s">
        <v>125</v>
      </c>
      <c r="C1057" t="s">
        <v>2335</v>
      </c>
      <c r="D1057" t="s">
        <v>1843</v>
      </c>
      <c r="E1057" t="s">
        <v>10</v>
      </c>
      <c r="F1057" t="s">
        <v>11</v>
      </c>
    </row>
    <row r="1058" spans="1:6" x14ac:dyDescent="0.25">
      <c r="A1058" t="s">
        <v>2369</v>
      </c>
      <c r="B1058" t="s">
        <v>125</v>
      </c>
      <c r="C1058" t="s">
        <v>136</v>
      </c>
      <c r="D1058" t="s">
        <v>2370</v>
      </c>
      <c r="E1058" t="s">
        <v>44</v>
      </c>
      <c r="F1058" t="s">
        <v>21</v>
      </c>
    </row>
    <row r="1059" spans="1:6" x14ac:dyDescent="0.25">
      <c r="A1059" t="s">
        <v>2371</v>
      </c>
      <c r="B1059" t="s">
        <v>125</v>
      </c>
      <c r="C1059" t="s">
        <v>2372</v>
      </c>
      <c r="D1059" t="s">
        <v>225</v>
      </c>
      <c r="E1059" t="s">
        <v>10</v>
      </c>
      <c r="F1059" t="s">
        <v>11</v>
      </c>
    </row>
    <row r="1060" spans="1:6" x14ac:dyDescent="0.25">
      <c r="A1060" t="s">
        <v>2373</v>
      </c>
      <c r="B1060" t="s">
        <v>125</v>
      </c>
      <c r="C1060" t="s">
        <v>1875</v>
      </c>
      <c r="D1060" t="s">
        <v>2374</v>
      </c>
      <c r="E1060" t="s">
        <v>10</v>
      </c>
      <c r="F1060" t="s">
        <v>11</v>
      </c>
    </row>
    <row r="1061" spans="1:6" x14ac:dyDescent="0.25">
      <c r="A1061" t="s">
        <v>2375</v>
      </c>
      <c r="B1061" t="s">
        <v>125</v>
      </c>
      <c r="C1061" t="s">
        <v>1968</v>
      </c>
      <c r="D1061" t="s">
        <v>2376</v>
      </c>
      <c r="E1061" t="s">
        <v>10</v>
      </c>
      <c r="F1061" t="s">
        <v>11</v>
      </c>
    </row>
    <row r="1062" spans="1:6" x14ac:dyDescent="0.25">
      <c r="A1062" t="s">
        <v>2377</v>
      </c>
      <c r="B1062" t="s">
        <v>125</v>
      </c>
      <c r="C1062" t="s">
        <v>1926</v>
      </c>
      <c r="D1062" t="s">
        <v>2378</v>
      </c>
      <c r="E1062" t="s">
        <v>10</v>
      </c>
      <c r="F1062" t="s">
        <v>11</v>
      </c>
    </row>
    <row r="1063" spans="1:6" x14ac:dyDescent="0.25">
      <c r="A1063" t="s">
        <v>2379</v>
      </c>
      <c r="B1063" t="s">
        <v>125</v>
      </c>
      <c r="C1063" t="s">
        <v>2380</v>
      </c>
      <c r="D1063" t="s">
        <v>1800</v>
      </c>
      <c r="E1063" t="s">
        <v>10</v>
      </c>
      <c r="F1063" t="s">
        <v>11</v>
      </c>
    </row>
    <row r="1064" spans="1:6" x14ac:dyDescent="0.25">
      <c r="A1064" t="s">
        <v>2381</v>
      </c>
      <c r="B1064" t="s">
        <v>125</v>
      </c>
      <c r="C1064" t="s">
        <v>1088</v>
      </c>
      <c r="D1064" t="s">
        <v>2382</v>
      </c>
      <c r="E1064" t="s">
        <v>350</v>
      </c>
      <c r="F1064" t="s">
        <v>21</v>
      </c>
    </row>
    <row r="1065" spans="1:6" x14ac:dyDescent="0.25">
      <c r="A1065" t="s">
        <v>2383</v>
      </c>
      <c r="B1065" t="s">
        <v>125</v>
      </c>
      <c r="C1065" s="1">
        <v>0</v>
      </c>
      <c r="E1065" t="s">
        <v>10</v>
      </c>
      <c r="F1065" t="s">
        <v>11</v>
      </c>
    </row>
    <row r="1066" spans="1:6" x14ac:dyDescent="0.25">
      <c r="A1066" t="s">
        <v>2384</v>
      </c>
      <c r="B1066" t="s">
        <v>125</v>
      </c>
      <c r="C1066" t="s">
        <v>936</v>
      </c>
      <c r="D1066" t="s">
        <v>500</v>
      </c>
      <c r="E1066" t="s">
        <v>10</v>
      </c>
      <c r="F1066" t="s">
        <v>11</v>
      </c>
    </row>
    <row r="1067" spans="1:6" x14ac:dyDescent="0.25">
      <c r="A1067" t="s">
        <v>2385</v>
      </c>
      <c r="B1067" t="s">
        <v>125</v>
      </c>
      <c r="C1067" t="s">
        <v>1815</v>
      </c>
      <c r="D1067" t="s">
        <v>755</v>
      </c>
      <c r="E1067" t="s">
        <v>10</v>
      </c>
      <c r="F1067" t="s">
        <v>11</v>
      </c>
    </row>
    <row r="1068" spans="1:6" x14ac:dyDescent="0.25">
      <c r="A1068" t="s">
        <v>2386</v>
      </c>
      <c r="B1068" t="s">
        <v>125</v>
      </c>
      <c r="C1068" t="s">
        <v>783</v>
      </c>
      <c r="D1068" t="s">
        <v>339</v>
      </c>
      <c r="E1068" t="s">
        <v>10</v>
      </c>
      <c r="F1068" t="s">
        <v>11</v>
      </c>
    </row>
    <row r="1069" spans="1:6" x14ac:dyDescent="0.25">
      <c r="A1069" t="s">
        <v>2387</v>
      </c>
      <c r="B1069" t="s">
        <v>125</v>
      </c>
      <c r="C1069" t="s">
        <v>1562</v>
      </c>
      <c r="D1069" t="s">
        <v>500</v>
      </c>
      <c r="E1069" t="s">
        <v>10</v>
      </c>
      <c r="F1069" t="s">
        <v>11</v>
      </c>
    </row>
    <row r="1070" spans="1:6" x14ac:dyDescent="0.25">
      <c r="A1070" t="s">
        <v>2388</v>
      </c>
      <c r="B1070" t="s">
        <v>125</v>
      </c>
      <c r="C1070" t="s">
        <v>1717</v>
      </c>
      <c r="D1070" t="s">
        <v>2389</v>
      </c>
      <c r="E1070" t="s">
        <v>10</v>
      </c>
      <c r="F1070" t="s">
        <v>11</v>
      </c>
    </row>
    <row r="1071" spans="1:6" x14ac:dyDescent="0.25">
      <c r="A1071" t="s">
        <v>2390</v>
      </c>
      <c r="B1071" t="s">
        <v>125</v>
      </c>
      <c r="C1071" t="s">
        <v>2023</v>
      </c>
      <c r="D1071" t="s">
        <v>1074</v>
      </c>
      <c r="E1071" t="s">
        <v>10</v>
      </c>
      <c r="F1071" t="s">
        <v>11</v>
      </c>
    </row>
    <row r="1072" spans="1:6" x14ac:dyDescent="0.25">
      <c r="A1072" t="s">
        <v>2391</v>
      </c>
      <c r="B1072" t="s">
        <v>125</v>
      </c>
      <c r="C1072" t="s">
        <v>2062</v>
      </c>
      <c r="D1072" t="s">
        <v>2392</v>
      </c>
      <c r="E1072" t="s">
        <v>10</v>
      </c>
      <c r="F1072" t="s">
        <v>11</v>
      </c>
    </row>
    <row r="1073" spans="1:6" x14ac:dyDescent="0.25">
      <c r="A1073" t="s">
        <v>2393</v>
      </c>
      <c r="B1073" t="s">
        <v>125</v>
      </c>
      <c r="C1073" t="s">
        <v>1831</v>
      </c>
      <c r="E1073" t="s">
        <v>20</v>
      </c>
      <c r="F1073" t="s">
        <v>21</v>
      </c>
    </row>
    <row r="1074" spans="1:6" x14ac:dyDescent="0.25">
      <c r="A1074" t="s">
        <v>2394</v>
      </c>
      <c r="B1074" t="s">
        <v>125</v>
      </c>
      <c r="C1074" t="s">
        <v>1650</v>
      </c>
      <c r="D1074" t="s">
        <v>2395</v>
      </c>
      <c r="E1074" t="s">
        <v>10</v>
      </c>
      <c r="F1074" t="s">
        <v>11</v>
      </c>
    </row>
    <row r="1075" spans="1:6" x14ac:dyDescent="0.25">
      <c r="A1075" t="s">
        <v>2396</v>
      </c>
      <c r="B1075" t="s">
        <v>125</v>
      </c>
      <c r="C1075" t="s">
        <v>47</v>
      </c>
      <c r="D1075" t="s">
        <v>2397</v>
      </c>
      <c r="E1075" t="s">
        <v>20</v>
      </c>
      <c r="F1075" t="s">
        <v>21</v>
      </c>
    </row>
    <row r="1076" spans="1:6" x14ac:dyDescent="0.25">
      <c r="A1076" t="s">
        <v>2398</v>
      </c>
      <c r="B1076" t="s">
        <v>125</v>
      </c>
      <c r="C1076" t="s">
        <v>1994</v>
      </c>
      <c r="D1076" t="s">
        <v>1053</v>
      </c>
      <c r="E1076" t="s">
        <v>44</v>
      </c>
      <c r="F1076" t="s">
        <v>21</v>
      </c>
    </row>
    <row r="1077" spans="1:6" x14ac:dyDescent="0.25">
      <c r="A1077" t="s">
        <v>2399</v>
      </c>
      <c r="B1077" t="s">
        <v>125</v>
      </c>
      <c r="C1077" t="s">
        <v>2349</v>
      </c>
      <c r="D1077" t="s">
        <v>563</v>
      </c>
      <c r="E1077" t="s">
        <v>20</v>
      </c>
      <c r="F1077" t="s">
        <v>21</v>
      </c>
    </row>
    <row r="1078" spans="1:6" x14ac:dyDescent="0.25">
      <c r="A1078" t="s">
        <v>2400</v>
      </c>
      <c r="B1078" t="s">
        <v>125</v>
      </c>
      <c r="C1078" t="s">
        <v>2401</v>
      </c>
      <c r="D1078" t="s">
        <v>576</v>
      </c>
      <c r="E1078" t="s">
        <v>10</v>
      </c>
      <c r="F1078" t="s">
        <v>11</v>
      </c>
    </row>
    <row r="1079" spans="1:6" x14ac:dyDescent="0.25">
      <c r="A1079" t="s">
        <v>2402</v>
      </c>
      <c r="B1079" t="s">
        <v>125</v>
      </c>
      <c r="C1079" t="s">
        <v>544</v>
      </c>
      <c r="D1079" t="s">
        <v>2403</v>
      </c>
      <c r="E1079" t="s">
        <v>44</v>
      </c>
      <c r="F1079" t="s">
        <v>21</v>
      </c>
    </row>
    <row r="1080" spans="1:6" x14ac:dyDescent="0.25">
      <c r="A1080" t="s">
        <v>2404</v>
      </c>
      <c r="B1080" t="s">
        <v>125</v>
      </c>
      <c r="C1080" t="s">
        <v>2405</v>
      </c>
      <c r="D1080" t="s">
        <v>2003</v>
      </c>
      <c r="E1080" t="s">
        <v>10</v>
      </c>
      <c r="F1080" t="s">
        <v>11</v>
      </c>
    </row>
    <row r="1081" spans="1:6" x14ac:dyDescent="0.25">
      <c r="A1081" t="s">
        <v>2406</v>
      </c>
      <c r="B1081" t="s">
        <v>125</v>
      </c>
      <c r="C1081" t="s">
        <v>694</v>
      </c>
      <c r="D1081" t="s">
        <v>1361</v>
      </c>
      <c r="E1081" t="s">
        <v>10</v>
      </c>
      <c r="F1081" t="s">
        <v>11</v>
      </c>
    </row>
    <row r="1082" spans="1:6" x14ac:dyDescent="0.25">
      <c r="A1082" t="s">
        <v>2407</v>
      </c>
      <c r="B1082" t="s">
        <v>125</v>
      </c>
      <c r="C1082" t="s">
        <v>878</v>
      </c>
      <c r="D1082" t="s">
        <v>576</v>
      </c>
      <c r="E1082" t="s">
        <v>787</v>
      </c>
      <c r="F1082" t="s">
        <v>50</v>
      </c>
    </row>
    <row r="1083" spans="1:6" x14ac:dyDescent="0.25">
      <c r="A1083" t="s">
        <v>2408</v>
      </c>
      <c r="B1083" t="s">
        <v>125</v>
      </c>
      <c r="C1083" t="s">
        <v>2062</v>
      </c>
      <c r="D1083" t="s">
        <v>2409</v>
      </c>
      <c r="E1083" t="s">
        <v>10</v>
      </c>
      <c r="F1083" t="s">
        <v>11</v>
      </c>
    </row>
    <row r="1084" spans="1:6" x14ac:dyDescent="0.25">
      <c r="A1084" t="s">
        <v>2410</v>
      </c>
      <c r="B1084" t="s">
        <v>125</v>
      </c>
      <c r="C1084" t="s">
        <v>298</v>
      </c>
      <c r="D1084" t="s">
        <v>576</v>
      </c>
      <c r="E1084" t="s">
        <v>20</v>
      </c>
      <c r="F1084" t="s">
        <v>21</v>
      </c>
    </row>
    <row r="1085" spans="1:6" x14ac:dyDescent="0.25">
      <c r="A1085" t="s">
        <v>2411</v>
      </c>
      <c r="B1085" t="s">
        <v>125</v>
      </c>
      <c r="C1085" t="s">
        <v>125</v>
      </c>
      <c r="D1085" t="s">
        <v>1843</v>
      </c>
      <c r="E1085" t="s">
        <v>10</v>
      </c>
      <c r="F1085" t="s">
        <v>11</v>
      </c>
    </row>
    <row r="1086" spans="1:6" x14ac:dyDescent="0.25">
      <c r="A1086" t="s">
        <v>2412</v>
      </c>
      <c r="B1086" t="s">
        <v>125</v>
      </c>
      <c r="C1086" t="s">
        <v>1774</v>
      </c>
      <c r="D1086" t="s">
        <v>1146</v>
      </c>
      <c r="E1086" t="s">
        <v>10</v>
      </c>
      <c r="F1086" t="s">
        <v>11</v>
      </c>
    </row>
    <row r="1087" spans="1:6" x14ac:dyDescent="0.25">
      <c r="A1087" t="s">
        <v>2413</v>
      </c>
      <c r="B1087" t="s">
        <v>125</v>
      </c>
      <c r="C1087" t="s">
        <v>2155</v>
      </c>
      <c r="D1087" t="s">
        <v>2414</v>
      </c>
      <c r="E1087" t="s">
        <v>10</v>
      </c>
      <c r="F1087" t="s">
        <v>11</v>
      </c>
    </row>
    <row r="1088" spans="1:6" x14ac:dyDescent="0.25">
      <c r="A1088" t="s">
        <v>2415</v>
      </c>
      <c r="B1088" t="s">
        <v>125</v>
      </c>
      <c r="C1088" t="s">
        <v>2416</v>
      </c>
      <c r="D1088" t="s">
        <v>322</v>
      </c>
      <c r="E1088" t="s">
        <v>10</v>
      </c>
      <c r="F1088" t="s">
        <v>11</v>
      </c>
    </row>
    <row r="1089" spans="1:6" x14ac:dyDescent="0.25">
      <c r="A1089" t="s">
        <v>2417</v>
      </c>
      <c r="B1089" t="s">
        <v>125</v>
      </c>
      <c r="C1089" t="s">
        <v>1851</v>
      </c>
      <c r="D1089" t="s">
        <v>1753</v>
      </c>
      <c r="E1089" t="s">
        <v>20</v>
      </c>
      <c r="F1089" t="s">
        <v>21</v>
      </c>
    </row>
    <row r="1090" spans="1:6" x14ac:dyDescent="0.25">
      <c r="A1090" t="s">
        <v>2418</v>
      </c>
      <c r="B1090" t="s">
        <v>125</v>
      </c>
      <c r="C1090" t="s">
        <v>997</v>
      </c>
      <c r="D1090" t="s">
        <v>2419</v>
      </c>
      <c r="E1090" t="s">
        <v>10</v>
      </c>
      <c r="F1090" t="s">
        <v>11</v>
      </c>
    </row>
    <row r="1091" spans="1:6" x14ac:dyDescent="0.25">
      <c r="A1091" t="s">
        <v>2420</v>
      </c>
      <c r="B1091" t="s">
        <v>125</v>
      </c>
      <c r="C1091" t="s">
        <v>1756</v>
      </c>
      <c r="D1091" t="s">
        <v>2421</v>
      </c>
      <c r="E1091" t="s">
        <v>10</v>
      </c>
      <c r="F1091" t="s">
        <v>11</v>
      </c>
    </row>
    <row r="1092" spans="1:6" x14ac:dyDescent="0.25">
      <c r="A1092" t="s">
        <v>2422</v>
      </c>
      <c r="B1092" t="s">
        <v>125</v>
      </c>
      <c r="C1092" t="s">
        <v>2423</v>
      </c>
      <c r="D1092" t="s">
        <v>1911</v>
      </c>
      <c r="E1092" t="s">
        <v>10</v>
      </c>
      <c r="F1092" t="s">
        <v>11</v>
      </c>
    </row>
    <row r="1093" spans="1:6" x14ac:dyDescent="0.25">
      <c r="A1093" t="s">
        <v>2424</v>
      </c>
      <c r="B1093" t="s">
        <v>125</v>
      </c>
      <c r="C1093" t="s">
        <v>628</v>
      </c>
      <c r="D1093" t="s">
        <v>2425</v>
      </c>
      <c r="E1093" t="s">
        <v>10</v>
      </c>
      <c r="F1093" t="s">
        <v>11</v>
      </c>
    </row>
    <row r="1094" spans="1:6" x14ac:dyDescent="0.25">
      <c r="A1094" t="s">
        <v>2426</v>
      </c>
      <c r="B1094" t="s">
        <v>125</v>
      </c>
      <c r="C1094" t="s">
        <v>1404</v>
      </c>
      <c r="D1094" t="s">
        <v>2427</v>
      </c>
      <c r="E1094" t="s">
        <v>10</v>
      </c>
      <c r="F1094" t="s">
        <v>11</v>
      </c>
    </row>
    <row r="1095" spans="1:6" x14ac:dyDescent="0.25">
      <c r="A1095" t="s">
        <v>2428</v>
      </c>
      <c r="B1095" t="s">
        <v>125</v>
      </c>
      <c r="C1095" t="s">
        <v>1994</v>
      </c>
      <c r="D1095" t="s">
        <v>292</v>
      </c>
      <c r="E1095" t="s">
        <v>10</v>
      </c>
      <c r="F1095" t="s">
        <v>11</v>
      </c>
    </row>
    <row r="1096" spans="1:6" x14ac:dyDescent="0.25">
      <c r="A1096" t="s">
        <v>2429</v>
      </c>
      <c r="B1096" t="s">
        <v>125</v>
      </c>
      <c r="C1096" t="s">
        <v>2430</v>
      </c>
      <c r="D1096" t="s">
        <v>1068</v>
      </c>
      <c r="E1096" t="s">
        <v>10</v>
      </c>
      <c r="F1096" t="s">
        <v>11</v>
      </c>
    </row>
    <row r="1097" spans="1:6" x14ac:dyDescent="0.25">
      <c r="A1097" t="s">
        <v>2431</v>
      </c>
      <c r="B1097" t="s">
        <v>125</v>
      </c>
      <c r="C1097" t="s">
        <v>2432</v>
      </c>
      <c r="D1097" t="s">
        <v>2433</v>
      </c>
      <c r="E1097" t="s">
        <v>44</v>
      </c>
      <c r="F1097" t="s">
        <v>21</v>
      </c>
    </row>
    <row r="1098" spans="1:6" x14ac:dyDescent="0.25">
      <c r="A1098" t="s">
        <v>2434</v>
      </c>
      <c r="B1098" t="s">
        <v>125</v>
      </c>
      <c r="C1098" t="s">
        <v>2435</v>
      </c>
      <c r="D1098" t="s">
        <v>120</v>
      </c>
      <c r="E1098" t="s">
        <v>10</v>
      </c>
      <c r="F1098" t="s">
        <v>11</v>
      </c>
    </row>
    <row r="1099" spans="1:6" x14ac:dyDescent="0.25">
      <c r="A1099" t="s">
        <v>2436</v>
      </c>
      <c r="B1099" t="s">
        <v>125</v>
      </c>
      <c r="C1099" t="s">
        <v>193</v>
      </c>
      <c r="D1099" t="s">
        <v>130</v>
      </c>
      <c r="E1099" t="s">
        <v>10</v>
      </c>
      <c r="F1099" t="s">
        <v>11</v>
      </c>
    </row>
    <row r="1100" spans="1:6" x14ac:dyDescent="0.25">
      <c r="A1100" t="s">
        <v>2437</v>
      </c>
      <c r="B1100" t="s">
        <v>125</v>
      </c>
      <c r="C1100" t="s">
        <v>1406</v>
      </c>
      <c r="D1100" t="s">
        <v>156</v>
      </c>
      <c r="E1100" t="s">
        <v>10</v>
      </c>
      <c r="F1100" t="s">
        <v>11</v>
      </c>
    </row>
    <row r="1101" spans="1:6" x14ac:dyDescent="0.25">
      <c r="A1101" t="s">
        <v>2438</v>
      </c>
      <c r="B1101" t="s">
        <v>125</v>
      </c>
      <c r="C1101" t="s">
        <v>2081</v>
      </c>
      <c r="D1101" t="s">
        <v>973</v>
      </c>
      <c r="E1101" t="s">
        <v>20</v>
      </c>
      <c r="F1101" t="s">
        <v>21</v>
      </c>
    </row>
    <row r="1102" spans="1:6" x14ac:dyDescent="0.25">
      <c r="A1102" t="s">
        <v>2439</v>
      </c>
      <c r="B1102" t="s">
        <v>125</v>
      </c>
      <c r="C1102" t="s">
        <v>1822</v>
      </c>
      <c r="D1102" t="s">
        <v>496</v>
      </c>
      <c r="E1102" t="s">
        <v>10</v>
      </c>
      <c r="F1102" t="s">
        <v>11</v>
      </c>
    </row>
    <row r="1103" spans="1:6" x14ac:dyDescent="0.25">
      <c r="A1103" t="s">
        <v>2440</v>
      </c>
      <c r="B1103" t="s">
        <v>125</v>
      </c>
      <c r="C1103" t="s">
        <v>2335</v>
      </c>
      <c r="E1103" t="s">
        <v>20</v>
      </c>
      <c r="F1103" t="s">
        <v>21</v>
      </c>
    </row>
    <row r="1104" spans="1:6" x14ac:dyDescent="0.25">
      <c r="A1104" t="s">
        <v>2441</v>
      </c>
      <c r="B1104" t="s">
        <v>125</v>
      </c>
      <c r="C1104" t="s">
        <v>615</v>
      </c>
      <c r="D1104" t="s">
        <v>407</v>
      </c>
      <c r="E1104" t="s">
        <v>384</v>
      </c>
      <c r="F1104" t="s">
        <v>21</v>
      </c>
    </row>
    <row r="1105" spans="1:6" x14ac:dyDescent="0.25">
      <c r="A1105" t="s">
        <v>2442</v>
      </c>
      <c r="B1105" t="s">
        <v>125</v>
      </c>
      <c r="C1105" t="s">
        <v>931</v>
      </c>
      <c r="D1105" t="s">
        <v>130</v>
      </c>
      <c r="E1105" t="s">
        <v>10</v>
      </c>
      <c r="F1105" t="s">
        <v>11</v>
      </c>
    </row>
    <row r="1106" spans="1:6" x14ac:dyDescent="0.25">
      <c r="A1106" t="s">
        <v>2443</v>
      </c>
      <c r="B1106" t="s">
        <v>125</v>
      </c>
      <c r="C1106" t="s">
        <v>2012</v>
      </c>
      <c r="D1106" t="s">
        <v>2444</v>
      </c>
      <c r="E1106" t="s">
        <v>384</v>
      </c>
      <c r="F1106" t="s">
        <v>21</v>
      </c>
    </row>
    <row r="1107" spans="1:6" x14ac:dyDescent="0.25">
      <c r="A1107" t="s">
        <v>2445</v>
      </c>
      <c r="B1107" t="s">
        <v>125</v>
      </c>
      <c r="C1107" t="s">
        <v>2446</v>
      </c>
      <c r="D1107" t="s">
        <v>2447</v>
      </c>
      <c r="E1107" t="s">
        <v>49</v>
      </c>
      <c r="F1107" t="s">
        <v>50</v>
      </c>
    </row>
    <row r="1108" spans="1:6" x14ac:dyDescent="0.25">
      <c r="A1108" t="s">
        <v>2448</v>
      </c>
      <c r="B1108" t="s">
        <v>125</v>
      </c>
      <c r="C1108" t="s">
        <v>2446</v>
      </c>
      <c r="D1108" t="s">
        <v>130</v>
      </c>
      <c r="E1108" t="s">
        <v>44</v>
      </c>
      <c r="F1108" t="s">
        <v>21</v>
      </c>
    </row>
    <row r="1109" spans="1:6" x14ac:dyDescent="0.25">
      <c r="A1109" t="s">
        <v>2449</v>
      </c>
      <c r="B1109" t="s">
        <v>125</v>
      </c>
      <c r="C1109" t="s">
        <v>1017</v>
      </c>
      <c r="D1109" t="s">
        <v>2450</v>
      </c>
      <c r="E1109" t="s">
        <v>384</v>
      </c>
      <c r="F1109" t="s">
        <v>21</v>
      </c>
    </row>
    <row r="1110" spans="1:6" x14ac:dyDescent="0.25">
      <c r="A1110" t="s">
        <v>2451</v>
      </c>
      <c r="B1110" t="s">
        <v>125</v>
      </c>
      <c r="C1110" t="s">
        <v>1650</v>
      </c>
      <c r="D1110" t="s">
        <v>2452</v>
      </c>
      <c r="E1110" t="s">
        <v>10</v>
      </c>
      <c r="F1110" t="s">
        <v>11</v>
      </c>
    </row>
    <row r="1111" spans="1:6" x14ac:dyDescent="0.25">
      <c r="A1111" t="s">
        <v>2453</v>
      </c>
      <c r="B1111" t="s">
        <v>125</v>
      </c>
      <c r="C1111" t="s">
        <v>1017</v>
      </c>
      <c r="D1111" t="s">
        <v>2454</v>
      </c>
      <c r="E1111" t="s">
        <v>787</v>
      </c>
      <c r="F1111" t="s">
        <v>50</v>
      </c>
    </row>
    <row r="1112" spans="1:6" x14ac:dyDescent="0.25">
      <c r="A1112" t="s">
        <v>2455</v>
      </c>
      <c r="B1112" t="s">
        <v>125</v>
      </c>
      <c r="C1112" t="s">
        <v>2435</v>
      </c>
      <c r="D1112" t="s">
        <v>2456</v>
      </c>
      <c r="E1112" t="s">
        <v>10</v>
      </c>
      <c r="F1112" t="s">
        <v>11</v>
      </c>
    </row>
    <row r="1113" spans="1:6" x14ac:dyDescent="0.25">
      <c r="A1113" t="s">
        <v>2457</v>
      </c>
      <c r="B1113" t="s">
        <v>125</v>
      </c>
      <c r="C1113" t="s">
        <v>1603</v>
      </c>
      <c r="D1113" t="s">
        <v>2317</v>
      </c>
      <c r="E1113" t="s">
        <v>44</v>
      </c>
      <c r="F1113" t="s">
        <v>21</v>
      </c>
    </row>
    <row r="1114" spans="1:6" x14ac:dyDescent="0.25">
      <c r="A1114" t="s">
        <v>2458</v>
      </c>
      <c r="B1114" t="s">
        <v>125</v>
      </c>
      <c r="C1114" t="s">
        <v>2459</v>
      </c>
      <c r="D1114" t="s">
        <v>137</v>
      </c>
      <c r="E1114" t="s">
        <v>10</v>
      </c>
      <c r="F1114" t="s">
        <v>11</v>
      </c>
    </row>
    <row r="1115" spans="1:6" x14ac:dyDescent="0.25">
      <c r="A1115" t="s">
        <v>2460</v>
      </c>
      <c r="B1115" t="s">
        <v>125</v>
      </c>
      <c r="C1115" t="s">
        <v>2220</v>
      </c>
      <c r="D1115" t="s">
        <v>496</v>
      </c>
      <c r="E1115" t="s">
        <v>10</v>
      </c>
      <c r="F1115" t="s">
        <v>11</v>
      </c>
    </row>
    <row r="1116" spans="1:6" x14ac:dyDescent="0.25">
      <c r="A1116" t="s">
        <v>2461</v>
      </c>
      <c r="B1116" t="s">
        <v>125</v>
      </c>
      <c r="C1116" t="s">
        <v>2190</v>
      </c>
      <c r="D1116" t="s">
        <v>254</v>
      </c>
      <c r="E1116" t="s">
        <v>10</v>
      </c>
      <c r="F1116" t="s">
        <v>11</v>
      </c>
    </row>
    <row r="1117" spans="1:6" x14ac:dyDescent="0.25">
      <c r="A1117" t="s">
        <v>2462</v>
      </c>
      <c r="B1117" t="s">
        <v>125</v>
      </c>
      <c r="C1117" t="s">
        <v>1504</v>
      </c>
      <c r="D1117" t="s">
        <v>322</v>
      </c>
      <c r="E1117" t="s">
        <v>170</v>
      </c>
      <c r="F1117" t="s">
        <v>50</v>
      </c>
    </row>
    <row r="1118" spans="1:6" x14ac:dyDescent="0.25">
      <c r="A1118" t="s">
        <v>2463</v>
      </c>
      <c r="B1118" t="s">
        <v>125</v>
      </c>
      <c r="C1118" t="s">
        <v>2401</v>
      </c>
      <c r="D1118" t="s">
        <v>1074</v>
      </c>
      <c r="E1118" t="s">
        <v>365</v>
      </c>
      <c r="F1118" t="s">
        <v>11</v>
      </c>
    </row>
    <row r="1119" spans="1:6" x14ac:dyDescent="0.25">
      <c r="A1119" t="s">
        <v>2464</v>
      </c>
      <c r="B1119" t="s">
        <v>125</v>
      </c>
      <c r="C1119" t="s">
        <v>505</v>
      </c>
      <c r="D1119" t="s">
        <v>2465</v>
      </c>
      <c r="E1119" t="s">
        <v>44</v>
      </c>
      <c r="F1119" t="s">
        <v>21</v>
      </c>
    </row>
    <row r="1120" spans="1:6" x14ac:dyDescent="0.25">
      <c r="A1120" t="s">
        <v>2466</v>
      </c>
      <c r="B1120" t="s">
        <v>125</v>
      </c>
      <c r="C1120" t="s">
        <v>1504</v>
      </c>
      <c r="D1120" t="s">
        <v>2467</v>
      </c>
      <c r="E1120" t="s">
        <v>44</v>
      </c>
      <c r="F1120" t="s">
        <v>21</v>
      </c>
    </row>
    <row r="1121" spans="1:6" x14ac:dyDescent="0.25">
      <c r="A1121" t="s">
        <v>2468</v>
      </c>
      <c r="B1121" t="s">
        <v>125</v>
      </c>
      <c r="C1121" t="s">
        <v>849</v>
      </c>
      <c r="D1121" t="s">
        <v>2469</v>
      </c>
      <c r="E1121" t="s">
        <v>170</v>
      </c>
      <c r="F1121" t="s">
        <v>50</v>
      </c>
    </row>
    <row r="1122" spans="1:6" x14ac:dyDescent="0.25">
      <c r="A1122" t="s">
        <v>2470</v>
      </c>
      <c r="B1122" t="s">
        <v>125</v>
      </c>
      <c r="C1122" t="s">
        <v>2471</v>
      </c>
      <c r="D1122" t="s">
        <v>66</v>
      </c>
      <c r="E1122" t="s">
        <v>10</v>
      </c>
      <c r="F1122" t="s">
        <v>11</v>
      </c>
    </row>
    <row r="1123" spans="1:6" x14ac:dyDescent="0.25">
      <c r="A1123" t="s">
        <v>2472</v>
      </c>
      <c r="B1123" t="s">
        <v>125</v>
      </c>
      <c r="C1123" t="s">
        <v>2405</v>
      </c>
      <c r="D1123" t="s">
        <v>2473</v>
      </c>
      <c r="E1123" t="s">
        <v>10</v>
      </c>
      <c r="F1123" t="s">
        <v>11</v>
      </c>
    </row>
    <row r="1124" spans="1:6" x14ac:dyDescent="0.25">
      <c r="A1124" t="s">
        <v>2474</v>
      </c>
      <c r="B1124" t="s">
        <v>125</v>
      </c>
      <c r="C1124" t="s">
        <v>2475</v>
      </c>
      <c r="D1124" t="s">
        <v>79</v>
      </c>
      <c r="E1124" t="s">
        <v>10</v>
      </c>
      <c r="F1124" t="s">
        <v>11</v>
      </c>
    </row>
    <row r="1125" spans="1:6" x14ac:dyDescent="0.25">
      <c r="A1125" t="s">
        <v>2476</v>
      </c>
      <c r="B1125" t="s">
        <v>125</v>
      </c>
      <c r="C1125" t="s">
        <v>2477</v>
      </c>
      <c r="D1125" t="s">
        <v>2478</v>
      </c>
      <c r="E1125" t="s">
        <v>10</v>
      </c>
      <c r="F1125" t="s">
        <v>11</v>
      </c>
    </row>
    <row r="1126" spans="1:6" x14ac:dyDescent="0.25">
      <c r="A1126" t="s">
        <v>2479</v>
      </c>
      <c r="B1126" t="s">
        <v>125</v>
      </c>
      <c r="C1126" t="s">
        <v>1286</v>
      </c>
      <c r="D1126" t="s">
        <v>823</v>
      </c>
      <c r="E1126" t="s">
        <v>1035</v>
      </c>
      <c r="F1126" t="s">
        <v>21</v>
      </c>
    </row>
    <row r="1127" spans="1:6" x14ac:dyDescent="0.25">
      <c r="A1127" t="s">
        <v>2480</v>
      </c>
      <c r="B1127" t="s">
        <v>125</v>
      </c>
      <c r="C1127" t="s">
        <v>321</v>
      </c>
      <c r="D1127" t="s">
        <v>2481</v>
      </c>
      <c r="E1127" t="s">
        <v>20</v>
      </c>
      <c r="F1127" t="s">
        <v>21</v>
      </c>
    </row>
    <row r="1128" spans="1:6" x14ac:dyDescent="0.25">
      <c r="A1128" t="s">
        <v>2482</v>
      </c>
      <c r="B1128" t="s">
        <v>125</v>
      </c>
      <c r="C1128" t="s">
        <v>2039</v>
      </c>
      <c r="D1128" t="s">
        <v>2483</v>
      </c>
      <c r="E1128" t="s">
        <v>10</v>
      </c>
      <c r="F1128" t="s">
        <v>11</v>
      </c>
    </row>
    <row r="1129" spans="1:6" x14ac:dyDescent="0.25">
      <c r="A1129" t="s">
        <v>2484</v>
      </c>
      <c r="B1129" t="s">
        <v>125</v>
      </c>
      <c r="C1129" t="s">
        <v>645</v>
      </c>
      <c r="D1129" t="s">
        <v>2485</v>
      </c>
      <c r="E1129" t="s">
        <v>20</v>
      </c>
      <c r="F1129" t="s">
        <v>21</v>
      </c>
    </row>
    <row r="1130" spans="1:6" x14ac:dyDescent="0.25">
      <c r="A1130" t="s">
        <v>2486</v>
      </c>
      <c r="B1130" t="s">
        <v>125</v>
      </c>
      <c r="C1130" t="s">
        <v>1242</v>
      </c>
      <c r="D1130" t="s">
        <v>2487</v>
      </c>
      <c r="E1130" t="s">
        <v>10</v>
      </c>
      <c r="F1130" t="s">
        <v>11</v>
      </c>
    </row>
    <row r="1131" spans="1:6" x14ac:dyDescent="0.25">
      <c r="A1131" t="s">
        <v>2488</v>
      </c>
      <c r="B1131" t="s">
        <v>125</v>
      </c>
      <c r="C1131" t="s">
        <v>628</v>
      </c>
      <c r="D1131" t="s">
        <v>496</v>
      </c>
      <c r="E1131" t="s">
        <v>10</v>
      </c>
      <c r="F1131" t="s">
        <v>11</v>
      </c>
    </row>
    <row r="1132" spans="1:6" x14ac:dyDescent="0.25">
      <c r="A1132" t="s">
        <v>2489</v>
      </c>
      <c r="B1132" t="s">
        <v>125</v>
      </c>
      <c r="C1132" t="s">
        <v>1076</v>
      </c>
      <c r="D1132" t="s">
        <v>2490</v>
      </c>
      <c r="E1132" t="s">
        <v>1008</v>
      </c>
      <c r="F1132" t="s">
        <v>11</v>
      </c>
    </row>
    <row r="1133" spans="1:6" x14ac:dyDescent="0.25">
      <c r="A1133" t="s">
        <v>2491</v>
      </c>
      <c r="B1133" t="s">
        <v>125</v>
      </c>
      <c r="C1133" t="s">
        <v>785</v>
      </c>
      <c r="E1133" t="s">
        <v>1172</v>
      </c>
      <c r="F1133" t="s">
        <v>21</v>
      </c>
    </row>
    <row r="1134" spans="1:6" x14ac:dyDescent="0.25">
      <c r="A1134" t="s">
        <v>2492</v>
      </c>
      <c r="B1134" t="s">
        <v>125</v>
      </c>
      <c r="C1134" t="s">
        <v>1638</v>
      </c>
      <c r="D1134" t="s">
        <v>2493</v>
      </c>
      <c r="E1134" t="s">
        <v>10</v>
      </c>
      <c r="F1134" t="s">
        <v>11</v>
      </c>
    </row>
    <row r="1135" spans="1:6" x14ac:dyDescent="0.25">
      <c r="A1135" t="s">
        <v>2494</v>
      </c>
      <c r="B1135" t="s">
        <v>125</v>
      </c>
      <c r="C1135" t="s">
        <v>2495</v>
      </c>
      <c r="D1135" t="s">
        <v>2496</v>
      </c>
      <c r="E1135" t="s">
        <v>365</v>
      </c>
      <c r="F1135" t="s">
        <v>11</v>
      </c>
    </row>
    <row r="1136" spans="1:6" x14ac:dyDescent="0.25">
      <c r="A1136" t="s">
        <v>2497</v>
      </c>
      <c r="B1136" t="s">
        <v>125</v>
      </c>
      <c r="C1136" t="s">
        <v>2498</v>
      </c>
      <c r="D1136" t="s">
        <v>2499</v>
      </c>
      <c r="E1136" t="s">
        <v>44</v>
      </c>
      <c r="F1136" t="s">
        <v>21</v>
      </c>
    </row>
    <row r="1137" spans="1:6" x14ac:dyDescent="0.25">
      <c r="A1137" t="s">
        <v>2500</v>
      </c>
      <c r="B1137" t="s">
        <v>125</v>
      </c>
      <c r="C1137" t="s">
        <v>1875</v>
      </c>
      <c r="D1137" t="s">
        <v>2087</v>
      </c>
      <c r="E1137" t="s">
        <v>44</v>
      </c>
      <c r="F1137" t="s">
        <v>21</v>
      </c>
    </row>
    <row r="1138" spans="1:6" x14ac:dyDescent="0.25">
      <c r="A1138" t="s">
        <v>2501</v>
      </c>
      <c r="B1138" t="s">
        <v>125</v>
      </c>
      <c r="C1138" t="s">
        <v>2435</v>
      </c>
      <c r="D1138" t="s">
        <v>413</v>
      </c>
      <c r="E1138" t="s">
        <v>10</v>
      </c>
      <c r="F1138" t="s">
        <v>11</v>
      </c>
    </row>
    <row r="1139" spans="1:6" x14ac:dyDescent="0.25">
      <c r="A1139" t="s">
        <v>2502</v>
      </c>
      <c r="B1139" t="s">
        <v>125</v>
      </c>
      <c r="C1139" t="s">
        <v>869</v>
      </c>
      <c r="D1139" t="s">
        <v>2503</v>
      </c>
      <c r="E1139" t="s">
        <v>49</v>
      </c>
      <c r="F1139" t="s">
        <v>50</v>
      </c>
    </row>
    <row r="1140" spans="1:6" x14ac:dyDescent="0.25">
      <c r="A1140" t="s">
        <v>2504</v>
      </c>
      <c r="B1140" t="s">
        <v>125</v>
      </c>
      <c r="C1140" t="s">
        <v>1815</v>
      </c>
      <c r="D1140" t="s">
        <v>641</v>
      </c>
      <c r="E1140" t="s">
        <v>10</v>
      </c>
      <c r="F1140" t="s">
        <v>11</v>
      </c>
    </row>
    <row r="1141" spans="1:6" x14ac:dyDescent="0.25">
      <c r="A1141" t="s">
        <v>2505</v>
      </c>
      <c r="B1141" t="s">
        <v>125</v>
      </c>
      <c r="C1141" t="s">
        <v>991</v>
      </c>
      <c r="D1141" t="s">
        <v>2506</v>
      </c>
      <c r="E1141" t="s">
        <v>1008</v>
      </c>
      <c r="F1141" t="s">
        <v>11</v>
      </c>
    </row>
    <row r="1142" spans="1:6" x14ac:dyDescent="0.25">
      <c r="A1142" t="s">
        <v>2507</v>
      </c>
      <c r="B1142" t="s">
        <v>125</v>
      </c>
      <c r="C1142" t="s">
        <v>1784</v>
      </c>
      <c r="D1142" t="s">
        <v>2508</v>
      </c>
      <c r="E1142" t="s">
        <v>10</v>
      </c>
      <c r="F1142" t="s">
        <v>11</v>
      </c>
    </row>
    <row r="1143" spans="1:6" x14ac:dyDescent="0.25">
      <c r="A1143" t="s">
        <v>2509</v>
      </c>
      <c r="B1143" t="s">
        <v>125</v>
      </c>
      <c r="C1143" t="s">
        <v>125</v>
      </c>
      <c r="D1143" t="s">
        <v>221</v>
      </c>
      <c r="E1143" t="s">
        <v>10</v>
      </c>
      <c r="F1143" t="s">
        <v>11</v>
      </c>
    </row>
    <row r="1144" spans="1:6" x14ac:dyDescent="0.25">
      <c r="A1144" t="s">
        <v>2510</v>
      </c>
      <c r="B1144" t="s">
        <v>125</v>
      </c>
      <c r="C1144" t="s">
        <v>1668</v>
      </c>
      <c r="D1144" t="s">
        <v>2511</v>
      </c>
      <c r="E1144" t="s">
        <v>44</v>
      </c>
      <c r="F1144" t="s">
        <v>21</v>
      </c>
    </row>
    <row r="1145" spans="1:6" x14ac:dyDescent="0.25">
      <c r="A1145" t="s">
        <v>2512</v>
      </c>
      <c r="B1145" t="s">
        <v>125</v>
      </c>
      <c r="C1145" t="s">
        <v>2097</v>
      </c>
      <c r="D1145" t="s">
        <v>2513</v>
      </c>
      <c r="E1145" t="s">
        <v>20</v>
      </c>
      <c r="F1145" t="s">
        <v>21</v>
      </c>
    </row>
    <row r="1146" spans="1:6" x14ac:dyDescent="0.25">
      <c r="A1146" t="s">
        <v>2514</v>
      </c>
      <c r="B1146" t="s">
        <v>125</v>
      </c>
      <c r="C1146" t="s">
        <v>1055</v>
      </c>
      <c r="D1146" t="s">
        <v>1210</v>
      </c>
      <c r="E1146" t="s">
        <v>10</v>
      </c>
      <c r="F1146" t="s">
        <v>11</v>
      </c>
    </row>
    <row r="1147" spans="1:6" x14ac:dyDescent="0.25">
      <c r="A1147" t="s">
        <v>2515</v>
      </c>
      <c r="B1147" t="s">
        <v>125</v>
      </c>
      <c r="C1147" t="s">
        <v>1554</v>
      </c>
      <c r="D1147" t="s">
        <v>790</v>
      </c>
      <c r="E1147" t="s">
        <v>10</v>
      </c>
      <c r="F1147" t="s">
        <v>11</v>
      </c>
    </row>
    <row r="1148" spans="1:6" x14ac:dyDescent="0.25">
      <c r="A1148" t="s">
        <v>2516</v>
      </c>
      <c r="B1148" t="s">
        <v>125</v>
      </c>
      <c r="C1148" t="s">
        <v>1076</v>
      </c>
      <c r="D1148" t="s">
        <v>2517</v>
      </c>
      <c r="E1148" t="s">
        <v>10</v>
      </c>
      <c r="F1148" t="s">
        <v>11</v>
      </c>
    </row>
    <row r="1149" spans="1:6" x14ac:dyDescent="0.25">
      <c r="A1149" t="s">
        <v>2518</v>
      </c>
      <c r="B1149" t="s">
        <v>125</v>
      </c>
      <c r="C1149" t="s">
        <v>1655</v>
      </c>
      <c r="D1149" t="s">
        <v>1398</v>
      </c>
      <c r="E1149" t="s">
        <v>10</v>
      </c>
      <c r="F1149" t="s">
        <v>11</v>
      </c>
    </row>
    <row r="1150" spans="1:6" x14ac:dyDescent="0.25">
      <c r="A1150" t="s">
        <v>2519</v>
      </c>
      <c r="B1150" t="s">
        <v>125</v>
      </c>
      <c r="C1150" t="s">
        <v>2203</v>
      </c>
      <c r="D1150" t="s">
        <v>1210</v>
      </c>
      <c r="E1150" t="s">
        <v>10</v>
      </c>
      <c r="F1150" t="s">
        <v>11</v>
      </c>
    </row>
    <row r="1151" spans="1:6" x14ac:dyDescent="0.25">
      <c r="A1151" t="s">
        <v>2520</v>
      </c>
      <c r="B1151" t="s">
        <v>125</v>
      </c>
      <c r="C1151" t="s">
        <v>610</v>
      </c>
      <c r="D1151" t="s">
        <v>177</v>
      </c>
      <c r="E1151" t="s">
        <v>10</v>
      </c>
      <c r="F1151" t="s">
        <v>11</v>
      </c>
    </row>
    <row r="1152" spans="1:6" x14ac:dyDescent="0.25">
      <c r="A1152" t="s">
        <v>2521</v>
      </c>
      <c r="B1152" t="s">
        <v>125</v>
      </c>
      <c r="C1152" t="s">
        <v>2522</v>
      </c>
      <c r="D1152" t="s">
        <v>2523</v>
      </c>
      <c r="E1152" t="s">
        <v>44</v>
      </c>
      <c r="F1152" t="s">
        <v>21</v>
      </c>
    </row>
    <row r="1153" spans="1:6" x14ac:dyDescent="0.25">
      <c r="A1153" t="s">
        <v>2524</v>
      </c>
      <c r="B1153" t="s">
        <v>125</v>
      </c>
      <c r="C1153" t="s">
        <v>1157</v>
      </c>
      <c r="D1153" t="s">
        <v>2525</v>
      </c>
      <c r="E1153" t="s">
        <v>10</v>
      </c>
      <c r="F1153" t="s">
        <v>11</v>
      </c>
    </row>
    <row r="1154" spans="1:6" x14ac:dyDescent="0.25">
      <c r="A1154" t="s">
        <v>2526</v>
      </c>
      <c r="B1154" t="s">
        <v>125</v>
      </c>
      <c r="C1154" t="s">
        <v>1875</v>
      </c>
      <c r="D1154" t="s">
        <v>2527</v>
      </c>
      <c r="E1154" t="s">
        <v>10</v>
      </c>
      <c r="F1154" t="s">
        <v>11</v>
      </c>
    </row>
    <row r="1155" spans="1:6" x14ac:dyDescent="0.25">
      <c r="A1155" t="s">
        <v>2528</v>
      </c>
      <c r="B1155" t="s">
        <v>125</v>
      </c>
      <c r="C1155" t="s">
        <v>2459</v>
      </c>
      <c r="D1155" t="s">
        <v>2529</v>
      </c>
      <c r="E1155" t="s">
        <v>44</v>
      </c>
      <c r="F1155" t="s">
        <v>21</v>
      </c>
    </row>
    <row r="1156" spans="1:6" x14ac:dyDescent="0.25">
      <c r="A1156" t="s">
        <v>2530</v>
      </c>
      <c r="B1156" t="s">
        <v>125</v>
      </c>
      <c r="C1156" t="s">
        <v>1896</v>
      </c>
      <c r="D1156" t="s">
        <v>2531</v>
      </c>
      <c r="E1156" t="s">
        <v>10</v>
      </c>
      <c r="F1156" t="s">
        <v>11</v>
      </c>
    </row>
    <row r="1157" spans="1:6" x14ac:dyDescent="0.25">
      <c r="A1157" t="s">
        <v>2532</v>
      </c>
      <c r="B1157" t="s">
        <v>125</v>
      </c>
      <c r="C1157" t="s">
        <v>1159</v>
      </c>
      <c r="D1157" t="s">
        <v>2533</v>
      </c>
      <c r="E1157" t="s">
        <v>350</v>
      </c>
      <c r="F1157" t="s">
        <v>21</v>
      </c>
    </row>
    <row r="1158" spans="1:6" x14ac:dyDescent="0.25">
      <c r="A1158" t="s">
        <v>2534</v>
      </c>
      <c r="B1158" t="s">
        <v>125</v>
      </c>
      <c r="C1158" t="s">
        <v>2179</v>
      </c>
      <c r="D1158" t="s">
        <v>2535</v>
      </c>
      <c r="E1158" t="s">
        <v>10</v>
      </c>
      <c r="F1158" t="s">
        <v>11</v>
      </c>
    </row>
    <row r="1159" spans="1:6" x14ac:dyDescent="0.25">
      <c r="A1159" t="s">
        <v>2536</v>
      </c>
      <c r="B1159" t="s">
        <v>125</v>
      </c>
      <c r="C1159" t="s">
        <v>2537</v>
      </c>
      <c r="D1159" t="s">
        <v>722</v>
      </c>
      <c r="E1159" t="s">
        <v>44</v>
      </c>
      <c r="F1159" t="s">
        <v>21</v>
      </c>
    </row>
    <row r="1160" spans="1:6" x14ac:dyDescent="0.25">
      <c r="A1160" t="s">
        <v>2538</v>
      </c>
      <c r="B1160" t="s">
        <v>125</v>
      </c>
      <c r="C1160" t="s">
        <v>125</v>
      </c>
      <c r="D1160" t="s">
        <v>465</v>
      </c>
      <c r="E1160" t="s">
        <v>20</v>
      </c>
      <c r="F1160" t="s">
        <v>21</v>
      </c>
    </row>
    <row r="1161" spans="1:6" x14ac:dyDescent="0.25">
      <c r="A1161" t="s">
        <v>2539</v>
      </c>
      <c r="B1161" t="s">
        <v>125</v>
      </c>
      <c r="C1161" t="s">
        <v>2540</v>
      </c>
      <c r="D1161" t="s">
        <v>2541</v>
      </c>
      <c r="E1161" t="s">
        <v>44</v>
      </c>
      <c r="F1161" t="s">
        <v>21</v>
      </c>
    </row>
    <row r="1162" spans="1:6" x14ac:dyDescent="0.25">
      <c r="A1162" t="s">
        <v>2542</v>
      </c>
      <c r="B1162" t="s">
        <v>125</v>
      </c>
      <c r="C1162" t="s">
        <v>2543</v>
      </c>
      <c r="D1162" t="s">
        <v>245</v>
      </c>
      <c r="E1162" t="s">
        <v>170</v>
      </c>
      <c r="F1162" t="s">
        <v>50</v>
      </c>
    </row>
    <row r="1163" spans="1:6" x14ac:dyDescent="0.25">
      <c r="A1163" t="s">
        <v>2544</v>
      </c>
      <c r="B1163" t="s">
        <v>125</v>
      </c>
      <c r="C1163" t="s">
        <v>372</v>
      </c>
      <c r="D1163" t="s">
        <v>2545</v>
      </c>
      <c r="E1163" t="s">
        <v>2546</v>
      </c>
      <c r="F1163" t="s">
        <v>50</v>
      </c>
    </row>
    <row r="1164" spans="1:6" x14ac:dyDescent="0.25">
      <c r="A1164" t="s">
        <v>2547</v>
      </c>
      <c r="B1164" t="s">
        <v>125</v>
      </c>
      <c r="C1164" t="s">
        <v>1055</v>
      </c>
      <c r="D1164" t="s">
        <v>722</v>
      </c>
      <c r="E1164" t="s">
        <v>1035</v>
      </c>
      <c r="F1164" t="s">
        <v>21</v>
      </c>
    </row>
    <row r="1165" spans="1:6" x14ac:dyDescent="0.25">
      <c r="A1165" t="s">
        <v>2548</v>
      </c>
      <c r="B1165" t="s">
        <v>125</v>
      </c>
      <c r="C1165" s="1">
        <v>0</v>
      </c>
      <c r="D1165" t="s">
        <v>1350</v>
      </c>
      <c r="E1165" t="s">
        <v>49</v>
      </c>
      <c r="F1165" t="s">
        <v>50</v>
      </c>
    </row>
    <row r="1166" spans="1:6" x14ac:dyDescent="0.25">
      <c r="A1166" t="s">
        <v>2549</v>
      </c>
      <c r="B1166" t="s">
        <v>125</v>
      </c>
      <c r="C1166" t="s">
        <v>2550</v>
      </c>
      <c r="D1166" t="s">
        <v>2551</v>
      </c>
      <c r="E1166" t="s">
        <v>329</v>
      </c>
      <c r="F1166" t="s">
        <v>50</v>
      </c>
    </row>
    <row r="1167" spans="1:6" x14ac:dyDescent="0.25">
      <c r="A1167" t="s">
        <v>2552</v>
      </c>
      <c r="B1167" t="s">
        <v>125</v>
      </c>
      <c r="C1167" t="s">
        <v>2553</v>
      </c>
      <c r="D1167" t="s">
        <v>245</v>
      </c>
      <c r="E1167" t="s">
        <v>10</v>
      </c>
      <c r="F1167" t="s">
        <v>11</v>
      </c>
    </row>
    <row r="1168" spans="1:6" x14ac:dyDescent="0.25">
      <c r="A1168" t="s">
        <v>2554</v>
      </c>
      <c r="B1168" t="s">
        <v>125</v>
      </c>
      <c r="C1168" t="s">
        <v>1379</v>
      </c>
      <c r="D1168" t="s">
        <v>2555</v>
      </c>
      <c r="E1168" t="s">
        <v>10</v>
      </c>
      <c r="F1168" t="s">
        <v>11</v>
      </c>
    </row>
    <row r="1169" spans="1:6" x14ac:dyDescent="0.25">
      <c r="A1169" t="s">
        <v>2556</v>
      </c>
      <c r="B1169" t="s">
        <v>125</v>
      </c>
      <c r="C1169" t="s">
        <v>224</v>
      </c>
      <c r="D1169" t="s">
        <v>2557</v>
      </c>
      <c r="E1169" t="s">
        <v>187</v>
      </c>
      <c r="F1169" t="s">
        <v>50</v>
      </c>
    </row>
    <row r="1170" spans="1:6" x14ac:dyDescent="0.25">
      <c r="A1170" t="s">
        <v>2558</v>
      </c>
      <c r="B1170" t="s">
        <v>125</v>
      </c>
      <c r="C1170" t="s">
        <v>2559</v>
      </c>
      <c r="D1170" t="s">
        <v>2560</v>
      </c>
      <c r="E1170" t="s">
        <v>787</v>
      </c>
      <c r="F1170" t="s">
        <v>50</v>
      </c>
    </row>
    <row r="1171" spans="1:6" x14ac:dyDescent="0.25">
      <c r="A1171" t="s">
        <v>2561</v>
      </c>
      <c r="B1171" t="s">
        <v>125</v>
      </c>
      <c r="C1171" t="s">
        <v>2363</v>
      </c>
      <c r="D1171" t="s">
        <v>146</v>
      </c>
      <c r="E1171" t="s">
        <v>20</v>
      </c>
      <c r="F1171" t="s">
        <v>21</v>
      </c>
    </row>
    <row r="1172" spans="1:6" x14ac:dyDescent="0.25">
      <c r="A1172" t="s">
        <v>2562</v>
      </c>
      <c r="B1172" t="s">
        <v>125</v>
      </c>
      <c r="C1172" t="s">
        <v>2563</v>
      </c>
      <c r="D1172" t="s">
        <v>2564</v>
      </c>
      <c r="E1172" t="s">
        <v>10</v>
      </c>
      <c r="F1172" t="s">
        <v>11</v>
      </c>
    </row>
    <row r="1173" spans="1:6" x14ac:dyDescent="0.25">
      <c r="A1173" t="s">
        <v>2565</v>
      </c>
      <c r="B1173" t="s">
        <v>125</v>
      </c>
      <c r="C1173" t="s">
        <v>1238</v>
      </c>
      <c r="D1173" t="s">
        <v>2566</v>
      </c>
      <c r="E1173" t="s">
        <v>20</v>
      </c>
      <c r="F1173" t="s">
        <v>21</v>
      </c>
    </row>
    <row r="1174" spans="1:6" x14ac:dyDescent="0.25">
      <c r="A1174" t="s">
        <v>2567</v>
      </c>
      <c r="B1174" t="s">
        <v>125</v>
      </c>
      <c r="C1174" t="s">
        <v>1973</v>
      </c>
      <c r="D1174" t="s">
        <v>2568</v>
      </c>
      <c r="E1174" t="s">
        <v>20</v>
      </c>
      <c r="F1174" t="s">
        <v>21</v>
      </c>
    </row>
    <row r="1175" spans="1:6" x14ac:dyDescent="0.25">
      <c r="A1175" t="s">
        <v>2569</v>
      </c>
      <c r="B1175" t="s">
        <v>125</v>
      </c>
      <c r="C1175" t="s">
        <v>2570</v>
      </c>
      <c r="D1175" t="s">
        <v>2571</v>
      </c>
      <c r="E1175" t="s">
        <v>10</v>
      </c>
      <c r="F1175" t="s">
        <v>11</v>
      </c>
    </row>
    <row r="1176" spans="1:6" x14ac:dyDescent="0.25">
      <c r="A1176" t="s">
        <v>2572</v>
      </c>
      <c r="B1176" t="s">
        <v>125</v>
      </c>
      <c r="C1176" t="s">
        <v>2573</v>
      </c>
      <c r="D1176" t="s">
        <v>2574</v>
      </c>
      <c r="E1176" t="s">
        <v>384</v>
      </c>
      <c r="F1176" t="s">
        <v>21</v>
      </c>
    </row>
    <row r="1177" spans="1:6" x14ac:dyDescent="0.25">
      <c r="A1177" t="s">
        <v>2575</v>
      </c>
      <c r="B1177" t="s">
        <v>125</v>
      </c>
      <c r="C1177" t="s">
        <v>1968</v>
      </c>
      <c r="D1177" t="s">
        <v>2576</v>
      </c>
      <c r="E1177" t="s">
        <v>10</v>
      </c>
      <c r="F1177" t="s">
        <v>11</v>
      </c>
    </row>
    <row r="1178" spans="1:6" x14ac:dyDescent="0.25">
      <c r="A1178" t="s">
        <v>2577</v>
      </c>
      <c r="B1178" t="s">
        <v>125</v>
      </c>
      <c r="C1178" t="s">
        <v>1891</v>
      </c>
      <c r="D1178" t="s">
        <v>1183</v>
      </c>
      <c r="E1178" t="s">
        <v>10</v>
      </c>
      <c r="F1178" t="s">
        <v>11</v>
      </c>
    </row>
    <row r="1179" spans="1:6" x14ac:dyDescent="0.25">
      <c r="A1179" t="s">
        <v>2578</v>
      </c>
      <c r="B1179" t="s">
        <v>125</v>
      </c>
      <c r="C1179" t="s">
        <v>694</v>
      </c>
      <c r="D1179" t="s">
        <v>2579</v>
      </c>
      <c r="E1179" t="s">
        <v>10</v>
      </c>
      <c r="F1179" t="s">
        <v>11</v>
      </c>
    </row>
    <row r="1180" spans="1:6" x14ac:dyDescent="0.25">
      <c r="A1180" t="s">
        <v>2580</v>
      </c>
      <c r="B1180" t="s">
        <v>125</v>
      </c>
      <c r="C1180" t="s">
        <v>1721</v>
      </c>
      <c r="D1180" t="s">
        <v>2581</v>
      </c>
      <c r="E1180" t="s">
        <v>10</v>
      </c>
      <c r="F1180" t="s">
        <v>11</v>
      </c>
    </row>
    <row r="1181" spans="1:6" x14ac:dyDescent="0.25">
      <c r="A1181" t="s">
        <v>2582</v>
      </c>
      <c r="B1181" t="s">
        <v>125</v>
      </c>
      <c r="C1181" t="s">
        <v>936</v>
      </c>
      <c r="D1181" t="s">
        <v>2583</v>
      </c>
      <c r="E1181" t="s">
        <v>10</v>
      </c>
      <c r="F1181" t="s">
        <v>11</v>
      </c>
    </row>
    <row r="1182" spans="1:6" x14ac:dyDescent="0.25">
      <c r="A1182" t="s">
        <v>2584</v>
      </c>
      <c r="B1182" t="s">
        <v>125</v>
      </c>
      <c r="C1182" t="s">
        <v>2585</v>
      </c>
      <c r="D1182" t="s">
        <v>2586</v>
      </c>
      <c r="E1182" t="s">
        <v>10</v>
      </c>
      <c r="F1182" t="s">
        <v>11</v>
      </c>
    </row>
    <row r="1183" spans="1:6" x14ac:dyDescent="0.25">
      <c r="A1183" t="s">
        <v>2587</v>
      </c>
      <c r="B1183" t="s">
        <v>125</v>
      </c>
      <c r="C1183" t="s">
        <v>682</v>
      </c>
      <c r="D1183" t="s">
        <v>2588</v>
      </c>
      <c r="E1183" t="s">
        <v>20</v>
      </c>
      <c r="F1183" t="s">
        <v>21</v>
      </c>
    </row>
    <row r="1184" spans="1:6" x14ac:dyDescent="0.25">
      <c r="A1184" t="s">
        <v>2589</v>
      </c>
      <c r="B1184" t="s">
        <v>125</v>
      </c>
      <c r="C1184" t="s">
        <v>2590</v>
      </c>
      <c r="D1184" t="s">
        <v>2591</v>
      </c>
      <c r="E1184" t="s">
        <v>20</v>
      </c>
      <c r="F1184" t="s">
        <v>21</v>
      </c>
    </row>
    <row r="1185" spans="1:6" x14ac:dyDescent="0.25">
      <c r="A1185" t="s">
        <v>2592</v>
      </c>
      <c r="B1185" t="s">
        <v>125</v>
      </c>
      <c r="C1185" t="s">
        <v>2593</v>
      </c>
      <c r="D1185" t="s">
        <v>66</v>
      </c>
      <c r="E1185" t="s">
        <v>187</v>
      </c>
      <c r="F1185" t="s">
        <v>50</v>
      </c>
    </row>
    <row r="1186" spans="1:6" x14ac:dyDescent="0.25">
      <c r="A1186" t="s">
        <v>2594</v>
      </c>
      <c r="B1186" t="s">
        <v>125</v>
      </c>
      <c r="C1186" t="s">
        <v>2097</v>
      </c>
      <c r="D1186" t="s">
        <v>2595</v>
      </c>
      <c r="E1186" t="s">
        <v>20</v>
      </c>
      <c r="F1186" t="s">
        <v>21</v>
      </c>
    </row>
    <row r="1187" spans="1:6" x14ac:dyDescent="0.25">
      <c r="A1187" t="s">
        <v>2596</v>
      </c>
      <c r="B1187" t="s">
        <v>125</v>
      </c>
      <c r="C1187" t="s">
        <v>2220</v>
      </c>
      <c r="D1187" t="s">
        <v>2597</v>
      </c>
      <c r="E1187" t="s">
        <v>787</v>
      </c>
      <c r="F1187" t="s">
        <v>50</v>
      </c>
    </row>
    <row r="1188" spans="1:6" x14ac:dyDescent="0.25">
      <c r="A1188" t="s">
        <v>2598</v>
      </c>
      <c r="B1188" t="s">
        <v>125</v>
      </c>
      <c r="C1188" t="s">
        <v>986</v>
      </c>
      <c r="D1188" t="s">
        <v>731</v>
      </c>
      <c r="E1188" t="s">
        <v>20</v>
      </c>
      <c r="F1188" t="s">
        <v>21</v>
      </c>
    </row>
    <row r="1189" spans="1:6" x14ac:dyDescent="0.25">
      <c r="A1189" t="s">
        <v>2599</v>
      </c>
      <c r="B1189" t="s">
        <v>125</v>
      </c>
      <c r="C1189" t="s">
        <v>1896</v>
      </c>
      <c r="D1189" t="s">
        <v>731</v>
      </c>
      <c r="E1189" t="s">
        <v>20</v>
      </c>
      <c r="F1189" t="s">
        <v>21</v>
      </c>
    </row>
    <row r="1190" spans="1:6" x14ac:dyDescent="0.25">
      <c r="A1190" t="s">
        <v>2600</v>
      </c>
      <c r="B1190" t="s">
        <v>125</v>
      </c>
      <c r="C1190" t="s">
        <v>1898</v>
      </c>
      <c r="D1190" t="s">
        <v>79</v>
      </c>
      <c r="E1190" t="s">
        <v>10</v>
      </c>
      <c r="F1190" t="s">
        <v>11</v>
      </c>
    </row>
    <row r="1191" spans="1:6" x14ac:dyDescent="0.25">
      <c r="A1191" t="s">
        <v>2601</v>
      </c>
      <c r="B1191" t="s">
        <v>125</v>
      </c>
      <c r="C1191" t="s">
        <v>2602</v>
      </c>
      <c r="D1191" t="s">
        <v>2603</v>
      </c>
      <c r="E1191" t="s">
        <v>20</v>
      </c>
      <c r="F1191" t="s">
        <v>21</v>
      </c>
    </row>
    <row r="1192" spans="1:6" x14ac:dyDescent="0.25">
      <c r="A1192" t="s">
        <v>2604</v>
      </c>
      <c r="B1192" t="s">
        <v>125</v>
      </c>
      <c r="C1192" t="s">
        <v>1058</v>
      </c>
      <c r="D1192" t="s">
        <v>2605</v>
      </c>
      <c r="E1192" t="s">
        <v>10</v>
      </c>
      <c r="F1192" t="s">
        <v>11</v>
      </c>
    </row>
    <row r="1193" spans="1:6" x14ac:dyDescent="0.25">
      <c r="A1193" t="s">
        <v>2606</v>
      </c>
      <c r="B1193" t="s">
        <v>125</v>
      </c>
      <c r="C1193" t="s">
        <v>2459</v>
      </c>
      <c r="D1193" t="s">
        <v>1760</v>
      </c>
      <c r="E1193" t="s">
        <v>10</v>
      </c>
      <c r="F1193" t="s">
        <v>11</v>
      </c>
    </row>
    <row r="1194" spans="1:6" x14ac:dyDescent="0.25">
      <c r="A1194" t="s">
        <v>2607</v>
      </c>
      <c r="B1194" t="s">
        <v>125</v>
      </c>
      <c r="C1194" t="s">
        <v>2608</v>
      </c>
      <c r="D1194" t="s">
        <v>2609</v>
      </c>
      <c r="E1194" t="s">
        <v>294</v>
      </c>
      <c r="F1194" t="s">
        <v>21</v>
      </c>
    </row>
    <row r="1195" spans="1:6" x14ac:dyDescent="0.25">
      <c r="A1195" t="s">
        <v>2610</v>
      </c>
      <c r="B1195" t="s">
        <v>125</v>
      </c>
      <c r="C1195" t="s">
        <v>544</v>
      </c>
      <c r="D1195" t="s">
        <v>2611</v>
      </c>
      <c r="E1195" t="s">
        <v>20</v>
      </c>
      <c r="F1195" t="s">
        <v>21</v>
      </c>
    </row>
    <row r="1196" spans="1:6" x14ac:dyDescent="0.25">
      <c r="A1196" t="s">
        <v>2612</v>
      </c>
      <c r="B1196" t="s">
        <v>125</v>
      </c>
      <c r="C1196" s="1">
        <v>0</v>
      </c>
      <c r="D1196" t="s">
        <v>2613</v>
      </c>
      <c r="E1196" t="s">
        <v>20</v>
      </c>
      <c r="F1196" t="s">
        <v>21</v>
      </c>
    </row>
    <row r="1197" spans="1:6" x14ac:dyDescent="0.25">
      <c r="A1197" t="s">
        <v>2614</v>
      </c>
      <c r="B1197" t="s">
        <v>125</v>
      </c>
      <c r="C1197" t="s">
        <v>2346</v>
      </c>
      <c r="D1197" t="s">
        <v>2615</v>
      </c>
      <c r="E1197" t="s">
        <v>10</v>
      </c>
      <c r="F1197" t="s">
        <v>11</v>
      </c>
    </row>
    <row r="1198" spans="1:6" x14ac:dyDescent="0.25">
      <c r="A1198" t="s">
        <v>2616</v>
      </c>
      <c r="B1198" t="s">
        <v>125</v>
      </c>
      <c r="C1198" t="s">
        <v>2617</v>
      </c>
      <c r="D1198" t="s">
        <v>2344</v>
      </c>
      <c r="E1198" t="s">
        <v>1008</v>
      </c>
      <c r="F1198" t="s">
        <v>11</v>
      </c>
    </row>
    <row r="1199" spans="1:6" x14ac:dyDescent="0.25">
      <c r="A1199" t="s">
        <v>2618</v>
      </c>
      <c r="B1199" t="s">
        <v>125</v>
      </c>
      <c r="C1199" t="s">
        <v>1875</v>
      </c>
      <c r="D1199" t="s">
        <v>1183</v>
      </c>
      <c r="E1199" t="s">
        <v>1195</v>
      </c>
      <c r="F1199" t="s">
        <v>50</v>
      </c>
    </row>
    <row r="1200" spans="1:6" x14ac:dyDescent="0.25">
      <c r="A1200" t="s">
        <v>2619</v>
      </c>
      <c r="B1200" t="s">
        <v>125</v>
      </c>
      <c r="C1200" t="s">
        <v>645</v>
      </c>
      <c r="D1200" t="s">
        <v>2620</v>
      </c>
      <c r="E1200" t="s">
        <v>10</v>
      </c>
      <c r="F1200" t="s">
        <v>11</v>
      </c>
    </row>
    <row r="1201" spans="1:6" x14ac:dyDescent="0.25">
      <c r="A1201" t="s">
        <v>2621</v>
      </c>
      <c r="B1201" t="s">
        <v>125</v>
      </c>
      <c r="C1201" t="s">
        <v>1402</v>
      </c>
      <c r="D1201" t="s">
        <v>2622</v>
      </c>
      <c r="E1201" t="s">
        <v>10</v>
      </c>
      <c r="F1201" t="s">
        <v>11</v>
      </c>
    </row>
    <row r="1202" spans="1:6" x14ac:dyDescent="0.25">
      <c r="A1202" t="s">
        <v>2623</v>
      </c>
      <c r="B1202" t="s">
        <v>125</v>
      </c>
      <c r="C1202" t="s">
        <v>2328</v>
      </c>
      <c r="D1202" t="s">
        <v>2624</v>
      </c>
      <c r="E1202" t="s">
        <v>187</v>
      </c>
      <c r="F1202" t="s">
        <v>50</v>
      </c>
    </row>
    <row r="1203" spans="1:6" x14ac:dyDescent="0.25">
      <c r="A1203" t="s">
        <v>2625</v>
      </c>
      <c r="B1203" t="s">
        <v>125</v>
      </c>
      <c r="C1203" t="s">
        <v>789</v>
      </c>
      <c r="D1203" t="s">
        <v>719</v>
      </c>
      <c r="E1203" t="s">
        <v>10</v>
      </c>
      <c r="F1203" t="s">
        <v>11</v>
      </c>
    </row>
    <row r="1204" spans="1:6" x14ac:dyDescent="0.25">
      <c r="A1204" t="s">
        <v>2626</v>
      </c>
      <c r="B1204" t="s">
        <v>125</v>
      </c>
      <c r="C1204" t="s">
        <v>2627</v>
      </c>
      <c r="D1204" t="s">
        <v>245</v>
      </c>
      <c r="E1204" t="s">
        <v>10</v>
      </c>
      <c r="F1204" t="s">
        <v>11</v>
      </c>
    </row>
    <row r="1205" spans="1:6" x14ac:dyDescent="0.25">
      <c r="A1205" t="s">
        <v>2628</v>
      </c>
      <c r="B1205" t="s">
        <v>125</v>
      </c>
      <c r="C1205" t="s">
        <v>2471</v>
      </c>
      <c r="D1205" t="s">
        <v>517</v>
      </c>
      <c r="E1205" t="s">
        <v>10</v>
      </c>
      <c r="F1205" t="s">
        <v>11</v>
      </c>
    </row>
    <row r="1206" spans="1:6" x14ac:dyDescent="0.25">
      <c r="A1206" t="s">
        <v>2629</v>
      </c>
      <c r="B1206" t="s">
        <v>125</v>
      </c>
      <c r="C1206" t="s">
        <v>2630</v>
      </c>
      <c r="D1206" t="s">
        <v>2631</v>
      </c>
      <c r="E1206" t="s">
        <v>10</v>
      </c>
      <c r="F1206" t="s">
        <v>11</v>
      </c>
    </row>
    <row r="1207" spans="1:6" x14ac:dyDescent="0.25">
      <c r="A1207" t="s">
        <v>2632</v>
      </c>
      <c r="B1207" t="s">
        <v>125</v>
      </c>
      <c r="C1207" t="s">
        <v>2633</v>
      </c>
      <c r="D1207" t="s">
        <v>2634</v>
      </c>
      <c r="E1207" t="s">
        <v>62</v>
      </c>
      <c r="F1207" t="s">
        <v>63</v>
      </c>
    </row>
    <row r="1208" spans="1:6" x14ac:dyDescent="0.25">
      <c r="A1208" t="s">
        <v>2635</v>
      </c>
      <c r="B1208" t="s">
        <v>125</v>
      </c>
      <c r="C1208" t="s">
        <v>1221</v>
      </c>
      <c r="D1208" t="s">
        <v>454</v>
      </c>
      <c r="E1208" t="s">
        <v>10</v>
      </c>
      <c r="F1208" t="s">
        <v>11</v>
      </c>
    </row>
    <row r="1209" spans="1:6" x14ac:dyDescent="0.25">
      <c r="A1209" t="s">
        <v>2636</v>
      </c>
      <c r="B1209" t="s">
        <v>125</v>
      </c>
      <c r="C1209" t="s">
        <v>2637</v>
      </c>
      <c r="D1209" t="s">
        <v>2638</v>
      </c>
    </row>
    <row r="1210" spans="1:6" x14ac:dyDescent="0.25">
      <c r="A1210" t="s">
        <v>2639</v>
      </c>
      <c r="B1210" t="s">
        <v>125</v>
      </c>
      <c r="C1210" t="s">
        <v>1975</v>
      </c>
      <c r="D1210" t="s">
        <v>177</v>
      </c>
      <c r="E1210" t="s">
        <v>170</v>
      </c>
      <c r="F1210" t="s">
        <v>50</v>
      </c>
    </row>
    <row r="1211" spans="1:6" x14ac:dyDescent="0.25">
      <c r="A1211" t="s">
        <v>2640</v>
      </c>
      <c r="B1211" t="s">
        <v>125</v>
      </c>
      <c r="C1211" t="s">
        <v>81</v>
      </c>
      <c r="D1211" t="s">
        <v>2641</v>
      </c>
      <c r="E1211" t="s">
        <v>20</v>
      </c>
      <c r="F1211" t="s">
        <v>21</v>
      </c>
    </row>
    <row r="1212" spans="1:6" x14ac:dyDescent="0.25">
      <c r="A1212" t="s">
        <v>2642</v>
      </c>
      <c r="B1212" t="s">
        <v>125</v>
      </c>
      <c r="C1212" t="s">
        <v>2643</v>
      </c>
      <c r="D1212" t="s">
        <v>476</v>
      </c>
      <c r="E1212" t="s">
        <v>10</v>
      </c>
      <c r="F1212" t="s">
        <v>11</v>
      </c>
    </row>
    <row r="1213" spans="1:6" x14ac:dyDescent="0.25">
      <c r="A1213" t="s">
        <v>2644</v>
      </c>
      <c r="B1213" t="s">
        <v>125</v>
      </c>
      <c r="C1213" t="s">
        <v>2645</v>
      </c>
      <c r="D1213" t="s">
        <v>66</v>
      </c>
      <c r="E1213" t="s">
        <v>44</v>
      </c>
      <c r="F1213" t="s">
        <v>21</v>
      </c>
    </row>
    <row r="1214" spans="1:6" x14ac:dyDescent="0.25">
      <c r="A1214" t="s">
        <v>2646</v>
      </c>
      <c r="B1214" t="s">
        <v>125</v>
      </c>
      <c r="C1214" t="s">
        <v>2647</v>
      </c>
      <c r="D1214" t="s">
        <v>1256</v>
      </c>
      <c r="E1214" t="s">
        <v>10</v>
      </c>
      <c r="F1214" t="s">
        <v>11</v>
      </c>
    </row>
    <row r="1215" spans="1:6" x14ac:dyDescent="0.25">
      <c r="A1215" t="s">
        <v>2648</v>
      </c>
      <c r="B1215" t="s">
        <v>125</v>
      </c>
      <c r="C1215" t="s">
        <v>2649</v>
      </c>
      <c r="D1215" t="s">
        <v>2650</v>
      </c>
      <c r="E1215" t="s">
        <v>10</v>
      </c>
      <c r="F1215" t="s">
        <v>11</v>
      </c>
    </row>
    <row r="1216" spans="1:6" x14ac:dyDescent="0.25">
      <c r="A1216" t="s">
        <v>2651</v>
      </c>
      <c r="B1216" t="s">
        <v>125</v>
      </c>
      <c r="C1216" t="s">
        <v>1291</v>
      </c>
      <c r="D1216" t="s">
        <v>2652</v>
      </c>
      <c r="E1216" t="s">
        <v>10</v>
      </c>
      <c r="F1216" t="s">
        <v>11</v>
      </c>
    </row>
    <row r="1217" spans="1:6" x14ac:dyDescent="0.25">
      <c r="A1217" t="s">
        <v>2653</v>
      </c>
      <c r="B1217" t="s">
        <v>125</v>
      </c>
      <c r="C1217" t="s">
        <v>2654</v>
      </c>
      <c r="D1217" t="s">
        <v>2655</v>
      </c>
      <c r="E1217" t="s">
        <v>1035</v>
      </c>
      <c r="F1217" t="s">
        <v>21</v>
      </c>
    </row>
    <row r="1218" spans="1:6" x14ac:dyDescent="0.25">
      <c r="A1218" t="s">
        <v>2656</v>
      </c>
      <c r="B1218" t="s">
        <v>125</v>
      </c>
      <c r="C1218" t="s">
        <v>645</v>
      </c>
      <c r="D1218" t="s">
        <v>2657</v>
      </c>
      <c r="E1218" t="s">
        <v>10</v>
      </c>
      <c r="F1218" t="s">
        <v>11</v>
      </c>
    </row>
    <row r="1219" spans="1:6" x14ac:dyDescent="0.25">
      <c r="A1219" t="s">
        <v>2658</v>
      </c>
      <c r="B1219" t="s">
        <v>125</v>
      </c>
      <c r="C1219" t="s">
        <v>2659</v>
      </c>
      <c r="D1219" t="s">
        <v>2660</v>
      </c>
      <c r="E1219" t="s">
        <v>365</v>
      </c>
      <c r="F1219" t="s">
        <v>11</v>
      </c>
    </row>
    <row r="1220" spans="1:6" x14ac:dyDescent="0.25">
      <c r="A1220" t="s">
        <v>2661</v>
      </c>
      <c r="B1220" t="s">
        <v>125</v>
      </c>
      <c r="C1220" t="s">
        <v>2662</v>
      </c>
      <c r="D1220" t="s">
        <v>2663</v>
      </c>
      <c r="E1220" t="s">
        <v>10</v>
      </c>
      <c r="F1220" t="s">
        <v>11</v>
      </c>
    </row>
    <row r="1221" spans="1:6" x14ac:dyDescent="0.25">
      <c r="A1221" t="s">
        <v>2664</v>
      </c>
      <c r="B1221" t="s">
        <v>125</v>
      </c>
      <c r="C1221" t="s">
        <v>1484</v>
      </c>
      <c r="D1221" t="s">
        <v>2665</v>
      </c>
      <c r="E1221" t="s">
        <v>49</v>
      </c>
      <c r="F1221" t="s">
        <v>50</v>
      </c>
    </row>
    <row r="1222" spans="1:6" x14ac:dyDescent="0.25">
      <c r="A1222" t="s">
        <v>2666</v>
      </c>
      <c r="B1222" t="s">
        <v>125</v>
      </c>
      <c r="C1222" t="s">
        <v>1323</v>
      </c>
      <c r="D1222" t="s">
        <v>177</v>
      </c>
      <c r="E1222" t="s">
        <v>44</v>
      </c>
      <c r="F1222" t="s">
        <v>21</v>
      </c>
    </row>
    <row r="1223" spans="1:6" x14ac:dyDescent="0.25">
      <c r="A1223" t="s">
        <v>2667</v>
      </c>
      <c r="B1223" t="s">
        <v>125</v>
      </c>
      <c r="C1223" t="s">
        <v>1271</v>
      </c>
      <c r="D1223" t="s">
        <v>2668</v>
      </c>
      <c r="E1223" t="s">
        <v>10</v>
      </c>
      <c r="F1223" t="s">
        <v>11</v>
      </c>
    </row>
    <row r="1224" spans="1:6" x14ac:dyDescent="0.25">
      <c r="A1224" t="s">
        <v>2669</v>
      </c>
      <c r="B1224" t="s">
        <v>125</v>
      </c>
      <c r="C1224" t="s">
        <v>106</v>
      </c>
      <c r="D1224" t="s">
        <v>2670</v>
      </c>
      <c r="E1224" t="s">
        <v>10</v>
      </c>
      <c r="F1224" t="s">
        <v>11</v>
      </c>
    </row>
    <row r="1225" spans="1:6" x14ac:dyDescent="0.25">
      <c r="A1225" t="s">
        <v>2671</v>
      </c>
      <c r="B1225" t="s">
        <v>125</v>
      </c>
      <c r="C1225" t="s">
        <v>575</v>
      </c>
      <c r="D1225" t="s">
        <v>2672</v>
      </c>
      <c r="E1225" t="s">
        <v>10</v>
      </c>
      <c r="F1225" t="s">
        <v>11</v>
      </c>
    </row>
    <row r="1226" spans="1:6" x14ac:dyDescent="0.25">
      <c r="A1226" t="s">
        <v>2673</v>
      </c>
      <c r="B1226" t="s">
        <v>125</v>
      </c>
      <c r="C1226" t="s">
        <v>495</v>
      </c>
      <c r="D1226" t="s">
        <v>407</v>
      </c>
      <c r="E1226" t="s">
        <v>10</v>
      </c>
      <c r="F1226" t="s">
        <v>11</v>
      </c>
    </row>
    <row r="1227" spans="1:6" x14ac:dyDescent="0.25">
      <c r="A1227" t="s">
        <v>2674</v>
      </c>
      <c r="B1227" t="s">
        <v>125</v>
      </c>
      <c r="C1227" t="s">
        <v>2675</v>
      </c>
      <c r="D1227" t="s">
        <v>2676</v>
      </c>
      <c r="E1227" t="s">
        <v>44</v>
      </c>
      <c r="F1227" t="s">
        <v>21</v>
      </c>
    </row>
    <row r="1228" spans="1:6" x14ac:dyDescent="0.25">
      <c r="A1228" t="s">
        <v>2677</v>
      </c>
      <c r="B1228" t="s">
        <v>125</v>
      </c>
      <c r="C1228" t="s">
        <v>2246</v>
      </c>
      <c r="D1228" t="s">
        <v>576</v>
      </c>
      <c r="E1228" t="s">
        <v>20</v>
      </c>
      <c r="F1228" t="s">
        <v>21</v>
      </c>
    </row>
    <row r="1229" spans="1:6" x14ac:dyDescent="0.25">
      <c r="A1229" t="s">
        <v>2678</v>
      </c>
      <c r="B1229" t="s">
        <v>125</v>
      </c>
      <c r="C1229" t="s">
        <v>866</v>
      </c>
      <c r="D1229" t="s">
        <v>2679</v>
      </c>
      <c r="E1229" t="s">
        <v>10</v>
      </c>
      <c r="F1229" t="s">
        <v>11</v>
      </c>
    </row>
    <row r="1230" spans="1:6" x14ac:dyDescent="0.25">
      <c r="A1230" t="s">
        <v>2680</v>
      </c>
      <c r="B1230" t="s">
        <v>125</v>
      </c>
      <c r="C1230" t="s">
        <v>2349</v>
      </c>
      <c r="D1230" t="s">
        <v>2681</v>
      </c>
      <c r="E1230" t="s">
        <v>44</v>
      </c>
      <c r="F1230" t="s">
        <v>21</v>
      </c>
    </row>
    <row r="1231" spans="1:6" x14ac:dyDescent="0.25">
      <c r="A1231" t="s">
        <v>2682</v>
      </c>
      <c r="B1231" t="s">
        <v>125</v>
      </c>
      <c r="C1231" t="s">
        <v>2683</v>
      </c>
      <c r="D1231" t="s">
        <v>1398</v>
      </c>
      <c r="E1231" t="s">
        <v>10</v>
      </c>
      <c r="F1231" t="s">
        <v>11</v>
      </c>
    </row>
    <row r="1232" spans="1:6" x14ac:dyDescent="0.25">
      <c r="A1232" t="s">
        <v>2684</v>
      </c>
      <c r="B1232" t="s">
        <v>125</v>
      </c>
      <c r="C1232" t="s">
        <v>1205</v>
      </c>
      <c r="D1232" t="s">
        <v>2685</v>
      </c>
      <c r="E1232" t="s">
        <v>49</v>
      </c>
      <c r="F1232" t="s">
        <v>50</v>
      </c>
    </row>
    <row r="1233" spans="1:6" x14ac:dyDescent="0.25">
      <c r="A1233" t="s">
        <v>2686</v>
      </c>
      <c r="B1233" t="s">
        <v>125</v>
      </c>
      <c r="C1233" t="s">
        <v>2687</v>
      </c>
      <c r="D1233" t="s">
        <v>1175</v>
      </c>
      <c r="E1233" t="s">
        <v>10</v>
      </c>
      <c r="F1233" t="s">
        <v>11</v>
      </c>
    </row>
    <row r="1234" spans="1:6" x14ac:dyDescent="0.25">
      <c r="A1234" t="s">
        <v>2688</v>
      </c>
      <c r="B1234" t="s">
        <v>125</v>
      </c>
      <c r="C1234" t="s">
        <v>1271</v>
      </c>
      <c r="D1234" t="s">
        <v>1282</v>
      </c>
      <c r="E1234" t="s">
        <v>10</v>
      </c>
      <c r="F1234" t="s">
        <v>11</v>
      </c>
    </row>
    <row r="1235" spans="1:6" x14ac:dyDescent="0.25">
      <c r="A1235" t="s">
        <v>2689</v>
      </c>
      <c r="B1235" t="s">
        <v>125</v>
      </c>
      <c r="C1235" t="s">
        <v>1308</v>
      </c>
      <c r="D1235" t="s">
        <v>2690</v>
      </c>
      <c r="E1235" t="s">
        <v>170</v>
      </c>
      <c r="F1235" t="s">
        <v>50</v>
      </c>
    </row>
    <row r="1236" spans="1:6" x14ac:dyDescent="0.25">
      <c r="A1236" t="s">
        <v>2691</v>
      </c>
      <c r="B1236" t="s">
        <v>125</v>
      </c>
      <c r="C1236" t="s">
        <v>2675</v>
      </c>
      <c r="D1236" t="s">
        <v>2692</v>
      </c>
      <c r="E1236" t="s">
        <v>49</v>
      </c>
      <c r="F1236" t="s">
        <v>50</v>
      </c>
    </row>
    <row r="1237" spans="1:6" x14ac:dyDescent="0.25">
      <c r="A1237" t="s">
        <v>2693</v>
      </c>
      <c r="B1237" t="s">
        <v>125</v>
      </c>
      <c r="C1237" t="s">
        <v>2694</v>
      </c>
      <c r="D1237" t="s">
        <v>2695</v>
      </c>
      <c r="E1237" t="s">
        <v>20</v>
      </c>
      <c r="F1237" t="s">
        <v>21</v>
      </c>
    </row>
    <row r="1238" spans="1:6" x14ac:dyDescent="0.25">
      <c r="A1238" t="s">
        <v>2696</v>
      </c>
      <c r="B1238" t="s">
        <v>125</v>
      </c>
      <c r="C1238" t="s">
        <v>2220</v>
      </c>
      <c r="D1238" t="s">
        <v>2697</v>
      </c>
      <c r="E1238" t="s">
        <v>170</v>
      </c>
      <c r="F1238" t="s">
        <v>50</v>
      </c>
    </row>
    <row r="1239" spans="1:6" x14ac:dyDescent="0.25">
      <c r="A1239" t="s">
        <v>2698</v>
      </c>
      <c r="B1239" t="s">
        <v>125</v>
      </c>
      <c r="C1239" t="s">
        <v>2699</v>
      </c>
      <c r="D1239" t="s">
        <v>2700</v>
      </c>
      <c r="E1239" t="s">
        <v>652</v>
      </c>
      <c r="F1239" t="s">
        <v>50</v>
      </c>
    </row>
    <row r="1240" spans="1:6" x14ac:dyDescent="0.25">
      <c r="A1240" t="s">
        <v>2701</v>
      </c>
      <c r="B1240" t="s">
        <v>125</v>
      </c>
      <c r="C1240" t="s">
        <v>2702</v>
      </c>
      <c r="D1240" t="s">
        <v>2703</v>
      </c>
      <c r="E1240" t="s">
        <v>20</v>
      </c>
      <c r="F1240" t="s">
        <v>21</v>
      </c>
    </row>
    <row r="1241" spans="1:6" x14ac:dyDescent="0.25">
      <c r="A1241" t="s">
        <v>2704</v>
      </c>
      <c r="B1241" t="s">
        <v>125</v>
      </c>
      <c r="C1241" t="s">
        <v>2705</v>
      </c>
      <c r="D1241" t="s">
        <v>496</v>
      </c>
      <c r="E1241" t="s">
        <v>350</v>
      </c>
      <c r="F1241" t="s">
        <v>21</v>
      </c>
    </row>
    <row r="1242" spans="1:6" x14ac:dyDescent="0.25">
      <c r="A1242" t="s">
        <v>2706</v>
      </c>
      <c r="B1242" t="s">
        <v>125</v>
      </c>
      <c r="C1242" t="s">
        <v>2707</v>
      </c>
      <c r="D1242" t="s">
        <v>2708</v>
      </c>
      <c r="E1242" t="s">
        <v>787</v>
      </c>
      <c r="F1242" t="s">
        <v>50</v>
      </c>
    </row>
    <row r="1243" spans="1:6" x14ac:dyDescent="0.25">
      <c r="A1243" t="s">
        <v>2709</v>
      </c>
      <c r="B1243" t="s">
        <v>125</v>
      </c>
      <c r="C1243" t="s">
        <v>2710</v>
      </c>
      <c r="D1243" t="s">
        <v>2711</v>
      </c>
      <c r="E1243" t="s">
        <v>10</v>
      </c>
      <c r="F1243" t="s">
        <v>11</v>
      </c>
    </row>
    <row r="1244" spans="1:6" x14ac:dyDescent="0.25">
      <c r="A1244" t="s">
        <v>2712</v>
      </c>
      <c r="B1244" t="s">
        <v>125</v>
      </c>
      <c r="C1244" t="s">
        <v>2713</v>
      </c>
      <c r="D1244" t="s">
        <v>2714</v>
      </c>
      <c r="E1244" t="s">
        <v>44</v>
      </c>
      <c r="F1244" t="s">
        <v>21</v>
      </c>
    </row>
    <row r="1245" spans="1:6" x14ac:dyDescent="0.25">
      <c r="A1245" t="s">
        <v>2715</v>
      </c>
      <c r="B1245" t="s">
        <v>125</v>
      </c>
      <c r="C1245" s="1">
        <v>0</v>
      </c>
      <c r="D1245" t="s">
        <v>2716</v>
      </c>
      <c r="E1245" t="s">
        <v>187</v>
      </c>
      <c r="F1245" t="s">
        <v>50</v>
      </c>
    </row>
    <row r="1246" spans="1:6" x14ac:dyDescent="0.25">
      <c r="A1246" t="s">
        <v>2717</v>
      </c>
      <c r="B1246" t="s">
        <v>125</v>
      </c>
      <c r="C1246" t="s">
        <v>2718</v>
      </c>
      <c r="D1246" t="s">
        <v>2719</v>
      </c>
      <c r="E1246" t="s">
        <v>10</v>
      </c>
      <c r="F1246" t="s">
        <v>11</v>
      </c>
    </row>
    <row r="1247" spans="1:6" x14ac:dyDescent="0.25">
      <c r="A1247" t="s">
        <v>2720</v>
      </c>
      <c r="B1247" t="s">
        <v>125</v>
      </c>
      <c r="C1247" t="s">
        <v>645</v>
      </c>
      <c r="D1247" t="s">
        <v>2721</v>
      </c>
      <c r="E1247" t="s">
        <v>49</v>
      </c>
      <c r="F1247" t="s">
        <v>50</v>
      </c>
    </row>
    <row r="1248" spans="1:6" x14ac:dyDescent="0.25">
      <c r="A1248" t="s">
        <v>2722</v>
      </c>
      <c r="B1248" t="s">
        <v>125</v>
      </c>
      <c r="C1248" t="s">
        <v>2475</v>
      </c>
      <c r="D1248" t="s">
        <v>2723</v>
      </c>
      <c r="E1248" t="s">
        <v>20</v>
      </c>
      <c r="F1248" t="s">
        <v>21</v>
      </c>
    </row>
    <row r="1249" spans="1:6" x14ac:dyDescent="0.25">
      <c r="A1249" t="s">
        <v>2724</v>
      </c>
      <c r="B1249" t="s">
        <v>125</v>
      </c>
      <c r="C1249" t="s">
        <v>1926</v>
      </c>
      <c r="D1249" t="s">
        <v>2725</v>
      </c>
      <c r="E1249" t="s">
        <v>44</v>
      </c>
      <c r="F1249" t="s">
        <v>21</v>
      </c>
    </row>
    <row r="1250" spans="1:6" x14ac:dyDescent="0.25">
      <c r="A1250" t="s">
        <v>2726</v>
      </c>
      <c r="B1250" t="s">
        <v>125</v>
      </c>
      <c r="C1250" t="s">
        <v>894</v>
      </c>
      <c r="D1250" t="s">
        <v>2727</v>
      </c>
      <c r="E1250" t="s">
        <v>20</v>
      </c>
      <c r="F1250" t="s">
        <v>21</v>
      </c>
    </row>
    <row r="1251" spans="1:6" x14ac:dyDescent="0.25">
      <c r="A1251" t="s">
        <v>2728</v>
      </c>
      <c r="B1251" t="s">
        <v>125</v>
      </c>
      <c r="C1251" t="s">
        <v>785</v>
      </c>
      <c r="D1251" t="s">
        <v>752</v>
      </c>
      <c r="E1251" t="s">
        <v>20</v>
      </c>
      <c r="F1251" t="s">
        <v>21</v>
      </c>
    </row>
    <row r="1252" spans="1:6" x14ac:dyDescent="0.25">
      <c r="A1252" t="s">
        <v>2729</v>
      </c>
      <c r="B1252" t="s">
        <v>125</v>
      </c>
      <c r="C1252" t="s">
        <v>1061</v>
      </c>
      <c r="D1252" t="s">
        <v>1155</v>
      </c>
      <c r="E1252" t="s">
        <v>10</v>
      </c>
      <c r="F1252" t="s">
        <v>11</v>
      </c>
    </row>
    <row r="1253" spans="1:6" x14ac:dyDescent="0.25">
      <c r="A1253" t="s">
        <v>2730</v>
      </c>
      <c r="B1253" t="s">
        <v>125</v>
      </c>
      <c r="C1253" t="s">
        <v>1276</v>
      </c>
      <c r="D1253" t="s">
        <v>2731</v>
      </c>
      <c r="E1253" t="s">
        <v>10</v>
      </c>
      <c r="F1253" t="s">
        <v>11</v>
      </c>
    </row>
    <row r="1254" spans="1:6" x14ac:dyDescent="0.25">
      <c r="A1254" t="s">
        <v>2732</v>
      </c>
      <c r="B1254" t="s">
        <v>125</v>
      </c>
      <c r="C1254" t="s">
        <v>1458</v>
      </c>
      <c r="D1254" t="s">
        <v>2733</v>
      </c>
      <c r="E1254" t="s">
        <v>10</v>
      </c>
      <c r="F1254" t="s">
        <v>11</v>
      </c>
    </row>
    <row r="1255" spans="1:6" x14ac:dyDescent="0.25">
      <c r="A1255" t="s">
        <v>777</v>
      </c>
      <c r="B1255" t="s">
        <v>125</v>
      </c>
      <c r="C1255" t="s">
        <v>585</v>
      </c>
      <c r="D1255" t="s">
        <v>2734</v>
      </c>
      <c r="E1255" t="s">
        <v>10</v>
      </c>
      <c r="F1255" t="s">
        <v>11</v>
      </c>
    </row>
    <row r="1256" spans="1:6" x14ac:dyDescent="0.25">
      <c r="A1256" t="s">
        <v>2735</v>
      </c>
      <c r="B1256" t="s">
        <v>125</v>
      </c>
      <c r="C1256" t="s">
        <v>2736</v>
      </c>
      <c r="D1256" t="s">
        <v>2737</v>
      </c>
      <c r="E1256" t="s">
        <v>20</v>
      </c>
      <c r="F1256" t="s">
        <v>21</v>
      </c>
    </row>
    <row r="1257" spans="1:6" x14ac:dyDescent="0.25">
      <c r="A1257" t="s">
        <v>2738</v>
      </c>
      <c r="B1257" t="s">
        <v>125</v>
      </c>
      <c r="C1257" t="s">
        <v>1414</v>
      </c>
      <c r="D1257" t="s">
        <v>832</v>
      </c>
      <c r="E1257" t="s">
        <v>20</v>
      </c>
      <c r="F1257" t="s">
        <v>21</v>
      </c>
    </row>
    <row r="1258" spans="1:6" x14ac:dyDescent="0.25">
      <c r="A1258" t="s">
        <v>2739</v>
      </c>
      <c r="B1258" t="s">
        <v>125</v>
      </c>
      <c r="C1258" t="s">
        <v>2740</v>
      </c>
      <c r="D1258" t="s">
        <v>2741</v>
      </c>
      <c r="E1258" t="s">
        <v>49</v>
      </c>
      <c r="F1258" t="s">
        <v>50</v>
      </c>
    </row>
    <row r="1259" spans="1:6" x14ac:dyDescent="0.25">
      <c r="A1259" t="s">
        <v>2742</v>
      </c>
      <c r="B1259" t="s">
        <v>125</v>
      </c>
      <c r="C1259" t="s">
        <v>901</v>
      </c>
      <c r="D1259" t="s">
        <v>389</v>
      </c>
      <c r="E1259" t="s">
        <v>10</v>
      </c>
      <c r="F1259" t="s">
        <v>11</v>
      </c>
    </row>
    <row r="1260" spans="1:6" x14ac:dyDescent="0.25">
      <c r="A1260" t="s">
        <v>2743</v>
      </c>
      <c r="B1260" t="s">
        <v>125</v>
      </c>
      <c r="C1260" t="s">
        <v>1346</v>
      </c>
      <c r="D1260" t="s">
        <v>2744</v>
      </c>
      <c r="E1260" t="s">
        <v>20</v>
      </c>
      <c r="F1260" t="s">
        <v>21</v>
      </c>
    </row>
    <row r="1261" spans="1:6" x14ac:dyDescent="0.25">
      <c r="A1261" t="s">
        <v>2745</v>
      </c>
      <c r="B1261" t="s">
        <v>125</v>
      </c>
      <c r="C1261" t="s">
        <v>1805</v>
      </c>
      <c r="D1261" t="s">
        <v>2746</v>
      </c>
      <c r="E1261" t="s">
        <v>20</v>
      </c>
      <c r="F1261" t="s">
        <v>21</v>
      </c>
    </row>
    <row r="1262" spans="1:6" x14ac:dyDescent="0.25">
      <c r="A1262" t="s">
        <v>2747</v>
      </c>
      <c r="B1262" t="s">
        <v>125</v>
      </c>
      <c r="C1262" t="s">
        <v>2300</v>
      </c>
      <c r="D1262" t="s">
        <v>2746</v>
      </c>
      <c r="E1262" t="s">
        <v>20</v>
      </c>
      <c r="F1262" t="s">
        <v>21</v>
      </c>
    </row>
    <row r="1263" spans="1:6" x14ac:dyDescent="0.25">
      <c r="A1263" t="s">
        <v>2748</v>
      </c>
      <c r="B1263" t="s">
        <v>125</v>
      </c>
      <c r="C1263" t="s">
        <v>125</v>
      </c>
      <c r="E1263" t="s">
        <v>10</v>
      </c>
      <c r="F1263" t="s">
        <v>11</v>
      </c>
    </row>
    <row r="1264" spans="1:6" x14ac:dyDescent="0.25">
      <c r="A1264" t="s">
        <v>2749</v>
      </c>
      <c r="B1264" t="s">
        <v>125</v>
      </c>
      <c r="C1264" t="s">
        <v>2750</v>
      </c>
      <c r="D1264" t="s">
        <v>2751</v>
      </c>
      <c r="E1264" t="s">
        <v>20</v>
      </c>
      <c r="F1264" t="s">
        <v>21</v>
      </c>
    </row>
    <row r="1265" spans="1:6" x14ac:dyDescent="0.25">
      <c r="A1265" t="s">
        <v>2752</v>
      </c>
      <c r="B1265" t="s">
        <v>125</v>
      </c>
      <c r="C1265" t="s">
        <v>978</v>
      </c>
      <c r="D1265" t="s">
        <v>2753</v>
      </c>
      <c r="E1265" t="s">
        <v>20</v>
      </c>
      <c r="F1265" t="s">
        <v>21</v>
      </c>
    </row>
    <row r="1266" spans="1:6" x14ac:dyDescent="0.25">
      <c r="A1266" t="s">
        <v>2754</v>
      </c>
      <c r="B1266" t="s">
        <v>125</v>
      </c>
      <c r="C1266" t="s">
        <v>2699</v>
      </c>
      <c r="D1266" t="s">
        <v>2755</v>
      </c>
      <c r="E1266" t="s">
        <v>20</v>
      </c>
      <c r="F1266" t="s">
        <v>21</v>
      </c>
    </row>
    <row r="1267" spans="1:6" x14ac:dyDescent="0.25">
      <c r="A1267" t="s">
        <v>2756</v>
      </c>
      <c r="B1267" t="s">
        <v>125</v>
      </c>
      <c r="C1267" t="s">
        <v>1894</v>
      </c>
      <c r="D1267" t="s">
        <v>2757</v>
      </c>
      <c r="E1267" t="s">
        <v>44</v>
      </c>
      <c r="F1267" t="s">
        <v>21</v>
      </c>
    </row>
    <row r="1268" spans="1:6" x14ac:dyDescent="0.25">
      <c r="A1268" t="s">
        <v>2758</v>
      </c>
      <c r="B1268" t="s">
        <v>125</v>
      </c>
      <c r="C1268" t="s">
        <v>1971</v>
      </c>
      <c r="D1268" t="s">
        <v>2759</v>
      </c>
      <c r="E1268" t="s">
        <v>10</v>
      </c>
      <c r="F1268" t="s">
        <v>11</v>
      </c>
    </row>
    <row r="1269" spans="1:6" x14ac:dyDescent="0.25">
      <c r="A1269" t="s">
        <v>2760</v>
      </c>
      <c r="B1269" t="s">
        <v>125</v>
      </c>
      <c r="C1269" t="s">
        <v>250</v>
      </c>
      <c r="D1269" t="s">
        <v>1507</v>
      </c>
      <c r="E1269" t="s">
        <v>10</v>
      </c>
      <c r="F1269" t="s">
        <v>11</v>
      </c>
    </row>
    <row r="1270" spans="1:6" x14ac:dyDescent="0.25">
      <c r="A1270" t="s">
        <v>2761</v>
      </c>
      <c r="B1270" t="s">
        <v>125</v>
      </c>
      <c r="C1270" t="s">
        <v>2762</v>
      </c>
      <c r="D1270" t="s">
        <v>2763</v>
      </c>
      <c r="E1270" t="s">
        <v>20</v>
      </c>
      <c r="F1270" t="s">
        <v>21</v>
      </c>
    </row>
    <row r="1271" spans="1:6" x14ac:dyDescent="0.25">
      <c r="A1271" t="s">
        <v>2764</v>
      </c>
      <c r="B1271" t="s">
        <v>125</v>
      </c>
      <c r="C1271" t="s">
        <v>2765</v>
      </c>
      <c r="D1271" t="s">
        <v>2766</v>
      </c>
      <c r="E1271" t="s">
        <v>20</v>
      </c>
      <c r="F1271" t="s">
        <v>21</v>
      </c>
    </row>
    <row r="1272" spans="1:6" x14ac:dyDescent="0.25">
      <c r="A1272" t="s">
        <v>2767</v>
      </c>
      <c r="B1272" t="s">
        <v>125</v>
      </c>
      <c r="C1272" t="s">
        <v>682</v>
      </c>
      <c r="D1272" t="s">
        <v>2768</v>
      </c>
      <c r="E1272" t="s">
        <v>20</v>
      </c>
      <c r="F1272" t="s">
        <v>21</v>
      </c>
    </row>
    <row r="1273" spans="1:6" x14ac:dyDescent="0.25">
      <c r="A1273" t="s">
        <v>2769</v>
      </c>
      <c r="B1273" t="s">
        <v>125</v>
      </c>
      <c r="C1273" t="s">
        <v>2770</v>
      </c>
      <c r="D1273" t="s">
        <v>2771</v>
      </c>
      <c r="E1273" t="s">
        <v>20</v>
      </c>
      <c r="F1273" t="s">
        <v>21</v>
      </c>
    </row>
    <row r="1274" spans="1:6" x14ac:dyDescent="0.25">
      <c r="A1274" t="s">
        <v>2772</v>
      </c>
      <c r="B1274" t="s">
        <v>125</v>
      </c>
      <c r="C1274" t="s">
        <v>1314</v>
      </c>
      <c r="D1274" t="s">
        <v>2773</v>
      </c>
      <c r="E1274" t="s">
        <v>20</v>
      </c>
      <c r="F1274" t="s">
        <v>21</v>
      </c>
    </row>
    <row r="1275" spans="1:6" x14ac:dyDescent="0.25">
      <c r="A1275" t="s">
        <v>2774</v>
      </c>
      <c r="B1275" t="s">
        <v>125</v>
      </c>
      <c r="C1275" t="s">
        <v>2094</v>
      </c>
      <c r="D1275" t="s">
        <v>1228</v>
      </c>
      <c r="E1275" t="s">
        <v>44</v>
      </c>
      <c r="F1275" t="s">
        <v>21</v>
      </c>
    </row>
    <row r="1276" spans="1:6" x14ac:dyDescent="0.25">
      <c r="A1276" t="s">
        <v>2775</v>
      </c>
      <c r="B1276" t="s">
        <v>125</v>
      </c>
      <c r="C1276" t="s">
        <v>1185</v>
      </c>
      <c r="D1276" t="s">
        <v>2776</v>
      </c>
      <c r="E1276" t="s">
        <v>20</v>
      </c>
      <c r="F1276" t="s">
        <v>21</v>
      </c>
    </row>
    <row r="1277" spans="1:6" x14ac:dyDescent="0.25">
      <c r="A1277" t="s">
        <v>2777</v>
      </c>
      <c r="B1277" t="s">
        <v>125</v>
      </c>
      <c r="C1277" t="s">
        <v>896</v>
      </c>
      <c r="D1277" t="s">
        <v>2778</v>
      </c>
      <c r="E1277" t="s">
        <v>10</v>
      </c>
      <c r="F1277" t="s">
        <v>11</v>
      </c>
    </row>
    <row r="1278" spans="1:6" x14ac:dyDescent="0.25">
      <c r="A1278" t="s">
        <v>2779</v>
      </c>
      <c r="B1278" t="s">
        <v>125</v>
      </c>
      <c r="C1278" t="s">
        <v>1562</v>
      </c>
      <c r="D1278" t="s">
        <v>2780</v>
      </c>
      <c r="E1278" t="s">
        <v>10</v>
      </c>
      <c r="F1278" t="s">
        <v>11</v>
      </c>
    </row>
    <row r="1279" spans="1:6" x14ac:dyDescent="0.25">
      <c r="A1279" t="s">
        <v>2781</v>
      </c>
      <c r="B1279" t="s">
        <v>125</v>
      </c>
      <c r="C1279" t="s">
        <v>1774</v>
      </c>
      <c r="D1279" t="s">
        <v>2663</v>
      </c>
      <c r="E1279" t="s">
        <v>350</v>
      </c>
      <c r="F1279" t="s">
        <v>21</v>
      </c>
    </row>
    <row r="1280" spans="1:6" x14ac:dyDescent="0.25">
      <c r="A1280" t="s">
        <v>2782</v>
      </c>
      <c r="B1280" t="s">
        <v>125</v>
      </c>
      <c r="C1280" t="s">
        <v>47</v>
      </c>
      <c r="D1280" t="s">
        <v>2783</v>
      </c>
      <c r="E1280" t="s">
        <v>242</v>
      </c>
      <c r="F1280" t="s">
        <v>21</v>
      </c>
    </row>
    <row r="1281" spans="1:6" x14ac:dyDescent="0.25">
      <c r="A1281" t="s">
        <v>2784</v>
      </c>
      <c r="B1281" t="s">
        <v>125</v>
      </c>
      <c r="C1281" t="s">
        <v>1402</v>
      </c>
      <c r="D1281" t="s">
        <v>500</v>
      </c>
      <c r="E1281" t="s">
        <v>10</v>
      </c>
      <c r="F1281" t="s">
        <v>11</v>
      </c>
    </row>
    <row r="1282" spans="1:6" x14ac:dyDescent="0.25">
      <c r="A1282" t="s">
        <v>2785</v>
      </c>
      <c r="B1282" t="s">
        <v>125</v>
      </c>
      <c r="C1282" t="s">
        <v>2203</v>
      </c>
      <c r="D1282" t="s">
        <v>66</v>
      </c>
      <c r="E1282" t="s">
        <v>350</v>
      </c>
      <c r="F1282" t="s">
        <v>21</v>
      </c>
    </row>
    <row r="1283" spans="1:6" x14ac:dyDescent="0.25">
      <c r="A1283" t="s">
        <v>2786</v>
      </c>
      <c r="B1283" t="s">
        <v>125</v>
      </c>
      <c r="C1283" t="s">
        <v>2787</v>
      </c>
      <c r="D1283" t="s">
        <v>2274</v>
      </c>
      <c r="E1283" t="s">
        <v>10</v>
      </c>
      <c r="F1283" t="s">
        <v>11</v>
      </c>
    </row>
    <row r="1284" spans="1:6" x14ac:dyDescent="0.25">
      <c r="A1284" t="s">
        <v>2788</v>
      </c>
      <c r="B1284" t="s">
        <v>125</v>
      </c>
      <c r="C1284" t="s">
        <v>2789</v>
      </c>
      <c r="D1284" t="s">
        <v>2790</v>
      </c>
      <c r="E1284" t="s">
        <v>170</v>
      </c>
      <c r="F1284" t="s">
        <v>50</v>
      </c>
    </row>
    <row r="1285" spans="1:6" x14ac:dyDescent="0.25">
      <c r="A1285" t="s">
        <v>2791</v>
      </c>
      <c r="B1285" t="s">
        <v>125</v>
      </c>
      <c r="C1285" t="s">
        <v>997</v>
      </c>
      <c r="D1285" t="s">
        <v>2792</v>
      </c>
      <c r="E1285" t="s">
        <v>10</v>
      </c>
      <c r="F1285" t="s">
        <v>11</v>
      </c>
    </row>
    <row r="1286" spans="1:6" x14ac:dyDescent="0.25">
      <c r="A1286" t="s">
        <v>2793</v>
      </c>
      <c r="B1286" t="s">
        <v>125</v>
      </c>
      <c r="C1286" t="s">
        <v>2794</v>
      </c>
      <c r="D1286" t="s">
        <v>316</v>
      </c>
      <c r="E1286" t="s">
        <v>44</v>
      </c>
      <c r="F1286" t="s">
        <v>21</v>
      </c>
    </row>
    <row r="1287" spans="1:6" x14ac:dyDescent="0.25">
      <c r="A1287" t="s">
        <v>2795</v>
      </c>
      <c r="B1287" t="s">
        <v>125</v>
      </c>
      <c r="C1287" t="s">
        <v>2363</v>
      </c>
      <c r="D1287" t="s">
        <v>148</v>
      </c>
      <c r="E1287" t="s">
        <v>10</v>
      </c>
      <c r="F1287" t="s">
        <v>11</v>
      </c>
    </row>
    <row r="1288" spans="1:6" x14ac:dyDescent="0.25">
      <c r="A1288" t="s">
        <v>2796</v>
      </c>
      <c r="B1288" t="s">
        <v>125</v>
      </c>
      <c r="C1288" t="s">
        <v>2133</v>
      </c>
      <c r="D1288" t="s">
        <v>2797</v>
      </c>
      <c r="E1288" t="s">
        <v>1035</v>
      </c>
      <c r="F1288" t="s">
        <v>21</v>
      </c>
    </row>
    <row r="1289" spans="1:6" x14ac:dyDescent="0.25">
      <c r="A1289" t="s">
        <v>2798</v>
      </c>
      <c r="B1289" t="s">
        <v>125</v>
      </c>
      <c r="C1289" t="s">
        <v>1088</v>
      </c>
      <c r="D1289" t="s">
        <v>2799</v>
      </c>
      <c r="E1289" t="s">
        <v>49</v>
      </c>
      <c r="F1289" t="s">
        <v>50</v>
      </c>
    </row>
    <row r="1290" spans="1:6" x14ac:dyDescent="0.25">
      <c r="A1290" t="s">
        <v>2800</v>
      </c>
      <c r="B1290" t="s">
        <v>125</v>
      </c>
      <c r="C1290" t="s">
        <v>1346</v>
      </c>
      <c r="D1290" t="s">
        <v>2801</v>
      </c>
      <c r="E1290" t="s">
        <v>44</v>
      </c>
      <c r="F1290" t="s">
        <v>21</v>
      </c>
    </row>
    <row r="1291" spans="1:6" x14ac:dyDescent="0.25">
      <c r="A1291" t="s">
        <v>2802</v>
      </c>
      <c r="B1291" t="s">
        <v>125</v>
      </c>
      <c r="C1291" t="s">
        <v>1076</v>
      </c>
      <c r="D1291" t="s">
        <v>169</v>
      </c>
      <c r="E1291" t="s">
        <v>170</v>
      </c>
      <c r="F1291" t="s">
        <v>50</v>
      </c>
    </row>
    <row r="1292" spans="1:6" x14ac:dyDescent="0.25">
      <c r="A1292" t="s">
        <v>2803</v>
      </c>
      <c r="B1292" t="s">
        <v>125</v>
      </c>
      <c r="C1292" t="s">
        <v>2335</v>
      </c>
      <c r="D1292" t="s">
        <v>2804</v>
      </c>
      <c r="E1292" t="s">
        <v>10</v>
      </c>
      <c r="F1292" t="s">
        <v>11</v>
      </c>
    </row>
    <row r="1293" spans="1:6" x14ac:dyDescent="0.25">
      <c r="A1293" t="s">
        <v>2805</v>
      </c>
      <c r="B1293" t="s">
        <v>125</v>
      </c>
      <c r="C1293" t="s">
        <v>2010</v>
      </c>
      <c r="D1293" t="s">
        <v>2806</v>
      </c>
      <c r="E1293" t="s">
        <v>170</v>
      </c>
      <c r="F1293" t="s">
        <v>50</v>
      </c>
    </row>
    <row r="1294" spans="1:6" x14ac:dyDescent="0.25">
      <c r="A1294" t="s">
        <v>2807</v>
      </c>
      <c r="B1294" t="s">
        <v>125</v>
      </c>
      <c r="C1294" t="s">
        <v>800</v>
      </c>
      <c r="D1294" t="s">
        <v>2808</v>
      </c>
      <c r="E1294" t="s">
        <v>10</v>
      </c>
      <c r="F1294" t="s">
        <v>11</v>
      </c>
    </row>
    <row r="1295" spans="1:6" x14ac:dyDescent="0.25">
      <c r="A1295" t="s">
        <v>2809</v>
      </c>
      <c r="B1295" t="s">
        <v>125</v>
      </c>
      <c r="C1295" t="s">
        <v>1504</v>
      </c>
      <c r="D1295" t="s">
        <v>2810</v>
      </c>
      <c r="E1295" t="s">
        <v>10</v>
      </c>
      <c r="F1295" t="s">
        <v>11</v>
      </c>
    </row>
    <row r="1296" spans="1:6" x14ac:dyDescent="0.25">
      <c r="A1296" t="s">
        <v>2811</v>
      </c>
      <c r="B1296" t="s">
        <v>125</v>
      </c>
      <c r="C1296" t="s">
        <v>1242</v>
      </c>
      <c r="D1296" t="s">
        <v>2812</v>
      </c>
      <c r="E1296" t="s">
        <v>20</v>
      </c>
      <c r="F1296" t="s">
        <v>21</v>
      </c>
    </row>
    <row r="1297" spans="1:6" x14ac:dyDescent="0.25">
      <c r="A1297" t="s">
        <v>2813</v>
      </c>
      <c r="B1297" t="s">
        <v>125</v>
      </c>
      <c r="C1297" t="s">
        <v>2736</v>
      </c>
      <c r="D1297" t="s">
        <v>66</v>
      </c>
      <c r="E1297" t="s">
        <v>20</v>
      </c>
      <c r="F1297" t="s">
        <v>21</v>
      </c>
    </row>
    <row r="1298" spans="1:6" x14ac:dyDescent="0.25">
      <c r="A1298" t="s">
        <v>2814</v>
      </c>
      <c r="B1298" t="s">
        <v>125</v>
      </c>
      <c r="C1298" t="s">
        <v>2815</v>
      </c>
      <c r="D1298" t="s">
        <v>2816</v>
      </c>
      <c r="E1298" t="s">
        <v>20</v>
      </c>
      <c r="F1298" t="s">
        <v>21</v>
      </c>
    </row>
    <row r="1299" spans="1:6" x14ac:dyDescent="0.25">
      <c r="A1299" t="s">
        <v>2817</v>
      </c>
      <c r="B1299" t="s">
        <v>125</v>
      </c>
      <c r="C1299" t="s">
        <v>541</v>
      </c>
      <c r="D1299" t="s">
        <v>2818</v>
      </c>
      <c r="E1299" t="s">
        <v>20</v>
      </c>
      <c r="F1299" t="s">
        <v>21</v>
      </c>
    </row>
    <row r="1300" spans="1:6" x14ac:dyDescent="0.25">
      <c r="A1300" t="s">
        <v>2819</v>
      </c>
      <c r="B1300" t="s">
        <v>125</v>
      </c>
      <c r="C1300" t="s">
        <v>1308</v>
      </c>
      <c r="D1300" t="s">
        <v>2820</v>
      </c>
      <c r="E1300" t="s">
        <v>20</v>
      </c>
      <c r="F1300" t="s">
        <v>21</v>
      </c>
    </row>
    <row r="1301" spans="1:6" x14ac:dyDescent="0.25">
      <c r="A1301" t="s">
        <v>2821</v>
      </c>
      <c r="B1301" t="s">
        <v>125</v>
      </c>
      <c r="C1301" t="s">
        <v>277</v>
      </c>
      <c r="D1301" t="s">
        <v>2822</v>
      </c>
      <c r="E1301" t="s">
        <v>20</v>
      </c>
      <c r="F1301" t="s">
        <v>21</v>
      </c>
    </row>
    <row r="1302" spans="1:6" x14ac:dyDescent="0.25">
      <c r="A1302" t="s">
        <v>2823</v>
      </c>
      <c r="B1302" t="s">
        <v>125</v>
      </c>
      <c r="C1302" t="s">
        <v>324</v>
      </c>
      <c r="D1302" t="s">
        <v>2824</v>
      </c>
      <c r="E1302" t="s">
        <v>20</v>
      </c>
      <c r="F1302" t="s">
        <v>21</v>
      </c>
    </row>
    <row r="1303" spans="1:6" x14ac:dyDescent="0.25">
      <c r="A1303" t="s">
        <v>2825</v>
      </c>
      <c r="B1303" t="s">
        <v>125</v>
      </c>
      <c r="C1303" t="s">
        <v>2335</v>
      </c>
      <c r="D1303" t="s">
        <v>752</v>
      </c>
      <c r="E1303" t="s">
        <v>20</v>
      </c>
      <c r="F1303" t="s">
        <v>21</v>
      </c>
    </row>
    <row r="1304" spans="1:6" x14ac:dyDescent="0.25">
      <c r="A1304" t="s">
        <v>2826</v>
      </c>
      <c r="B1304" t="s">
        <v>125</v>
      </c>
      <c r="C1304" t="s">
        <v>2359</v>
      </c>
      <c r="D1304" t="s">
        <v>1282</v>
      </c>
      <c r="E1304" t="s">
        <v>10</v>
      </c>
      <c r="F1304" t="s">
        <v>11</v>
      </c>
    </row>
    <row r="1305" spans="1:6" x14ac:dyDescent="0.25">
      <c r="A1305" t="s">
        <v>2827</v>
      </c>
      <c r="B1305" t="s">
        <v>125</v>
      </c>
      <c r="C1305" t="s">
        <v>53</v>
      </c>
      <c r="D1305" t="s">
        <v>2828</v>
      </c>
      <c r="E1305" t="s">
        <v>10</v>
      </c>
      <c r="F1305" t="s">
        <v>11</v>
      </c>
    </row>
    <row r="1306" spans="1:6" x14ac:dyDescent="0.25">
      <c r="A1306" t="s">
        <v>2829</v>
      </c>
      <c r="B1306" t="s">
        <v>125</v>
      </c>
      <c r="C1306" t="s">
        <v>1456</v>
      </c>
      <c r="D1306" t="s">
        <v>146</v>
      </c>
      <c r="E1306" t="s">
        <v>20</v>
      </c>
      <c r="F1306" t="s">
        <v>21</v>
      </c>
    </row>
    <row r="1307" spans="1:6" x14ac:dyDescent="0.25">
      <c r="A1307" t="s">
        <v>2830</v>
      </c>
      <c r="B1307" t="s">
        <v>125</v>
      </c>
      <c r="C1307" t="s">
        <v>2446</v>
      </c>
      <c r="D1307" t="s">
        <v>2523</v>
      </c>
      <c r="E1307" t="s">
        <v>44</v>
      </c>
      <c r="F1307" t="s">
        <v>21</v>
      </c>
    </row>
    <row r="1308" spans="1:6" x14ac:dyDescent="0.25">
      <c r="A1308" t="s">
        <v>2831</v>
      </c>
      <c r="B1308" t="s">
        <v>125</v>
      </c>
      <c r="C1308" t="s">
        <v>2832</v>
      </c>
      <c r="D1308" t="s">
        <v>2104</v>
      </c>
      <c r="E1308" t="s">
        <v>10</v>
      </c>
      <c r="F1308" t="s">
        <v>11</v>
      </c>
    </row>
    <row r="1309" spans="1:6" x14ac:dyDescent="0.25">
      <c r="A1309" t="s">
        <v>2833</v>
      </c>
      <c r="B1309" t="s">
        <v>125</v>
      </c>
      <c r="C1309" t="s">
        <v>2069</v>
      </c>
      <c r="D1309" t="s">
        <v>380</v>
      </c>
      <c r="E1309" t="s">
        <v>10</v>
      </c>
      <c r="F1309" t="s">
        <v>11</v>
      </c>
    </row>
    <row r="1310" spans="1:6" x14ac:dyDescent="0.25">
      <c r="A1310" t="s">
        <v>2834</v>
      </c>
      <c r="B1310" t="s">
        <v>125</v>
      </c>
      <c r="C1310" t="s">
        <v>47</v>
      </c>
      <c r="D1310" t="s">
        <v>2835</v>
      </c>
      <c r="E1310" t="s">
        <v>20</v>
      </c>
      <c r="F1310" t="s">
        <v>21</v>
      </c>
    </row>
    <row r="1311" spans="1:6" x14ac:dyDescent="0.25">
      <c r="A1311" t="s">
        <v>2836</v>
      </c>
      <c r="B1311" t="s">
        <v>125</v>
      </c>
      <c r="C1311" t="s">
        <v>2643</v>
      </c>
      <c r="D1311" t="s">
        <v>2837</v>
      </c>
      <c r="E1311" t="s">
        <v>20</v>
      </c>
      <c r="F1311" t="s">
        <v>21</v>
      </c>
    </row>
    <row r="1312" spans="1:6" x14ac:dyDescent="0.25">
      <c r="A1312" t="s">
        <v>2838</v>
      </c>
      <c r="B1312" t="s">
        <v>125</v>
      </c>
      <c r="C1312" t="s">
        <v>2183</v>
      </c>
      <c r="D1312" t="s">
        <v>2839</v>
      </c>
      <c r="E1312" t="s">
        <v>10</v>
      </c>
      <c r="F1312" t="s">
        <v>11</v>
      </c>
    </row>
    <row r="1313" spans="1:6" x14ac:dyDescent="0.25">
      <c r="A1313" t="s">
        <v>2840</v>
      </c>
      <c r="B1313" t="s">
        <v>125</v>
      </c>
      <c r="C1313" t="s">
        <v>2841</v>
      </c>
      <c r="D1313" t="s">
        <v>2842</v>
      </c>
      <c r="E1313" t="s">
        <v>10</v>
      </c>
      <c r="F1313" t="s">
        <v>11</v>
      </c>
    </row>
    <row r="1314" spans="1:6" x14ac:dyDescent="0.25">
      <c r="A1314" t="s">
        <v>2843</v>
      </c>
      <c r="B1314" t="s">
        <v>125</v>
      </c>
      <c r="C1314" t="s">
        <v>2405</v>
      </c>
      <c r="D1314" t="s">
        <v>1577</v>
      </c>
      <c r="E1314" t="s">
        <v>10</v>
      </c>
      <c r="F1314" t="s">
        <v>11</v>
      </c>
    </row>
    <row r="1315" spans="1:6" x14ac:dyDescent="0.25">
      <c r="A1315" t="s">
        <v>2844</v>
      </c>
      <c r="B1315" t="s">
        <v>125</v>
      </c>
      <c r="C1315" t="s">
        <v>2845</v>
      </c>
      <c r="D1315" t="s">
        <v>148</v>
      </c>
      <c r="E1315" t="s">
        <v>360</v>
      </c>
      <c r="F1315" t="s">
        <v>50</v>
      </c>
    </row>
    <row r="1316" spans="1:6" x14ac:dyDescent="0.25">
      <c r="A1316" t="s">
        <v>2846</v>
      </c>
      <c r="B1316" t="s">
        <v>125</v>
      </c>
      <c r="C1316" s="1">
        <v>0</v>
      </c>
      <c r="D1316" t="s">
        <v>1186</v>
      </c>
      <c r="E1316" t="s">
        <v>273</v>
      </c>
      <c r="F1316" t="s">
        <v>21</v>
      </c>
    </row>
    <row r="1317" spans="1:6" x14ac:dyDescent="0.25">
      <c r="A1317" t="s">
        <v>2847</v>
      </c>
      <c r="B1317" t="s">
        <v>125</v>
      </c>
      <c r="C1317" s="1">
        <v>0</v>
      </c>
      <c r="D1317" t="s">
        <v>2848</v>
      </c>
      <c r="E1317" t="s">
        <v>10</v>
      </c>
      <c r="F1317" t="s">
        <v>11</v>
      </c>
    </row>
    <row r="1318" spans="1:6" x14ac:dyDescent="0.25">
      <c r="A1318" t="s">
        <v>2849</v>
      </c>
      <c r="B1318" t="s">
        <v>125</v>
      </c>
      <c r="C1318" t="s">
        <v>1414</v>
      </c>
      <c r="D1318" t="s">
        <v>130</v>
      </c>
      <c r="E1318" t="s">
        <v>10</v>
      </c>
      <c r="F1318" t="s">
        <v>11</v>
      </c>
    </row>
    <row r="1319" spans="1:6" x14ac:dyDescent="0.25">
      <c r="A1319" t="s">
        <v>2850</v>
      </c>
      <c r="B1319" t="s">
        <v>125</v>
      </c>
      <c r="C1319" t="s">
        <v>2435</v>
      </c>
      <c r="D1319" t="s">
        <v>2851</v>
      </c>
      <c r="E1319" t="s">
        <v>49</v>
      </c>
      <c r="F1319" t="s">
        <v>50</v>
      </c>
    </row>
    <row r="1320" spans="1:6" x14ac:dyDescent="0.25">
      <c r="A1320" t="s">
        <v>2852</v>
      </c>
      <c r="B1320" t="s">
        <v>125</v>
      </c>
      <c r="C1320" t="s">
        <v>1955</v>
      </c>
      <c r="D1320" t="s">
        <v>1671</v>
      </c>
      <c r="E1320" t="s">
        <v>10</v>
      </c>
      <c r="F1320" t="s">
        <v>11</v>
      </c>
    </row>
    <row r="1321" spans="1:6" x14ac:dyDescent="0.25">
      <c r="A1321" t="s">
        <v>2853</v>
      </c>
      <c r="B1321" t="s">
        <v>125</v>
      </c>
      <c r="C1321" t="s">
        <v>2854</v>
      </c>
      <c r="D1321" t="s">
        <v>2855</v>
      </c>
      <c r="E1321" t="s">
        <v>10</v>
      </c>
      <c r="F1321" t="s">
        <v>11</v>
      </c>
    </row>
    <row r="1322" spans="1:6" x14ac:dyDescent="0.25">
      <c r="A1322" t="s">
        <v>2856</v>
      </c>
      <c r="B1322" t="s">
        <v>125</v>
      </c>
      <c r="C1322" t="s">
        <v>785</v>
      </c>
      <c r="E1322" t="s">
        <v>10</v>
      </c>
      <c r="F1322" t="s">
        <v>11</v>
      </c>
    </row>
    <row r="1323" spans="1:6" x14ac:dyDescent="0.25">
      <c r="A1323" t="s">
        <v>2857</v>
      </c>
      <c r="B1323" t="s">
        <v>125</v>
      </c>
      <c r="C1323" t="s">
        <v>2858</v>
      </c>
      <c r="D1323" t="s">
        <v>2859</v>
      </c>
      <c r="E1323" t="s">
        <v>10</v>
      </c>
      <c r="F1323" t="s">
        <v>11</v>
      </c>
    </row>
    <row r="1324" spans="1:6" x14ac:dyDescent="0.25">
      <c r="A1324" t="s">
        <v>2860</v>
      </c>
      <c r="B1324" t="s">
        <v>125</v>
      </c>
      <c r="C1324" t="s">
        <v>1525</v>
      </c>
      <c r="D1324" t="s">
        <v>2861</v>
      </c>
      <c r="E1324" t="s">
        <v>365</v>
      </c>
      <c r="F1324" t="s">
        <v>11</v>
      </c>
    </row>
    <row r="1325" spans="1:6" x14ac:dyDescent="0.25">
      <c r="A1325" t="s">
        <v>2862</v>
      </c>
      <c r="B1325" t="s">
        <v>125</v>
      </c>
      <c r="C1325" t="s">
        <v>125</v>
      </c>
      <c r="D1325" t="s">
        <v>2863</v>
      </c>
      <c r="E1325" t="s">
        <v>10</v>
      </c>
      <c r="F1325" t="s">
        <v>11</v>
      </c>
    </row>
    <row r="1326" spans="1:6" x14ac:dyDescent="0.25">
      <c r="A1326" t="s">
        <v>2864</v>
      </c>
      <c r="B1326" t="s">
        <v>125</v>
      </c>
      <c r="C1326" t="s">
        <v>2090</v>
      </c>
      <c r="D1326" t="s">
        <v>2865</v>
      </c>
      <c r="E1326" t="s">
        <v>10</v>
      </c>
      <c r="F1326" t="s">
        <v>11</v>
      </c>
    </row>
    <row r="1327" spans="1:6" x14ac:dyDescent="0.25">
      <c r="A1327" t="s">
        <v>2866</v>
      </c>
      <c r="B1327" t="s">
        <v>125</v>
      </c>
      <c r="C1327" t="s">
        <v>2867</v>
      </c>
      <c r="D1327" t="s">
        <v>2868</v>
      </c>
      <c r="E1327" t="s">
        <v>10</v>
      </c>
      <c r="F1327" t="s">
        <v>11</v>
      </c>
    </row>
    <row r="1328" spans="1:6" x14ac:dyDescent="0.25">
      <c r="A1328" t="s">
        <v>2869</v>
      </c>
      <c r="B1328" t="s">
        <v>125</v>
      </c>
      <c r="C1328" t="s">
        <v>702</v>
      </c>
      <c r="D1328" t="s">
        <v>2870</v>
      </c>
      <c r="E1328" t="s">
        <v>2056</v>
      </c>
      <c r="F1328" t="s">
        <v>526</v>
      </c>
    </row>
    <row r="1329" spans="1:6" x14ac:dyDescent="0.25">
      <c r="A1329" t="s">
        <v>2871</v>
      </c>
      <c r="B1329" t="s">
        <v>125</v>
      </c>
      <c r="C1329" t="s">
        <v>1458</v>
      </c>
      <c r="D1329" t="s">
        <v>2872</v>
      </c>
      <c r="E1329" t="s">
        <v>10</v>
      </c>
      <c r="F1329" t="s">
        <v>11</v>
      </c>
    </row>
    <row r="1330" spans="1:6" x14ac:dyDescent="0.25">
      <c r="A1330" t="s">
        <v>2873</v>
      </c>
      <c r="B1330" t="s">
        <v>125</v>
      </c>
      <c r="C1330" t="s">
        <v>1511</v>
      </c>
      <c r="D1330" t="s">
        <v>2874</v>
      </c>
      <c r="E1330" t="s">
        <v>49</v>
      </c>
      <c r="F1330" t="s">
        <v>50</v>
      </c>
    </row>
    <row r="1331" spans="1:6" x14ac:dyDescent="0.25">
      <c r="A1331" t="s">
        <v>2875</v>
      </c>
      <c r="B1331" t="s">
        <v>125</v>
      </c>
      <c r="C1331" t="s">
        <v>237</v>
      </c>
      <c r="D1331" t="s">
        <v>469</v>
      </c>
      <c r="E1331" t="s">
        <v>10</v>
      </c>
      <c r="F1331" t="s">
        <v>11</v>
      </c>
    </row>
    <row r="1332" spans="1:6" x14ac:dyDescent="0.25">
      <c r="A1332" t="s">
        <v>2876</v>
      </c>
      <c r="B1332" t="s">
        <v>125</v>
      </c>
      <c r="C1332" t="s">
        <v>1994</v>
      </c>
      <c r="D1332" t="s">
        <v>2877</v>
      </c>
      <c r="E1332" t="s">
        <v>10</v>
      </c>
      <c r="F1332" t="s">
        <v>11</v>
      </c>
    </row>
    <row r="1333" spans="1:6" x14ac:dyDescent="0.25">
      <c r="A1333" t="s">
        <v>2878</v>
      </c>
      <c r="B1333" t="s">
        <v>125</v>
      </c>
      <c r="C1333" t="s">
        <v>2879</v>
      </c>
      <c r="D1333" t="s">
        <v>722</v>
      </c>
      <c r="E1333" t="s">
        <v>49</v>
      </c>
      <c r="F1333" t="s">
        <v>50</v>
      </c>
    </row>
    <row r="1334" spans="1:6" x14ac:dyDescent="0.25">
      <c r="A1334" t="s">
        <v>2880</v>
      </c>
      <c r="B1334" t="s">
        <v>125</v>
      </c>
      <c r="C1334" t="s">
        <v>158</v>
      </c>
      <c r="D1334" t="s">
        <v>2881</v>
      </c>
      <c r="E1334" t="s">
        <v>20</v>
      </c>
      <c r="F1334" t="s">
        <v>21</v>
      </c>
    </row>
    <row r="1335" spans="1:6" x14ac:dyDescent="0.25">
      <c r="A1335" t="s">
        <v>2882</v>
      </c>
      <c r="B1335" t="s">
        <v>125</v>
      </c>
      <c r="C1335" t="s">
        <v>2163</v>
      </c>
      <c r="D1335" t="s">
        <v>2883</v>
      </c>
      <c r="E1335" t="s">
        <v>49</v>
      </c>
      <c r="F1335" t="s">
        <v>50</v>
      </c>
    </row>
    <row r="1336" spans="1:6" x14ac:dyDescent="0.25">
      <c r="A1336" t="s">
        <v>2884</v>
      </c>
      <c r="B1336" t="s">
        <v>125</v>
      </c>
      <c r="C1336" t="s">
        <v>2707</v>
      </c>
      <c r="D1336" t="s">
        <v>2783</v>
      </c>
      <c r="E1336" t="s">
        <v>10</v>
      </c>
      <c r="F1336" t="s">
        <v>11</v>
      </c>
    </row>
    <row r="1337" spans="1:6" x14ac:dyDescent="0.25">
      <c r="A1337" t="s">
        <v>2885</v>
      </c>
      <c r="B1337" t="s">
        <v>125</v>
      </c>
      <c r="C1337" t="s">
        <v>1359</v>
      </c>
      <c r="D1337" t="s">
        <v>2886</v>
      </c>
      <c r="E1337" t="s">
        <v>10</v>
      </c>
      <c r="F1337" t="s">
        <v>11</v>
      </c>
    </row>
    <row r="1338" spans="1:6" x14ac:dyDescent="0.25">
      <c r="A1338" t="s">
        <v>2887</v>
      </c>
      <c r="B1338" t="s">
        <v>125</v>
      </c>
      <c r="C1338" s="1">
        <v>0</v>
      </c>
      <c r="D1338" t="s">
        <v>2888</v>
      </c>
    </row>
    <row r="1339" spans="1:6" x14ac:dyDescent="0.25">
      <c r="A1339" t="s">
        <v>2889</v>
      </c>
      <c r="B1339" t="s">
        <v>125</v>
      </c>
      <c r="C1339" t="s">
        <v>2890</v>
      </c>
      <c r="D1339" t="s">
        <v>2891</v>
      </c>
      <c r="E1339" t="s">
        <v>10</v>
      </c>
      <c r="F1339" t="s">
        <v>11</v>
      </c>
    </row>
    <row r="1340" spans="1:6" x14ac:dyDescent="0.25">
      <c r="A1340" t="s">
        <v>2892</v>
      </c>
      <c r="B1340" t="s">
        <v>125</v>
      </c>
      <c r="C1340" t="s">
        <v>1822</v>
      </c>
      <c r="D1340" t="s">
        <v>1843</v>
      </c>
      <c r="E1340" t="s">
        <v>10</v>
      </c>
      <c r="F1340" t="s">
        <v>11</v>
      </c>
    </row>
    <row r="1341" spans="1:6" x14ac:dyDescent="0.25">
      <c r="A1341" t="s">
        <v>2893</v>
      </c>
      <c r="B1341" t="s">
        <v>125</v>
      </c>
      <c r="C1341" t="s">
        <v>1498</v>
      </c>
      <c r="D1341" t="s">
        <v>816</v>
      </c>
      <c r="E1341" t="s">
        <v>10</v>
      </c>
      <c r="F1341" t="s">
        <v>11</v>
      </c>
    </row>
    <row r="1342" spans="1:6" x14ac:dyDescent="0.25">
      <c r="A1342" t="s">
        <v>2894</v>
      </c>
      <c r="B1342" t="s">
        <v>125</v>
      </c>
      <c r="C1342" s="1">
        <v>0</v>
      </c>
      <c r="E1342" t="s">
        <v>10</v>
      </c>
      <c r="F1342" t="s">
        <v>11</v>
      </c>
    </row>
    <row r="1343" spans="1:6" x14ac:dyDescent="0.25">
      <c r="A1343" t="s">
        <v>2895</v>
      </c>
      <c r="B1343" t="s">
        <v>125</v>
      </c>
      <c r="C1343" t="s">
        <v>1619</v>
      </c>
      <c r="D1343" t="s">
        <v>2896</v>
      </c>
      <c r="E1343" t="s">
        <v>273</v>
      </c>
      <c r="F1343" t="s">
        <v>21</v>
      </c>
    </row>
    <row r="1344" spans="1:6" x14ac:dyDescent="0.25">
      <c r="A1344" t="s">
        <v>2897</v>
      </c>
      <c r="B1344" t="s">
        <v>125</v>
      </c>
      <c r="C1344" t="s">
        <v>1950</v>
      </c>
      <c r="D1344" t="s">
        <v>1735</v>
      </c>
      <c r="E1344" t="s">
        <v>10</v>
      </c>
      <c r="F1344" t="s">
        <v>11</v>
      </c>
    </row>
    <row r="1345" spans="1:6" x14ac:dyDescent="0.25">
      <c r="A1345" t="s">
        <v>2898</v>
      </c>
      <c r="B1345" t="s">
        <v>125</v>
      </c>
      <c r="C1345" t="s">
        <v>2012</v>
      </c>
      <c r="D1345" t="s">
        <v>2899</v>
      </c>
      <c r="E1345" t="s">
        <v>10</v>
      </c>
      <c r="F1345" t="s">
        <v>11</v>
      </c>
    </row>
    <row r="1346" spans="1:6" x14ac:dyDescent="0.25">
      <c r="A1346" t="s">
        <v>2900</v>
      </c>
      <c r="B1346" t="s">
        <v>125</v>
      </c>
      <c r="C1346" t="s">
        <v>1022</v>
      </c>
      <c r="D1346" t="s">
        <v>2901</v>
      </c>
      <c r="E1346" t="s">
        <v>44</v>
      </c>
      <c r="F1346" t="s">
        <v>21</v>
      </c>
    </row>
    <row r="1347" spans="1:6" x14ac:dyDescent="0.25">
      <c r="A1347" t="s">
        <v>2902</v>
      </c>
      <c r="B1347" t="s">
        <v>125</v>
      </c>
      <c r="C1347" t="s">
        <v>2203</v>
      </c>
      <c r="D1347" t="s">
        <v>2903</v>
      </c>
      <c r="E1347" t="s">
        <v>10</v>
      </c>
      <c r="F1347" t="s">
        <v>11</v>
      </c>
    </row>
    <row r="1348" spans="1:6" x14ac:dyDescent="0.25">
      <c r="A1348" t="s">
        <v>2904</v>
      </c>
      <c r="B1348" t="s">
        <v>125</v>
      </c>
      <c r="C1348" t="s">
        <v>2328</v>
      </c>
      <c r="D1348" t="s">
        <v>225</v>
      </c>
      <c r="E1348" t="s">
        <v>49</v>
      </c>
      <c r="F1348" t="s">
        <v>50</v>
      </c>
    </row>
    <row r="1349" spans="1:6" x14ac:dyDescent="0.25">
      <c r="A1349" t="s">
        <v>2905</v>
      </c>
      <c r="B1349" t="s">
        <v>125</v>
      </c>
      <c r="C1349" t="s">
        <v>125</v>
      </c>
      <c r="D1349" t="s">
        <v>1068</v>
      </c>
      <c r="E1349" t="s">
        <v>10</v>
      </c>
      <c r="F1349" t="s">
        <v>11</v>
      </c>
    </row>
    <row r="1350" spans="1:6" x14ac:dyDescent="0.25">
      <c r="A1350" t="s">
        <v>2906</v>
      </c>
      <c r="B1350" t="s">
        <v>125</v>
      </c>
      <c r="C1350" t="s">
        <v>174</v>
      </c>
      <c r="D1350" t="s">
        <v>469</v>
      </c>
      <c r="E1350" t="s">
        <v>10</v>
      </c>
      <c r="F1350" t="s">
        <v>11</v>
      </c>
    </row>
    <row r="1351" spans="1:6" x14ac:dyDescent="0.25">
      <c r="A1351" t="s">
        <v>2907</v>
      </c>
      <c r="B1351" t="s">
        <v>125</v>
      </c>
      <c r="C1351" t="s">
        <v>2908</v>
      </c>
      <c r="D1351" t="s">
        <v>1398</v>
      </c>
      <c r="E1351" t="s">
        <v>10</v>
      </c>
      <c r="F1351" t="s">
        <v>11</v>
      </c>
    </row>
    <row r="1352" spans="1:6" x14ac:dyDescent="0.25">
      <c r="A1352" t="s">
        <v>2909</v>
      </c>
      <c r="B1352" t="s">
        <v>125</v>
      </c>
      <c r="C1352" t="s">
        <v>2522</v>
      </c>
      <c r="D1352" t="s">
        <v>786</v>
      </c>
      <c r="E1352" t="s">
        <v>2910</v>
      </c>
      <c r="F1352" t="s">
        <v>63</v>
      </c>
    </row>
    <row r="1353" spans="1:6" x14ac:dyDescent="0.25">
      <c r="A1353" t="s">
        <v>2911</v>
      </c>
      <c r="B1353" t="s">
        <v>125</v>
      </c>
      <c r="C1353" t="s">
        <v>1955</v>
      </c>
      <c r="D1353" t="s">
        <v>2912</v>
      </c>
      <c r="E1353" t="s">
        <v>10</v>
      </c>
      <c r="F1353" t="s">
        <v>11</v>
      </c>
    </row>
    <row r="1354" spans="1:6" x14ac:dyDescent="0.25">
      <c r="A1354" t="s">
        <v>2913</v>
      </c>
      <c r="B1354" t="s">
        <v>125</v>
      </c>
      <c r="C1354" t="s">
        <v>2045</v>
      </c>
      <c r="D1354" t="s">
        <v>2914</v>
      </c>
      <c r="E1354" t="s">
        <v>44</v>
      </c>
      <c r="F1354" t="s">
        <v>21</v>
      </c>
    </row>
    <row r="1355" spans="1:6" x14ac:dyDescent="0.25">
      <c r="A1355" t="s">
        <v>2915</v>
      </c>
      <c r="B1355" t="s">
        <v>125</v>
      </c>
      <c r="C1355" t="s">
        <v>2268</v>
      </c>
      <c r="D1355" t="s">
        <v>2916</v>
      </c>
      <c r="E1355" t="s">
        <v>652</v>
      </c>
      <c r="F1355" t="s">
        <v>50</v>
      </c>
    </row>
    <row r="1356" spans="1:6" x14ac:dyDescent="0.25">
      <c r="A1356" t="s">
        <v>2917</v>
      </c>
      <c r="B1356" t="s">
        <v>125</v>
      </c>
      <c r="C1356" t="s">
        <v>976</v>
      </c>
      <c r="D1356" t="s">
        <v>2918</v>
      </c>
      <c r="E1356" t="s">
        <v>170</v>
      </c>
      <c r="F1356" t="s">
        <v>50</v>
      </c>
    </row>
    <row r="1357" spans="1:6" x14ac:dyDescent="0.25">
      <c r="A1357" t="s">
        <v>2919</v>
      </c>
      <c r="B1357" t="s">
        <v>125</v>
      </c>
      <c r="C1357" t="s">
        <v>2920</v>
      </c>
      <c r="D1357" t="s">
        <v>1642</v>
      </c>
      <c r="E1357" t="s">
        <v>242</v>
      </c>
      <c r="F1357" t="s">
        <v>21</v>
      </c>
    </row>
    <row r="1358" spans="1:6" x14ac:dyDescent="0.25">
      <c r="A1358" t="s">
        <v>2921</v>
      </c>
      <c r="B1358" t="s">
        <v>125</v>
      </c>
      <c r="C1358" t="s">
        <v>1756</v>
      </c>
      <c r="D1358" t="s">
        <v>316</v>
      </c>
      <c r="E1358" t="s">
        <v>10</v>
      </c>
      <c r="F1358" t="s">
        <v>11</v>
      </c>
    </row>
    <row r="1359" spans="1:6" x14ac:dyDescent="0.25">
      <c r="A1359" t="s">
        <v>2922</v>
      </c>
      <c r="B1359" t="s">
        <v>125</v>
      </c>
      <c r="C1359" t="s">
        <v>2923</v>
      </c>
      <c r="D1359" t="s">
        <v>595</v>
      </c>
    </row>
    <row r="1360" spans="1:6" x14ac:dyDescent="0.25">
      <c r="A1360" t="s">
        <v>2924</v>
      </c>
      <c r="B1360" t="s">
        <v>125</v>
      </c>
      <c r="C1360" t="s">
        <v>628</v>
      </c>
      <c r="D1360" t="s">
        <v>2925</v>
      </c>
      <c r="E1360" t="s">
        <v>10</v>
      </c>
      <c r="F1360" t="s">
        <v>11</v>
      </c>
    </row>
    <row r="1361" spans="1:6" x14ac:dyDescent="0.25">
      <c r="A1361" t="s">
        <v>2926</v>
      </c>
      <c r="B1361" t="s">
        <v>125</v>
      </c>
      <c r="C1361" t="s">
        <v>1481</v>
      </c>
      <c r="D1361" t="s">
        <v>2676</v>
      </c>
      <c r="E1361" t="s">
        <v>10</v>
      </c>
      <c r="F1361" t="s">
        <v>11</v>
      </c>
    </row>
    <row r="1362" spans="1:6" x14ac:dyDescent="0.25">
      <c r="A1362" t="s">
        <v>2927</v>
      </c>
      <c r="B1362" t="s">
        <v>125</v>
      </c>
      <c r="C1362" t="s">
        <v>1108</v>
      </c>
      <c r="D1362" t="s">
        <v>2928</v>
      </c>
      <c r="E1362" t="s">
        <v>10</v>
      </c>
      <c r="F1362" t="s">
        <v>11</v>
      </c>
    </row>
    <row r="1363" spans="1:6" x14ac:dyDescent="0.25">
      <c r="A1363" t="s">
        <v>2929</v>
      </c>
      <c r="B1363" t="s">
        <v>125</v>
      </c>
      <c r="C1363" t="s">
        <v>2930</v>
      </c>
      <c r="D1363" t="s">
        <v>2931</v>
      </c>
      <c r="E1363" t="s">
        <v>10</v>
      </c>
      <c r="F1363" t="s">
        <v>11</v>
      </c>
    </row>
    <row r="1364" spans="1:6" x14ac:dyDescent="0.25">
      <c r="A1364" t="s">
        <v>2932</v>
      </c>
      <c r="B1364" t="s">
        <v>125</v>
      </c>
      <c r="C1364" t="s">
        <v>1537</v>
      </c>
      <c r="D1364" t="s">
        <v>2933</v>
      </c>
      <c r="E1364" t="s">
        <v>273</v>
      </c>
      <c r="F1364" t="s">
        <v>21</v>
      </c>
    </row>
    <row r="1365" spans="1:6" x14ac:dyDescent="0.25">
      <c r="A1365" t="s">
        <v>2934</v>
      </c>
      <c r="B1365" t="s">
        <v>125</v>
      </c>
      <c r="C1365" t="s">
        <v>2935</v>
      </c>
      <c r="D1365" t="s">
        <v>2032</v>
      </c>
      <c r="E1365" t="s">
        <v>10</v>
      </c>
      <c r="F1365" t="s">
        <v>11</v>
      </c>
    </row>
    <row r="1366" spans="1:6" x14ac:dyDescent="0.25">
      <c r="A1366" t="s">
        <v>2936</v>
      </c>
      <c r="B1366" t="s">
        <v>125</v>
      </c>
      <c r="C1366" t="s">
        <v>1875</v>
      </c>
      <c r="D1366" t="s">
        <v>2937</v>
      </c>
      <c r="E1366" t="s">
        <v>10</v>
      </c>
      <c r="F1366" t="s">
        <v>11</v>
      </c>
    </row>
    <row r="1367" spans="1:6" x14ac:dyDescent="0.25">
      <c r="A1367" t="s">
        <v>2938</v>
      </c>
      <c r="B1367" t="s">
        <v>125</v>
      </c>
      <c r="C1367" t="s">
        <v>2214</v>
      </c>
      <c r="D1367" t="s">
        <v>1074</v>
      </c>
      <c r="E1367" t="s">
        <v>10</v>
      </c>
      <c r="F1367" t="s">
        <v>11</v>
      </c>
    </row>
    <row r="1368" spans="1:6" x14ac:dyDescent="0.25">
      <c r="A1368" t="s">
        <v>2939</v>
      </c>
      <c r="B1368" t="s">
        <v>125</v>
      </c>
      <c r="C1368" s="1">
        <v>0</v>
      </c>
      <c r="D1368" t="s">
        <v>2940</v>
      </c>
      <c r="E1368" t="s">
        <v>2941</v>
      </c>
      <c r="F1368" t="s">
        <v>50</v>
      </c>
    </row>
    <row r="1369" spans="1:6" x14ac:dyDescent="0.25">
      <c r="A1369" t="s">
        <v>2942</v>
      </c>
      <c r="B1369" t="s">
        <v>125</v>
      </c>
      <c r="C1369" t="s">
        <v>871</v>
      </c>
      <c r="E1369" t="s">
        <v>49</v>
      </c>
      <c r="F1369" t="s">
        <v>50</v>
      </c>
    </row>
    <row r="1370" spans="1:6" x14ac:dyDescent="0.25">
      <c r="A1370" t="s">
        <v>2943</v>
      </c>
      <c r="B1370" t="s">
        <v>125</v>
      </c>
      <c r="C1370" t="s">
        <v>1875</v>
      </c>
      <c r="E1370" t="s">
        <v>10</v>
      </c>
      <c r="F1370" t="s">
        <v>11</v>
      </c>
    </row>
    <row r="1371" spans="1:6" x14ac:dyDescent="0.25">
      <c r="A1371" t="s">
        <v>2944</v>
      </c>
      <c r="B1371" t="s">
        <v>125</v>
      </c>
      <c r="C1371" t="s">
        <v>785</v>
      </c>
      <c r="D1371" t="s">
        <v>2945</v>
      </c>
      <c r="E1371" t="s">
        <v>365</v>
      </c>
      <c r="F1371" t="s">
        <v>11</v>
      </c>
    </row>
    <row r="1372" spans="1:6" x14ac:dyDescent="0.25">
      <c r="A1372" t="s">
        <v>2946</v>
      </c>
      <c r="B1372" t="s">
        <v>125</v>
      </c>
      <c r="C1372" t="s">
        <v>136</v>
      </c>
      <c r="D1372" t="s">
        <v>2947</v>
      </c>
      <c r="E1372" t="s">
        <v>273</v>
      </c>
      <c r="F1372" t="s">
        <v>21</v>
      </c>
    </row>
    <row r="1373" spans="1:6" x14ac:dyDescent="0.25">
      <c r="A1373" t="s">
        <v>2948</v>
      </c>
      <c r="B1373" t="s">
        <v>125</v>
      </c>
      <c r="C1373" t="s">
        <v>666</v>
      </c>
      <c r="D1373" t="s">
        <v>2259</v>
      </c>
      <c r="E1373" t="s">
        <v>10</v>
      </c>
      <c r="F1373" t="s">
        <v>11</v>
      </c>
    </row>
    <row r="1374" spans="1:6" x14ac:dyDescent="0.25">
      <c r="A1374" t="s">
        <v>2949</v>
      </c>
      <c r="B1374" t="s">
        <v>125</v>
      </c>
      <c r="C1374" t="s">
        <v>88</v>
      </c>
      <c r="D1374" t="s">
        <v>2950</v>
      </c>
    </row>
    <row r="1375" spans="1:6" x14ac:dyDescent="0.25">
      <c r="A1375" t="s">
        <v>2951</v>
      </c>
      <c r="B1375" t="s">
        <v>125</v>
      </c>
      <c r="C1375" t="s">
        <v>2952</v>
      </c>
      <c r="D1375" t="s">
        <v>2953</v>
      </c>
      <c r="E1375" t="s">
        <v>10</v>
      </c>
      <c r="F1375" t="s">
        <v>11</v>
      </c>
    </row>
    <row r="1376" spans="1:6" x14ac:dyDescent="0.25">
      <c r="A1376" t="s">
        <v>2954</v>
      </c>
      <c r="B1376" t="s">
        <v>125</v>
      </c>
      <c r="C1376" t="s">
        <v>645</v>
      </c>
      <c r="D1376" t="s">
        <v>79</v>
      </c>
      <c r="E1376" t="s">
        <v>350</v>
      </c>
      <c r="F1376" t="s">
        <v>21</v>
      </c>
    </row>
    <row r="1377" spans="1:6" x14ac:dyDescent="0.25">
      <c r="A1377" t="s">
        <v>2955</v>
      </c>
      <c r="B1377" t="s">
        <v>125</v>
      </c>
      <c r="C1377" t="s">
        <v>1875</v>
      </c>
      <c r="D1377" t="s">
        <v>2956</v>
      </c>
      <c r="E1377" t="s">
        <v>10</v>
      </c>
      <c r="F1377" t="s">
        <v>11</v>
      </c>
    </row>
    <row r="1378" spans="1:6" x14ac:dyDescent="0.25">
      <c r="A1378" t="s">
        <v>2957</v>
      </c>
      <c r="B1378" t="s">
        <v>125</v>
      </c>
      <c r="C1378" t="s">
        <v>2296</v>
      </c>
      <c r="D1378" t="s">
        <v>287</v>
      </c>
      <c r="E1378" t="s">
        <v>10</v>
      </c>
      <c r="F1378" t="s">
        <v>11</v>
      </c>
    </row>
    <row r="1379" spans="1:6" x14ac:dyDescent="0.25">
      <c r="A1379" t="s">
        <v>2958</v>
      </c>
      <c r="B1379" t="s">
        <v>125</v>
      </c>
      <c r="C1379" t="s">
        <v>2687</v>
      </c>
      <c r="D1379" t="s">
        <v>2959</v>
      </c>
      <c r="E1379" t="s">
        <v>20</v>
      </c>
      <c r="F1379" t="s">
        <v>21</v>
      </c>
    </row>
    <row r="1380" spans="1:6" x14ac:dyDescent="0.25">
      <c r="A1380" t="s">
        <v>2960</v>
      </c>
      <c r="B1380" t="s">
        <v>125</v>
      </c>
      <c r="C1380" t="s">
        <v>2961</v>
      </c>
      <c r="D1380" t="s">
        <v>2962</v>
      </c>
      <c r="E1380" t="s">
        <v>10</v>
      </c>
      <c r="F1380" t="s">
        <v>11</v>
      </c>
    </row>
    <row r="1381" spans="1:6" x14ac:dyDescent="0.25">
      <c r="A1381" t="s">
        <v>2963</v>
      </c>
      <c r="B1381" t="s">
        <v>125</v>
      </c>
      <c r="C1381" t="s">
        <v>1975</v>
      </c>
      <c r="D1381" t="s">
        <v>2964</v>
      </c>
      <c r="E1381" t="s">
        <v>10</v>
      </c>
      <c r="F1381" t="s">
        <v>11</v>
      </c>
    </row>
    <row r="1382" spans="1:6" x14ac:dyDescent="0.25">
      <c r="A1382" t="s">
        <v>2965</v>
      </c>
      <c r="B1382" t="s">
        <v>125</v>
      </c>
      <c r="C1382" t="s">
        <v>1205</v>
      </c>
      <c r="D1382" t="s">
        <v>2947</v>
      </c>
      <c r="E1382" t="s">
        <v>20</v>
      </c>
      <c r="F1382" t="s">
        <v>21</v>
      </c>
    </row>
    <row r="1383" spans="1:6" x14ac:dyDescent="0.25">
      <c r="A1383" t="s">
        <v>2966</v>
      </c>
      <c r="B1383" t="s">
        <v>125</v>
      </c>
      <c r="C1383" t="s">
        <v>2967</v>
      </c>
      <c r="E1383" t="s">
        <v>294</v>
      </c>
      <c r="F1383" t="s">
        <v>21</v>
      </c>
    </row>
    <row r="1384" spans="1:6" x14ac:dyDescent="0.25">
      <c r="A1384" t="s">
        <v>2968</v>
      </c>
      <c r="B1384" t="s">
        <v>125</v>
      </c>
      <c r="C1384" t="s">
        <v>2969</v>
      </c>
      <c r="D1384" t="s">
        <v>2970</v>
      </c>
      <c r="E1384" t="s">
        <v>210</v>
      </c>
      <c r="F1384" t="s">
        <v>50</v>
      </c>
    </row>
    <row r="1385" spans="1:6" x14ac:dyDescent="0.25">
      <c r="A1385" t="s">
        <v>2971</v>
      </c>
      <c r="B1385" t="s">
        <v>125</v>
      </c>
      <c r="C1385" t="s">
        <v>2972</v>
      </c>
      <c r="D1385" t="s">
        <v>1074</v>
      </c>
      <c r="E1385" t="s">
        <v>360</v>
      </c>
      <c r="F1385" t="s">
        <v>50</v>
      </c>
    </row>
    <row r="1386" spans="1:6" x14ac:dyDescent="0.25">
      <c r="A1386" t="s">
        <v>2973</v>
      </c>
      <c r="B1386" t="s">
        <v>125</v>
      </c>
      <c r="C1386" t="s">
        <v>1478</v>
      </c>
      <c r="D1386" t="s">
        <v>2974</v>
      </c>
      <c r="E1386" t="s">
        <v>525</v>
      </c>
      <c r="F1386" t="s">
        <v>526</v>
      </c>
    </row>
    <row r="1387" spans="1:6" x14ac:dyDescent="0.25">
      <c r="A1387" t="s">
        <v>2975</v>
      </c>
      <c r="B1387" t="s">
        <v>125</v>
      </c>
      <c r="C1387" t="s">
        <v>1440</v>
      </c>
      <c r="D1387" t="s">
        <v>2976</v>
      </c>
      <c r="E1387" t="s">
        <v>384</v>
      </c>
      <c r="F1387" t="s">
        <v>21</v>
      </c>
    </row>
    <row r="1388" spans="1:6" x14ac:dyDescent="0.25">
      <c r="A1388" t="s">
        <v>2977</v>
      </c>
      <c r="B1388" t="s">
        <v>125</v>
      </c>
      <c r="C1388" t="s">
        <v>1615</v>
      </c>
      <c r="D1388" t="s">
        <v>2978</v>
      </c>
      <c r="E1388" t="s">
        <v>10</v>
      </c>
      <c r="F1388" t="s">
        <v>11</v>
      </c>
    </row>
    <row r="1389" spans="1:6" x14ac:dyDescent="0.25">
      <c r="A1389" t="s">
        <v>2979</v>
      </c>
      <c r="B1389" t="s">
        <v>125</v>
      </c>
      <c r="C1389" t="s">
        <v>2335</v>
      </c>
      <c r="D1389" t="s">
        <v>2980</v>
      </c>
      <c r="E1389" t="s">
        <v>787</v>
      </c>
      <c r="F1389" t="s">
        <v>50</v>
      </c>
    </row>
    <row r="1390" spans="1:6" x14ac:dyDescent="0.25">
      <c r="A1390" t="s">
        <v>2981</v>
      </c>
      <c r="B1390" t="s">
        <v>125</v>
      </c>
      <c r="C1390" t="s">
        <v>623</v>
      </c>
      <c r="D1390" t="s">
        <v>2982</v>
      </c>
      <c r="E1390" t="s">
        <v>10</v>
      </c>
      <c r="F1390" t="s">
        <v>11</v>
      </c>
    </row>
    <row r="1391" spans="1:6" x14ac:dyDescent="0.25">
      <c r="A1391" t="s">
        <v>2983</v>
      </c>
      <c r="B1391" t="s">
        <v>125</v>
      </c>
      <c r="C1391" t="s">
        <v>1157</v>
      </c>
      <c r="D1391" t="s">
        <v>2984</v>
      </c>
      <c r="E1391" t="s">
        <v>10</v>
      </c>
      <c r="F1391" t="s">
        <v>11</v>
      </c>
    </row>
    <row r="1392" spans="1:6" x14ac:dyDescent="0.25">
      <c r="A1392" t="s">
        <v>2985</v>
      </c>
      <c r="B1392" t="s">
        <v>125</v>
      </c>
      <c r="C1392" t="s">
        <v>393</v>
      </c>
      <c r="E1392" t="s">
        <v>10</v>
      </c>
      <c r="F1392" t="s">
        <v>11</v>
      </c>
    </row>
    <row r="1393" spans="1:6" x14ac:dyDescent="0.25">
      <c r="A1393" t="s">
        <v>2986</v>
      </c>
      <c r="B1393" t="s">
        <v>125</v>
      </c>
      <c r="C1393" t="s">
        <v>1291</v>
      </c>
      <c r="D1393" t="s">
        <v>2021</v>
      </c>
      <c r="E1393" t="s">
        <v>10</v>
      </c>
      <c r="F1393" t="s">
        <v>11</v>
      </c>
    </row>
    <row r="1394" spans="1:6" x14ac:dyDescent="0.25">
      <c r="A1394" t="s">
        <v>2987</v>
      </c>
      <c r="B1394" t="s">
        <v>125</v>
      </c>
      <c r="C1394" t="s">
        <v>1817</v>
      </c>
      <c r="D1394" t="s">
        <v>2988</v>
      </c>
      <c r="E1394" t="s">
        <v>187</v>
      </c>
      <c r="F1394" t="s">
        <v>50</v>
      </c>
    </row>
    <row r="1395" spans="1:6" x14ac:dyDescent="0.25">
      <c r="A1395" t="s">
        <v>2989</v>
      </c>
      <c r="B1395" t="s">
        <v>125</v>
      </c>
      <c r="C1395" t="s">
        <v>1609</v>
      </c>
      <c r="D1395" t="s">
        <v>2990</v>
      </c>
      <c r="E1395" t="s">
        <v>10</v>
      </c>
      <c r="F1395" t="s">
        <v>11</v>
      </c>
    </row>
    <row r="1396" spans="1:6" x14ac:dyDescent="0.25">
      <c r="A1396" t="s">
        <v>2991</v>
      </c>
      <c r="B1396" t="s">
        <v>125</v>
      </c>
      <c r="C1396" t="s">
        <v>1498</v>
      </c>
      <c r="D1396" t="s">
        <v>2992</v>
      </c>
      <c r="E1396" t="s">
        <v>10</v>
      </c>
      <c r="F1396" t="s">
        <v>11</v>
      </c>
    </row>
    <row r="1397" spans="1:6" x14ac:dyDescent="0.25">
      <c r="A1397" t="s">
        <v>2993</v>
      </c>
      <c r="B1397" t="s">
        <v>125</v>
      </c>
      <c r="C1397" t="s">
        <v>2920</v>
      </c>
      <c r="D1397" t="s">
        <v>2994</v>
      </c>
      <c r="E1397" t="s">
        <v>10</v>
      </c>
      <c r="F1397" t="s">
        <v>11</v>
      </c>
    </row>
    <row r="1398" spans="1:6" x14ac:dyDescent="0.25">
      <c r="A1398" t="s">
        <v>2995</v>
      </c>
      <c r="B1398" t="s">
        <v>125</v>
      </c>
      <c r="C1398" t="s">
        <v>2654</v>
      </c>
      <c r="D1398" t="s">
        <v>2996</v>
      </c>
      <c r="E1398" t="s">
        <v>20</v>
      </c>
      <c r="F1398" t="s">
        <v>21</v>
      </c>
    </row>
    <row r="1399" spans="1:6" x14ac:dyDescent="0.25">
      <c r="A1399" t="s">
        <v>2997</v>
      </c>
      <c r="B1399" t="s">
        <v>125</v>
      </c>
      <c r="C1399" t="s">
        <v>1545</v>
      </c>
      <c r="D1399" t="s">
        <v>752</v>
      </c>
      <c r="E1399" t="s">
        <v>20</v>
      </c>
      <c r="F1399" t="s">
        <v>21</v>
      </c>
    </row>
    <row r="1400" spans="1:6" x14ac:dyDescent="0.25">
      <c r="A1400" t="s">
        <v>2998</v>
      </c>
      <c r="B1400" t="s">
        <v>125</v>
      </c>
      <c r="C1400" t="s">
        <v>2999</v>
      </c>
      <c r="D1400" t="s">
        <v>3000</v>
      </c>
      <c r="E1400" t="s">
        <v>10</v>
      </c>
      <c r="F1400" t="s">
        <v>11</v>
      </c>
    </row>
    <row r="1401" spans="1:6" x14ac:dyDescent="0.25">
      <c r="A1401" t="s">
        <v>3001</v>
      </c>
      <c r="B1401" t="s">
        <v>125</v>
      </c>
      <c r="C1401" t="s">
        <v>2256</v>
      </c>
      <c r="D1401" t="s">
        <v>2901</v>
      </c>
      <c r="E1401" t="s">
        <v>10</v>
      </c>
      <c r="F1401" t="s">
        <v>11</v>
      </c>
    </row>
    <row r="1402" spans="1:6" x14ac:dyDescent="0.25">
      <c r="A1402" t="s">
        <v>3002</v>
      </c>
      <c r="B1402" t="s">
        <v>125</v>
      </c>
      <c r="C1402" t="s">
        <v>2832</v>
      </c>
      <c r="D1402" t="s">
        <v>1555</v>
      </c>
      <c r="E1402" t="s">
        <v>10</v>
      </c>
      <c r="F1402" t="s">
        <v>11</v>
      </c>
    </row>
    <row r="1403" spans="1:6" x14ac:dyDescent="0.25">
      <c r="A1403" t="s">
        <v>3003</v>
      </c>
      <c r="B1403" t="s">
        <v>125</v>
      </c>
      <c r="C1403" t="s">
        <v>3004</v>
      </c>
      <c r="D1403" t="s">
        <v>3005</v>
      </c>
      <c r="E1403" t="s">
        <v>10</v>
      </c>
      <c r="F1403" t="s">
        <v>11</v>
      </c>
    </row>
    <row r="1404" spans="1:6" x14ac:dyDescent="0.25">
      <c r="A1404" t="s">
        <v>3006</v>
      </c>
      <c r="B1404" t="s">
        <v>125</v>
      </c>
      <c r="C1404" t="s">
        <v>3007</v>
      </c>
      <c r="D1404" t="s">
        <v>559</v>
      </c>
      <c r="E1404" t="s">
        <v>20</v>
      </c>
      <c r="F1404" t="s">
        <v>21</v>
      </c>
    </row>
    <row r="1405" spans="1:6" x14ac:dyDescent="0.25">
      <c r="A1405" t="s">
        <v>3008</v>
      </c>
      <c r="B1405" t="s">
        <v>125</v>
      </c>
      <c r="C1405" t="s">
        <v>1875</v>
      </c>
      <c r="D1405" t="s">
        <v>3009</v>
      </c>
      <c r="E1405" t="s">
        <v>10</v>
      </c>
      <c r="F1405" t="s">
        <v>11</v>
      </c>
    </row>
    <row r="1406" spans="1:6" x14ac:dyDescent="0.25">
      <c r="A1406" t="s">
        <v>3010</v>
      </c>
      <c r="B1406" t="s">
        <v>125</v>
      </c>
      <c r="C1406" t="s">
        <v>1286</v>
      </c>
      <c r="D1406" t="s">
        <v>1958</v>
      </c>
      <c r="E1406" t="s">
        <v>10</v>
      </c>
      <c r="F1406" t="s">
        <v>11</v>
      </c>
    </row>
    <row r="1407" spans="1:6" x14ac:dyDescent="0.25">
      <c r="A1407" t="s">
        <v>3011</v>
      </c>
      <c r="B1407" t="s">
        <v>125</v>
      </c>
      <c r="C1407" t="s">
        <v>2705</v>
      </c>
      <c r="D1407" t="s">
        <v>2605</v>
      </c>
      <c r="E1407" t="s">
        <v>10</v>
      </c>
      <c r="F1407" t="s">
        <v>11</v>
      </c>
    </row>
    <row r="1408" spans="1:6" x14ac:dyDescent="0.25">
      <c r="A1408" t="s">
        <v>3012</v>
      </c>
      <c r="B1408" t="s">
        <v>125</v>
      </c>
      <c r="C1408" t="s">
        <v>125</v>
      </c>
      <c r="D1408" t="s">
        <v>3013</v>
      </c>
      <c r="E1408" t="s">
        <v>10</v>
      </c>
      <c r="F1408" t="s">
        <v>11</v>
      </c>
    </row>
    <row r="1409" spans="1:6" x14ac:dyDescent="0.25">
      <c r="A1409" t="s">
        <v>3014</v>
      </c>
      <c r="B1409" t="s">
        <v>125</v>
      </c>
      <c r="C1409" t="s">
        <v>1615</v>
      </c>
      <c r="D1409" t="s">
        <v>3015</v>
      </c>
      <c r="E1409" t="s">
        <v>20</v>
      </c>
      <c r="F1409" t="s">
        <v>21</v>
      </c>
    </row>
    <row r="1410" spans="1:6" x14ac:dyDescent="0.25">
      <c r="A1410" t="s">
        <v>3016</v>
      </c>
      <c r="B1410" t="s">
        <v>125</v>
      </c>
      <c r="C1410" t="s">
        <v>125</v>
      </c>
      <c r="D1410" t="s">
        <v>3017</v>
      </c>
      <c r="E1410" t="s">
        <v>10</v>
      </c>
      <c r="F1410" t="s">
        <v>11</v>
      </c>
    </row>
    <row r="1411" spans="1:6" x14ac:dyDescent="0.25">
      <c r="A1411" t="s">
        <v>3018</v>
      </c>
      <c r="B1411" t="s">
        <v>125</v>
      </c>
      <c r="C1411" t="s">
        <v>3019</v>
      </c>
      <c r="D1411" t="s">
        <v>3020</v>
      </c>
      <c r="E1411" t="s">
        <v>10</v>
      </c>
      <c r="F1411" t="s">
        <v>11</v>
      </c>
    </row>
    <row r="1412" spans="1:6" x14ac:dyDescent="0.25">
      <c r="A1412" t="s">
        <v>3021</v>
      </c>
      <c r="B1412" t="s">
        <v>125</v>
      </c>
      <c r="C1412" t="s">
        <v>125</v>
      </c>
      <c r="D1412" t="s">
        <v>3022</v>
      </c>
      <c r="E1412" t="s">
        <v>10</v>
      </c>
      <c r="F1412" t="s">
        <v>11</v>
      </c>
    </row>
    <row r="1413" spans="1:6" x14ac:dyDescent="0.25">
      <c r="A1413" t="s">
        <v>3023</v>
      </c>
      <c r="B1413" t="s">
        <v>125</v>
      </c>
      <c r="C1413" t="s">
        <v>1609</v>
      </c>
      <c r="D1413" t="s">
        <v>3024</v>
      </c>
      <c r="E1413" t="s">
        <v>10</v>
      </c>
      <c r="F1413" t="s">
        <v>11</v>
      </c>
    </row>
    <row r="1414" spans="1:6" x14ac:dyDescent="0.25">
      <c r="A1414" t="s">
        <v>3025</v>
      </c>
      <c r="B1414" t="s">
        <v>125</v>
      </c>
      <c r="C1414" t="s">
        <v>1311</v>
      </c>
      <c r="D1414" t="s">
        <v>3026</v>
      </c>
      <c r="E1414" t="s">
        <v>1488</v>
      </c>
      <c r="F1414" t="s">
        <v>21</v>
      </c>
    </row>
    <row r="1415" spans="1:6" x14ac:dyDescent="0.25">
      <c r="A1415" t="s">
        <v>3027</v>
      </c>
      <c r="B1415" t="s">
        <v>125</v>
      </c>
      <c r="C1415" t="s">
        <v>2218</v>
      </c>
      <c r="D1415" t="s">
        <v>341</v>
      </c>
      <c r="E1415" t="s">
        <v>222</v>
      </c>
      <c r="F1415" t="s">
        <v>50</v>
      </c>
    </row>
    <row r="1416" spans="1:6" x14ac:dyDescent="0.25">
      <c r="A1416" t="s">
        <v>3028</v>
      </c>
      <c r="B1416" t="s">
        <v>125</v>
      </c>
      <c r="C1416" t="s">
        <v>2012</v>
      </c>
      <c r="D1416" t="s">
        <v>3029</v>
      </c>
      <c r="E1416" t="s">
        <v>49</v>
      </c>
      <c r="F1416" t="s">
        <v>50</v>
      </c>
    </row>
    <row r="1417" spans="1:6" x14ac:dyDescent="0.25">
      <c r="A1417" t="s">
        <v>3030</v>
      </c>
      <c r="B1417" t="s">
        <v>125</v>
      </c>
      <c r="C1417" t="s">
        <v>3031</v>
      </c>
      <c r="D1417" t="s">
        <v>2104</v>
      </c>
      <c r="E1417" t="s">
        <v>365</v>
      </c>
      <c r="F1417" t="s">
        <v>11</v>
      </c>
    </row>
    <row r="1418" spans="1:6" x14ac:dyDescent="0.25">
      <c r="A1418" t="s">
        <v>3032</v>
      </c>
      <c r="B1418" t="s">
        <v>125</v>
      </c>
      <c r="C1418" t="s">
        <v>558</v>
      </c>
      <c r="D1418" t="s">
        <v>254</v>
      </c>
      <c r="E1418" t="s">
        <v>10</v>
      </c>
      <c r="F1418" t="s">
        <v>11</v>
      </c>
    </row>
    <row r="1419" spans="1:6" x14ac:dyDescent="0.25">
      <c r="A1419" t="s">
        <v>3033</v>
      </c>
      <c r="B1419" t="s">
        <v>125</v>
      </c>
      <c r="C1419" t="s">
        <v>1991</v>
      </c>
      <c r="D1419" t="s">
        <v>3034</v>
      </c>
      <c r="E1419" t="s">
        <v>384</v>
      </c>
      <c r="F1419" t="s">
        <v>21</v>
      </c>
    </row>
    <row r="1420" spans="1:6" x14ac:dyDescent="0.25">
      <c r="A1420" t="s">
        <v>3035</v>
      </c>
      <c r="B1420" t="s">
        <v>125</v>
      </c>
      <c r="C1420" t="s">
        <v>2537</v>
      </c>
      <c r="D1420" t="s">
        <v>3036</v>
      </c>
      <c r="E1420" t="s">
        <v>3037</v>
      </c>
      <c r="F1420" t="s">
        <v>109</v>
      </c>
    </row>
    <row r="1421" spans="1:6" x14ac:dyDescent="0.25">
      <c r="A1421" t="s">
        <v>3038</v>
      </c>
      <c r="B1421" t="s">
        <v>125</v>
      </c>
      <c r="C1421" t="s">
        <v>1537</v>
      </c>
      <c r="D1421" t="s">
        <v>3039</v>
      </c>
      <c r="E1421" t="s">
        <v>10</v>
      </c>
      <c r="F1421" t="s">
        <v>11</v>
      </c>
    </row>
    <row r="1422" spans="1:6" x14ac:dyDescent="0.25">
      <c r="A1422" t="s">
        <v>3040</v>
      </c>
      <c r="B1422" t="s">
        <v>125</v>
      </c>
      <c r="C1422" t="s">
        <v>2220</v>
      </c>
      <c r="D1422" t="s">
        <v>832</v>
      </c>
      <c r="E1422" t="s">
        <v>20</v>
      </c>
      <c r="F1422" t="s">
        <v>21</v>
      </c>
    </row>
    <row r="1423" spans="1:6" x14ac:dyDescent="0.25">
      <c r="A1423" t="s">
        <v>3041</v>
      </c>
      <c r="B1423" t="s">
        <v>125</v>
      </c>
      <c r="C1423" t="s">
        <v>936</v>
      </c>
      <c r="D1423" t="s">
        <v>15</v>
      </c>
    </row>
    <row r="1424" spans="1:6" x14ac:dyDescent="0.25">
      <c r="A1424" t="s">
        <v>3042</v>
      </c>
      <c r="B1424" t="s">
        <v>125</v>
      </c>
      <c r="C1424" t="s">
        <v>1440</v>
      </c>
      <c r="D1424" t="s">
        <v>3043</v>
      </c>
      <c r="E1424" t="s">
        <v>20</v>
      </c>
      <c r="F1424" t="s">
        <v>21</v>
      </c>
    </row>
    <row r="1425" spans="1:6" x14ac:dyDescent="0.25">
      <c r="A1425" t="s">
        <v>3044</v>
      </c>
      <c r="B1425" t="s">
        <v>125</v>
      </c>
      <c r="C1425" t="s">
        <v>487</v>
      </c>
      <c r="D1425" t="s">
        <v>3045</v>
      </c>
      <c r="E1425" t="s">
        <v>10</v>
      </c>
      <c r="F1425" t="s">
        <v>11</v>
      </c>
    </row>
    <row r="1426" spans="1:6" x14ac:dyDescent="0.25">
      <c r="A1426" t="s">
        <v>3046</v>
      </c>
      <c r="B1426" t="s">
        <v>125</v>
      </c>
      <c r="C1426" t="s">
        <v>1566</v>
      </c>
      <c r="D1426" t="s">
        <v>3047</v>
      </c>
      <c r="E1426" t="s">
        <v>230</v>
      </c>
      <c r="F1426" t="s">
        <v>50</v>
      </c>
    </row>
    <row r="1427" spans="1:6" x14ac:dyDescent="0.25">
      <c r="A1427" t="s">
        <v>3048</v>
      </c>
      <c r="B1427" t="s">
        <v>125</v>
      </c>
      <c r="C1427" t="s">
        <v>1762</v>
      </c>
      <c r="D1427" t="s">
        <v>3049</v>
      </c>
      <c r="E1427" t="s">
        <v>1172</v>
      </c>
      <c r="F1427" t="s">
        <v>21</v>
      </c>
    </row>
    <row r="1428" spans="1:6" x14ac:dyDescent="0.25">
      <c r="A1428" t="s">
        <v>3050</v>
      </c>
      <c r="B1428" t="s">
        <v>125</v>
      </c>
      <c r="C1428" t="s">
        <v>1185</v>
      </c>
      <c r="D1428" t="s">
        <v>3051</v>
      </c>
      <c r="E1428" t="s">
        <v>10</v>
      </c>
      <c r="F1428" t="s">
        <v>11</v>
      </c>
    </row>
    <row r="1429" spans="1:6" x14ac:dyDescent="0.25">
      <c r="A1429" t="s">
        <v>3052</v>
      </c>
      <c r="B1429" t="s">
        <v>125</v>
      </c>
      <c r="C1429" t="s">
        <v>1898</v>
      </c>
      <c r="D1429" t="s">
        <v>177</v>
      </c>
      <c r="E1429" t="s">
        <v>49</v>
      </c>
      <c r="F1429" t="s">
        <v>50</v>
      </c>
    </row>
    <row r="1430" spans="1:6" x14ac:dyDescent="0.25">
      <c r="A1430" t="s">
        <v>3053</v>
      </c>
      <c r="B1430" t="s">
        <v>125</v>
      </c>
      <c r="C1430" t="s">
        <v>2446</v>
      </c>
      <c r="D1430" t="s">
        <v>987</v>
      </c>
      <c r="E1430" t="s">
        <v>652</v>
      </c>
      <c r="F1430" t="s">
        <v>50</v>
      </c>
    </row>
    <row r="1431" spans="1:6" x14ac:dyDescent="0.25">
      <c r="A1431" t="s">
        <v>3054</v>
      </c>
      <c r="B1431" t="s">
        <v>125</v>
      </c>
      <c r="C1431" t="s">
        <v>2832</v>
      </c>
      <c r="D1431" t="s">
        <v>3055</v>
      </c>
      <c r="E1431" t="s">
        <v>10</v>
      </c>
      <c r="F1431" t="s">
        <v>11</v>
      </c>
    </row>
    <row r="1432" spans="1:6" x14ac:dyDescent="0.25">
      <c r="A1432" t="s">
        <v>3056</v>
      </c>
      <c r="B1432" t="s">
        <v>125</v>
      </c>
      <c r="C1432" t="s">
        <v>891</v>
      </c>
      <c r="D1432" t="s">
        <v>3057</v>
      </c>
      <c r="E1432" t="s">
        <v>20</v>
      </c>
      <c r="F1432" t="s">
        <v>21</v>
      </c>
    </row>
    <row r="1433" spans="1:6" x14ac:dyDescent="0.25">
      <c r="A1433" t="s">
        <v>3058</v>
      </c>
      <c r="B1433" t="s">
        <v>125</v>
      </c>
      <c r="C1433" s="1">
        <v>0</v>
      </c>
      <c r="D1433" t="s">
        <v>517</v>
      </c>
      <c r="E1433" t="s">
        <v>10</v>
      </c>
      <c r="F1433" t="s">
        <v>11</v>
      </c>
    </row>
    <row r="1434" spans="1:6" x14ac:dyDescent="0.25">
      <c r="A1434" t="s">
        <v>3059</v>
      </c>
      <c r="B1434" t="s">
        <v>125</v>
      </c>
      <c r="C1434" t="s">
        <v>2961</v>
      </c>
      <c r="D1434" t="s">
        <v>3060</v>
      </c>
      <c r="E1434" t="s">
        <v>10</v>
      </c>
      <c r="F1434" t="s">
        <v>11</v>
      </c>
    </row>
    <row r="1435" spans="1:6" x14ac:dyDescent="0.25">
      <c r="A1435" t="s">
        <v>3061</v>
      </c>
      <c r="B1435" t="s">
        <v>125</v>
      </c>
      <c r="C1435" t="s">
        <v>1875</v>
      </c>
      <c r="D1435" t="s">
        <v>413</v>
      </c>
      <c r="E1435" t="s">
        <v>10</v>
      </c>
      <c r="F1435" t="s">
        <v>11</v>
      </c>
    </row>
    <row r="1436" spans="1:6" x14ac:dyDescent="0.25">
      <c r="A1436" t="s">
        <v>3062</v>
      </c>
      <c r="B1436" t="s">
        <v>125</v>
      </c>
      <c r="C1436" t="s">
        <v>1400</v>
      </c>
      <c r="D1436" t="s">
        <v>3063</v>
      </c>
      <c r="E1436" t="s">
        <v>10</v>
      </c>
      <c r="F1436" t="s">
        <v>11</v>
      </c>
    </row>
    <row r="1437" spans="1:6" x14ac:dyDescent="0.25">
      <c r="A1437" t="s">
        <v>3064</v>
      </c>
      <c r="B1437" t="s">
        <v>125</v>
      </c>
      <c r="C1437" t="s">
        <v>3065</v>
      </c>
      <c r="D1437" t="s">
        <v>137</v>
      </c>
      <c r="E1437" t="s">
        <v>10</v>
      </c>
      <c r="F1437" t="s">
        <v>11</v>
      </c>
    </row>
    <row r="1438" spans="1:6" x14ac:dyDescent="0.25">
      <c r="A1438" t="s">
        <v>3066</v>
      </c>
      <c r="B1438" t="s">
        <v>125</v>
      </c>
      <c r="C1438" t="s">
        <v>2841</v>
      </c>
      <c r="D1438" t="s">
        <v>3067</v>
      </c>
      <c r="E1438" t="s">
        <v>384</v>
      </c>
      <c r="F1438" t="s">
        <v>21</v>
      </c>
    </row>
    <row r="1439" spans="1:6" x14ac:dyDescent="0.25">
      <c r="A1439" t="s">
        <v>3068</v>
      </c>
      <c r="B1439" t="s">
        <v>125</v>
      </c>
      <c r="C1439" t="s">
        <v>2643</v>
      </c>
      <c r="D1439" t="s">
        <v>3069</v>
      </c>
      <c r="E1439" t="s">
        <v>3070</v>
      </c>
      <c r="F1439" t="s">
        <v>50</v>
      </c>
    </row>
    <row r="1440" spans="1:6" x14ac:dyDescent="0.25">
      <c r="A1440" t="s">
        <v>3071</v>
      </c>
      <c r="B1440" t="s">
        <v>125</v>
      </c>
      <c r="C1440" t="s">
        <v>2118</v>
      </c>
      <c r="D1440" t="s">
        <v>3072</v>
      </c>
      <c r="E1440" t="s">
        <v>10</v>
      </c>
      <c r="F1440" t="s">
        <v>11</v>
      </c>
    </row>
    <row r="1441" spans="1:6" x14ac:dyDescent="0.25">
      <c r="A1441" t="s">
        <v>3073</v>
      </c>
      <c r="B1441" t="s">
        <v>125</v>
      </c>
      <c r="C1441" t="s">
        <v>1369</v>
      </c>
      <c r="D1441" t="s">
        <v>3074</v>
      </c>
      <c r="E1441" t="s">
        <v>10</v>
      </c>
      <c r="F1441" t="s">
        <v>11</v>
      </c>
    </row>
    <row r="1442" spans="1:6" x14ac:dyDescent="0.25">
      <c r="A1442" t="s">
        <v>3075</v>
      </c>
      <c r="B1442" t="s">
        <v>125</v>
      </c>
      <c r="C1442" t="s">
        <v>678</v>
      </c>
      <c r="D1442" t="s">
        <v>3076</v>
      </c>
      <c r="E1442" t="s">
        <v>170</v>
      </c>
      <c r="F1442" t="s">
        <v>50</v>
      </c>
    </row>
    <row r="1443" spans="1:6" x14ac:dyDescent="0.25">
      <c r="A1443" t="s">
        <v>3077</v>
      </c>
      <c r="B1443" t="s">
        <v>125</v>
      </c>
      <c r="C1443" t="s">
        <v>2155</v>
      </c>
      <c r="D1443" t="s">
        <v>292</v>
      </c>
      <c r="E1443" t="s">
        <v>10</v>
      </c>
      <c r="F1443" t="s">
        <v>11</v>
      </c>
    </row>
    <row r="1444" spans="1:6" x14ac:dyDescent="0.25">
      <c r="A1444" t="s">
        <v>3078</v>
      </c>
      <c r="B1444" t="s">
        <v>125</v>
      </c>
      <c r="C1444" t="s">
        <v>1456</v>
      </c>
      <c r="D1444" t="s">
        <v>137</v>
      </c>
      <c r="E1444" t="s">
        <v>187</v>
      </c>
      <c r="F1444" t="s">
        <v>50</v>
      </c>
    </row>
    <row r="1445" spans="1:6" x14ac:dyDescent="0.25">
      <c r="A1445" t="s">
        <v>3079</v>
      </c>
      <c r="B1445" t="s">
        <v>125</v>
      </c>
      <c r="C1445" t="s">
        <v>1227</v>
      </c>
      <c r="D1445" t="s">
        <v>3080</v>
      </c>
      <c r="E1445" t="s">
        <v>10</v>
      </c>
      <c r="F1445" t="s">
        <v>11</v>
      </c>
    </row>
    <row r="1446" spans="1:6" x14ac:dyDescent="0.25">
      <c r="A1446" t="s">
        <v>3081</v>
      </c>
      <c r="B1446" t="s">
        <v>125</v>
      </c>
      <c r="C1446" t="s">
        <v>1286</v>
      </c>
      <c r="D1446" t="s">
        <v>3082</v>
      </c>
      <c r="E1446" t="s">
        <v>1279</v>
      </c>
      <c r="F1446" t="s">
        <v>11</v>
      </c>
    </row>
    <row r="1447" spans="1:6" x14ac:dyDescent="0.25">
      <c r="A1447" t="s">
        <v>3083</v>
      </c>
      <c r="B1447" t="s">
        <v>125</v>
      </c>
      <c r="C1447" t="s">
        <v>3084</v>
      </c>
      <c r="D1447" t="s">
        <v>3085</v>
      </c>
      <c r="E1447" t="s">
        <v>20</v>
      </c>
      <c r="F1447" t="s">
        <v>21</v>
      </c>
    </row>
    <row r="1448" spans="1:6" x14ac:dyDescent="0.25">
      <c r="A1448" t="s">
        <v>3086</v>
      </c>
      <c r="B1448" t="s">
        <v>125</v>
      </c>
      <c r="C1448" t="s">
        <v>3087</v>
      </c>
      <c r="D1448" t="s">
        <v>3088</v>
      </c>
      <c r="E1448" t="s">
        <v>10</v>
      </c>
      <c r="F1448" t="s">
        <v>11</v>
      </c>
    </row>
    <row r="1449" spans="1:6" x14ac:dyDescent="0.25">
      <c r="A1449" t="s">
        <v>3089</v>
      </c>
      <c r="B1449" t="s">
        <v>125</v>
      </c>
      <c r="C1449" t="s">
        <v>81</v>
      </c>
      <c r="D1449" t="s">
        <v>3090</v>
      </c>
      <c r="E1449" t="s">
        <v>210</v>
      </c>
      <c r="F1449" t="s">
        <v>50</v>
      </c>
    </row>
    <row r="1450" spans="1:6" x14ac:dyDescent="0.25">
      <c r="A1450" t="s">
        <v>3091</v>
      </c>
      <c r="B1450" t="s">
        <v>125</v>
      </c>
      <c r="C1450" t="s">
        <v>125</v>
      </c>
      <c r="D1450" t="s">
        <v>3092</v>
      </c>
      <c r="E1450" t="s">
        <v>187</v>
      </c>
      <c r="F1450" t="s">
        <v>50</v>
      </c>
    </row>
    <row r="1451" spans="1:6" x14ac:dyDescent="0.25">
      <c r="A1451" t="s">
        <v>3093</v>
      </c>
      <c r="B1451" t="s">
        <v>125</v>
      </c>
      <c r="C1451" t="s">
        <v>906</v>
      </c>
      <c r="D1451" t="s">
        <v>3094</v>
      </c>
      <c r="E1451" t="s">
        <v>10</v>
      </c>
      <c r="F1451" t="s">
        <v>11</v>
      </c>
    </row>
    <row r="1452" spans="1:6" x14ac:dyDescent="0.25">
      <c r="A1452" t="s">
        <v>3095</v>
      </c>
      <c r="B1452" t="s">
        <v>125</v>
      </c>
      <c r="C1452" t="s">
        <v>1104</v>
      </c>
      <c r="D1452" t="s">
        <v>3096</v>
      </c>
      <c r="E1452" t="s">
        <v>10</v>
      </c>
      <c r="F1452" t="s">
        <v>11</v>
      </c>
    </row>
    <row r="1453" spans="1:6" x14ac:dyDescent="0.25">
      <c r="A1453" t="s">
        <v>3097</v>
      </c>
      <c r="B1453" t="s">
        <v>125</v>
      </c>
      <c r="C1453" t="s">
        <v>3098</v>
      </c>
      <c r="D1453" t="s">
        <v>3099</v>
      </c>
      <c r="E1453" t="s">
        <v>10</v>
      </c>
      <c r="F1453" t="s">
        <v>11</v>
      </c>
    </row>
    <row r="1454" spans="1:6" x14ac:dyDescent="0.25">
      <c r="A1454" t="s">
        <v>3100</v>
      </c>
      <c r="B1454" t="s">
        <v>125</v>
      </c>
      <c r="C1454" s="1">
        <v>0</v>
      </c>
      <c r="D1454" t="s">
        <v>3101</v>
      </c>
      <c r="E1454" t="s">
        <v>20</v>
      </c>
      <c r="F1454" t="s">
        <v>21</v>
      </c>
    </row>
    <row r="1455" spans="1:6" x14ac:dyDescent="0.25">
      <c r="A1455" t="s">
        <v>3102</v>
      </c>
      <c r="B1455" t="s">
        <v>125</v>
      </c>
      <c r="C1455" t="s">
        <v>3103</v>
      </c>
      <c r="D1455" t="s">
        <v>3104</v>
      </c>
      <c r="E1455" t="s">
        <v>20</v>
      </c>
      <c r="F1455" t="s">
        <v>21</v>
      </c>
    </row>
    <row r="1456" spans="1:6" x14ac:dyDescent="0.25">
      <c r="A1456" t="s">
        <v>3105</v>
      </c>
      <c r="B1456" t="s">
        <v>125</v>
      </c>
      <c r="C1456" s="1">
        <v>0</v>
      </c>
      <c r="D1456" t="s">
        <v>3106</v>
      </c>
    </row>
    <row r="1457" spans="1:6" x14ac:dyDescent="0.25">
      <c r="A1457" t="s">
        <v>3107</v>
      </c>
      <c r="B1457" t="s">
        <v>125</v>
      </c>
      <c r="C1457" t="s">
        <v>715</v>
      </c>
      <c r="D1457" t="s">
        <v>3108</v>
      </c>
      <c r="E1457" t="s">
        <v>10</v>
      </c>
      <c r="F1457" t="s">
        <v>11</v>
      </c>
    </row>
    <row r="1458" spans="1:6" x14ac:dyDescent="0.25">
      <c r="A1458" t="s">
        <v>3109</v>
      </c>
      <c r="B1458" t="s">
        <v>125</v>
      </c>
      <c r="C1458" t="s">
        <v>2637</v>
      </c>
      <c r="D1458" t="s">
        <v>79</v>
      </c>
      <c r="E1458" t="s">
        <v>10</v>
      </c>
      <c r="F1458" t="s">
        <v>11</v>
      </c>
    </row>
    <row r="1459" spans="1:6" x14ac:dyDescent="0.25">
      <c r="A1459" t="s">
        <v>3110</v>
      </c>
      <c r="B1459" t="s">
        <v>125</v>
      </c>
      <c r="C1459" t="s">
        <v>3111</v>
      </c>
      <c r="D1459" t="s">
        <v>3112</v>
      </c>
      <c r="E1459" t="s">
        <v>275</v>
      </c>
      <c r="F1459" t="s">
        <v>21</v>
      </c>
    </row>
    <row r="1460" spans="1:6" x14ac:dyDescent="0.25">
      <c r="A1460" t="s">
        <v>3113</v>
      </c>
      <c r="B1460" t="s">
        <v>125</v>
      </c>
      <c r="C1460" t="s">
        <v>456</v>
      </c>
      <c r="D1460" t="s">
        <v>581</v>
      </c>
      <c r="E1460" t="s">
        <v>20</v>
      </c>
      <c r="F1460" t="s">
        <v>21</v>
      </c>
    </row>
    <row r="1461" spans="1:6" x14ac:dyDescent="0.25">
      <c r="A1461" t="s">
        <v>3114</v>
      </c>
      <c r="B1461" t="s">
        <v>125</v>
      </c>
      <c r="C1461" t="s">
        <v>1453</v>
      </c>
      <c r="D1461" t="s">
        <v>1030</v>
      </c>
      <c r="E1461" t="s">
        <v>1035</v>
      </c>
      <c r="F1461" t="s">
        <v>21</v>
      </c>
    </row>
    <row r="1462" spans="1:6" x14ac:dyDescent="0.25">
      <c r="A1462" t="s">
        <v>3115</v>
      </c>
      <c r="B1462" t="s">
        <v>125</v>
      </c>
      <c r="C1462" t="s">
        <v>715</v>
      </c>
      <c r="D1462" t="s">
        <v>1350</v>
      </c>
      <c r="E1462" t="s">
        <v>10</v>
      </c>
      <c r="F1462" t="s">
        <v>11</v>
      </c>
    </row>
    <row r="1463" spans="1:6" x14ac:dyDescent="0.25">
      <c r="A1463" t="s">
        <v>3116</v>
      </c>
      <c r="B1463" t="s">
        <v>125</v>
      </c>
      <c r="C1463" t="s">
        <v>47</v>
      </c>
      <c r="D1463" t="s">
        <v>3117</v>
      </c>
      <c r="E1463" t="s">
        <v>445</v>
      </c>
      <c r="F1463" t="s">
        <v>50</v>
      </c>
    </row>
    <row r="1464" spans="1:6" x14ac:dyDescent="0.25">
      <c r="A1464" t="s">
        <v>3118</v>
      </c>
      <c r="B1464" t="s">
        <v>125</v>
      </c>
      <c r="C1464" t="s">
        <v>2081</v>
      </c>
      <c r="D1464" t="s">
        <v>3119</v>
      </c>
      <c r="E1464" t="s">
        <v>44</v>
      </c>
      <c r="F1464" t="s">
        <v>21</v>
      </c>
    </row>
    <row r="1465" spans="1:6" x14ac:dyDescent="0.25">
      <c r="A1465" t="s">
        <v>3120</v>
      </c>
      <c r="B1465" t="s">
        <v>125</v>
      </c>
      <c r="C1465" t="s">
        <v>1875</v>
      </c>
      <c r="D1465" t="s">
        <v>1507</v>
      </c>
      <c r="E1465" t="s">
        <v>445</v>
      </c>
      <c r="F1465" t="s">
        <v>50</v>
      </c>
    </row>
    <row r="1466" spans="1:6" x14ac:dyDescent="0.25">
      <c r="A1466" t="s">
        <v>3121</v>
      </c>
      <c r="B1466" t="s">
        <v>125</v>
      </c>
      <c r="C1466" t="s">
        <v>3122</v>
      </c>
      <c r="D1466" t="s">
        <v>3123</v>
      </c>
      <c r="E1466" t="s">
        <v>20</v>
      </c>
      <c r="F1466" t="s">
        <v>21</v>
      </c>
    </row>
    <row r="1467" spans="1:6" x14ac:dyDescent="0.25">
      <c r="A1467" t="s">
        <v>3124</v>
      </c>
      <c r="B1467" t="s">
        <v>125</v>
      </c>
      <c r="C1467" t="s">
        <v>2012</v>
      </c>
      <c r="D1467" t="s">
        <v>469</v>
      </c>
      <c r="E1467" t="s">
        <v>10</v>
      </c>
      <c r="F1467" t="s">
        <v>11</v>
      </c>
    </row>
    <row r="1468" spans="1:6" x14ac:dyDescent="0.25">
      <c r="A1468" t="s">
        <v>3125</v>
      </c>
      <c r="B1468" t="s">
        <v>125</v>
      </c>
      <c r="C1468" t="s">
        <v>3126</v>
      </c>
      <c r="D1468" t="s">
        <v>1873</v>
      </c>
      <c r="E1468" t="s">
        <v>10</v>
      </c>
      <c r="F1468" t="s">
        <v>11</v>
      </c>
    </row>
    <row r="1469" spans="1:6" x14ac:dyDescent="0.25">
      <c r="A1469" t="s">
        <v>3127</v>
      </c>
      <c r="B1469" t="s">
        <v>125</v>
      </c>
      <c r="C1469" t="s">
        <v>3128</v>
      </c>
      <c r="E1469" t="s">
        <v>49</v>
      </c>
      <c r="F1469" t="s">
        <v>50</v>
      </c>
    </row>
    <row r="1470" spans="1:6" x14ac:dyDescent="0.25">
      <c r="A1470" t="s">
        <v>3129</v>
      </c>
      <c r="B1470" t="s">
        <v>125</v>
      </c>
      <c r="C1470" t="s">
        <v>2694</v>
      </c>
      <c r="D1470" t="s">
        <v>3130</v>
      </c>
      <c r="E1470" t="s">
        <v>10</v>
      </c>
      <c r="F1470" t="s">
        <v>11</v>
      </c>
    </row>
    <row r="1471" spans="1:6" x14ac:dyDescent="0.25">
      <c r="A1471" t="s">
        <v>3131</v>
      </c>
      <c r="B1471" t="s">
        <v>125</v>
      </c>
      <c r="C1471" t="s">
        <v>1311</v>
      </c>
      <c r="D1471" t="s">
        <v>177</v>
      </c>
      <c r="E1471" t="s">
        <v>554</v>
      </c>
      <c r="F1471" t="s">
        <v>526</v>
      </c>
    </row>
    <row r="1472" spans="1:6" x14ac:dyDescent="0.25">
      <c r="A1472" t="s">
        <v>3132</v>
      </c>
      <c r="B1472" t="s">
        <v>125</v>
      </c>
      <c r="C1472" t="s">
        <v>125</v>
      </c>
      <c r="D1472" t="s">
        <v>3133</v>
      </c>
      <c r="E1472" t="s">
        <v>10</v>
      </c>
      <c r="F1472" t="s">
        <v>11</v>
      </c>
    </row>
    <row r="1473" spans="1:6" x14ac:dyDescent="0.25">
      <c r="A1473" t="s">
        <v>3134</v>
      </c>
      <c r="B1473" t="s">
        <v>125</v>
      </c>
      <c r="C1473" t="s">
        <v>2495</v>
      </c>
      <c r="D1473" t="s">
        <v>3135</v>
      </c>
      <c r="E1473" t="s">
        <v>10</v>
      </c>
      <c r="F1473" t="s">
        <v>11</v>
      </c>
    </row>
    <row r="1474" spans="1:6" x14ac:dyDescent="0.25">
      <c r="A1474" t="s">
        <v>3136</v>
      </c>
      <c r="B1474" t="s">
        <v>125</v>
      </c>
      <c r="C1474" t="s">
        <v>47</v>
      </c>
      <c r="D1474" t="s">
        <v>3137</v>
      </c>
      <c r="E1474" t="s">
        <v>20</v>
      </c>
      <c r="F1474" t="s">
        <v>21</v>
      </c>
    </row>
    <row r="1475" spans="1:6" x14ac:dyDescent="0.25">
      <c r="A1475" t="s">
        <v>3138</v>
      </c>
      <c r="B1475" t="s">
        <v>125</v>
      </c>
      <c r="C1475" t="s">
        <v>3139</v>
      </c>
      <c r="D1475" t="s">
        <v>79</v>
      </c>
      <c r="E1475" t="s">
        <v>10</v>
      </c>
      <c r="F1475" t="s">
        <v>11</v>
      </c>
    </row>
    <row r="1476" spans="1:6" x14ac:dyDescent="0.25">
      <c r="A1476" t="s">
        <v>3140</v>
      </c>
      <c r="B1476" t="s">
        <v>125</v>
      </c>
      <c r="C1476" t="s">
        <v>610</v>
      </c>
      <c r="D1476" t="s">
        <v>3141</v>
      </c>
      <c r="E1476" t="s">
        <v>10</v>
      </c>
      <c r="F1476" t="s">
        <v>11</v>
      </c>
    </row>
    <row r="1477" spans="1:6" x14ac:dyDescent="0.25">
      <c r="A1477" t="s">
        <v>3142</v>
      </c>
      <c r="B1477" t="s">
        <v>125</v>
      </c>
      <c r="C1477" t="s">
        <v>1896</v>
      </c>
      <c r="D1477" t="s">
        <v>3143</v>
      </c>
      <c r="E1477" t="s">
        <v>10</v>
      </c>
      <c r="F1477" t="s">
        <v>11</v>
      </c>
    </row>
    <row r="1478" spans="1:6" x14ac:dyDescent="0.25">
      <c r="A1478" t="s">
        <v>3144</v>
      </c>
      <c r="B1478" t="s">
        <v>125</v>
      </c>
      <c r="C1478" t="s">
        <v>575</v>
      </c>
      <c r="D1478" t="s">
        <v>245</v>
      </c>
      <c r="E1478" t="s">
        <v>10</v>
      </c>
      <c r="F1478" t="s">
        <v>11</v>
      </c>
    </row>
    <row r="1479" spans="1:6" x14ac:dyDescent="0.25">
      <c r="A1479" t="s">
        <v>3145</v>
      </c>
      <c r="B1479" t="s">
        <v>125</v>
      </c>
      <c r="C1479" t="s">
        <v>871</v>
      </c>
      <c r="D1479" t="s">
        <v>3146</v>
      </c>
      <c r="E1479" t="s">
        <v>49</v>
      </c>
      <c r="F1479" t="s">
        <v>50</v>
      </c>
    </row>
    <row r="1480" spans="1:6" x14ac:dyDescent="0.25">
      <c r="A1480" t="s">
        <v>3147</v>
      </c>
      <c r="B1480" t="s">
        <v>125</v>
      </c>
      <c r="C1480" t="s">
        <v>645</v>
      </c>
      <c r="D1480" t="s">
        <v>3148</v>
      </c>
      <c r="E1480" t="s">
        <v>10</v>
      </c>
      <c r="F1480" t="s">
        <v>11</v>
      </c>
    </row>
    <row r="1481" spans="1:6" x14ac:dyDescent="0.25">
      <c r="A1481" t="s">
        <v>3149</v>
      </c>
      <c r="B1481" t="s">
        <v>125</v>
      </c>
      <c r="C1481" t="s">
        <v>1205</v>
      </c>
      <c r="D1481" t="s">
        <v>3150</v>
      </c>
      <c r="E1481" t="s">
        <v>10</v>
      </c>
      <c r="F1481" t="s">
        <v>11</v>
      </c>
    </row>
    <row r="1482" spans="1:6" x14ac:dyDescent="0.25">
      <c r="A1482" t="s">
        <v>3151</v>
      </c>
      <c r="B1482" t="s">
        <v>125</v>
      </c>
      <c r="C1482" s="1">
        <v>0</v>
      </c>
      <c r="D1482" t="s">
        <v>1125</v>
      </c>
      <c r="E1482" t="s">
        <v>10</v>
      </c>
      <c r="F1482" t="s">
        <v>11</v>
      </c>
    </row>
    <row r="1483" spans="1:6" x14ac:dyDescent="0.25">
      <c r="A1483" t="s">
        <v>3152</v>
      </c>
      <c r="B1483" t="s">
        <v>125</v>
      </c>
      <c r="C1483" t="s">
        <v>2062</v>
      </c>
      <c r="D1483" t="s">
        <v>3153</v>
      </c>
      <c r="E1483" t="s">
        <v>20</v>
      </c>
      <c r="F1483" t="s">
        <v>21</v>
      </c>
    </row>
    <row r="1484" spans="1:6" x14ac:dyDescent="0.25">
      <c r="A1484" t="s">
        <v>3154</v>
      </c>
      <c r="B1484" t="s">
        <v>125</v>
      </c>
      <c r="C1484" t="s">
        <v>3155</v>
      </c>
      <c r="D1484" t="s">
        <v>225</v>
      </c>
      <c r="E1484" t="s">
        <v>10</v>
      </c>
      <c r="F1484" t="s">
        <v>11</v>
      </c>
    </row>
    <row r="1485" spans="1:6" x14ac:dyDescent="0.25">
      <c r="A1485" t="s">
        <v>3156</v>
      </c>
      <c r="B1485" t="s">
        <v>125</v>
      </c>
      <c r="C1485" t="s">
        <v>2495</v>
      </c>
      <c r="D1485" t="s">
        <v>3157</v>
      </c>
      <c r="E1485" t="s">
        <v>10</v>
      </c>
      <c r="F1485" t="s">
        <v>11</v>
      </c>
    </row>
    <row r="1486" spans="1:6" x14ac:dyDescent="0.25">
      <c r="A1486" t="s">
        <v>3158</v>
      </c>
      <c r="B1486" t="s">
        <v>125</v>
      </c>
      <c r="C1486" t="s">
        <v>2423</v>
      </c>
      <c r="D1486" t="s">
        <v>79</v>
      </c>
      <c r="E1486" t="s">
        <v>10</v>
      </c>
      <c r="F1486" t="s">
        <v>11</v>
      </c>
    </row>
    <row r="1487" spans="1:6" x14ac:dyDescent="0.25">
      <c r="A1487" t="s">
        <v>3159</v>
      </c>
      <c r="B1487" t="s">
        <v>125</v>
      </c>
      <c r="C1487" t="s">
        <v>1875</v>
      </c>
      <c r="E1487" t="s">
        <v>10</v>
      </c>
      <c r="F1487" t="s">
        <v>11</v>
      </c>
    </row>
    <row r="1488" spans="1:6" x14ac:dyDescent="0.25">
      <c r="A1488" t="s">
        <v>3160</v>
      </c>
      <c r="B1488" t="s">
        <v>125</v>
      </c>
      <c r="C1488" t="s">
        <v>125</v>
      </c>
      <c r="D1488" t="s">
        <v>3161</v>
      </c>
      <c r="E1488" t="s">
        <v>10</v>
      </c>
      <c r="F1488" t="s">
        <v>11</v>
      </c>
    </row>
    <row r="1489" spans="1:6" x14ac:dyDescent="0.25">
      <c r="A1489" t="s">
        <v>3162</v>
      </c>
      <c r="B1489" t="s">
        <v>125</v>
      </c>
      <c r="C1489" t="s">
        <v>2319</v>
      </c>
      <c r="D1489" t="s">
        <v>2731</v>
      </c>
      <c r="E1489" t="s">
        <v>10</v>
      </c>
      <c r="F1489" t="s">
        <v>11</v>
      </c>
    </row>
    <row r="1490" spans="1:6" x14ac:dyDescent="0.25">
      <c r="A1490" t="s">
        <v>3163</v>
      </c>
      <c r="B1490" t="s">
        <v>125</v>
      </c>
      <c r="C1490" t="s">
        <v>2282</v>
      </c>
      <c r="D1490" t="s">
        <v>1186</v>
      </c>
      <c r="E1490" t="s">
        <v>329</v>
      </c>
      <c r="F1490" t="s">
        <v>50</v>
      </c>
    </row>
    <row r="1491" spans="1:6" x14ac:dyDescent="0.25">
      <c r="A1491" t="s">
        <v>3164</v>
      </c>
      <c r="B1491" t="s">
        <v>125</v>
      </c>
      <c r="C1491" t="s">
        <v>1917</v>
      </c>
      <c r="D1491" t="s">
        <v>3165</v>
      </c>
      <c r="E1491" t="s">
        <v>10</v>
      </c>
      <c r="F1491" t="s">
        <v>11</v>
      </c>
    </row>
    <row r="1492" spans="1:6" x14ac:dyDescent="0.25">
      <c r="A1492" t="s">
        <v>3166</v>
      </c>
      <c r="B1492" t="s">
        <v>125</v>
      </c>
      <c r="C1492" t="s">
        <v>2012</v>
      </c>
      <c r="D1492" t="s">
        <v>1507</v>
      </c>
      <c r="E1492" t="s">
        <v>10</v>
      </c>
      <c r="F1492" t="s">
        <v>11</v>
      </c>
    </row>
    <row r="1493" spans="1:6" x14ac:dyDescent="0.25">
      <c r="A1493" t="s">
        <v>3167</v>
      </c>
      <c r="B1493" t="s">
        <v>125</v>
      </c>
      <c r="C1493" s="1">
        <v>0</v>
      </c>
      <c r="D1493" t="s">
        <v>130</v>
      </c>
      <c r="E1493" t="s">
        <v>10</v>
      </c>
      <c r="F1493" t="s">
        <v>11</v>
      </c>
    </row>
    <row r="1494" spans="1:6" x14ac:dyDescent="0.25">
      <c r="A1494" t="s">
        <v>3168</v>
      </c>
      <c r="B1494" t="s">
        <v>125</v>
      </c>
      <c r="C1494" t="s">
        <v>2423</v>
      </c>
      <c r="D1494" t="s">
        <v>1068</v>
      </c>
      <c r="E1494" t="s">
        <v>10</v>
      </c>
      <c r="F1494" t="s">
        <v>11</v>
      </c>
    </row>
    <row r="1495" spans="1:6" x14ac:dyDescent="0.25">
      <c r="A1495" t="s">
        <v>3169</v>
      </c>
      <c r="B1495" t="s">
        <v>125</v>
      </c>
      <c r="C1495" t="s">
        <v>891</v>
      </c>
      <c r="D1495" t="s">
        <v>3170</v>
      </c>
      <c r="E1495" t="s">
        <v>10</v>
      </c>
      <c r="F1495" t="s">
        <v>11</v>
      </c>
    </row>
    <row r="1496" spans="1:6" x14ac:dyDescent="0.25">
      <c r="A1496" t="s">
        <v>3171</v>
      </c>
      <c r="B1496" t="s">
        <v>125</v>
      </c>
      <c r="C1496" t="s">
        <v>1314</v>
      </c>
      <c r="D1496" t="s">
        <v>2933</v>
      </c>
      <c r="E1496" t="s">
        <v>10</v>
      </c>
      <c r="F1496" t="s">
        <v>11</v>
      </c>
    </row>
    <row r="1497" spans="1:6" x14ac:dyDescent="0.25">
      <c r="A1497" t="s">
        <v>3172</v>
      </c>
      <c r="B1497" t="s">
        <v>125</v>
      </c>
      <c r="C1497" t="s">
        <v>1440</v>
      </c>
      <c r="D1497" t="s">
        <v>3157</v>
      </c>
      <c r="E1497" t="s">
        <v>10</v>
      </c>
      <c r="F1497" t="s">
        <v>11</v>
      </c>
    </row>
    <row r="1498" spans="1:6" x14ac:dyDescent="0.25">
      <c r="A1498" t="s">
        <v>3173</v>
      </c>
      <c r="B1498" t="s">
        <v>125</v>
      </c>
      <c r="C1498" t="s">
        <v>1756</v>
      </c>
      <c r="D1498" t="s">
        <v>3174</v>
      </c>
      <c r="E1498" t="s">
        <v>10</v>
      </c>
      <c r="F1498" t="s">
        <v>11</v>
      </c>
    </row>
    <row r="1499" spans="1:6" x14ac:dyDescent="0.25">
      <c r="A1499" t="s">
        <v>3175</v>
      </c>
      <c r="B1499" t="s">
        <v>125</v>
      </c>
      <c r="C1499" t="s">
        <v>1851</v>
      </c>
      <c r="D1499" t="s">
        <v>1911</v>
      </c>
      <c r="E1499" t="s">
        <v>10</v>
      </c>
      <c r="F1499" t="s">
        <v>11</v>
      </c>
    </row>
    <row r="1500" spans="1:6" x14ac:dyDescent="0.25">
      <c r="A1500" t="s">
        <v>3176</v>
      </c>
      <c r="B1500" t="s">
        <v>125</v>
      </c>
      <c r="C1500" t="s">
        <v>785</v>
      </c>
      <c r="D1500" t="s">
        <v>3177</v>
      </c>
      <c r="E1500" t="s">
        <v>49</v>
      </c>
      <c r="F1500" t="s">
        <v>50</v>
      </c>
    </row>
    <row r="1501" spans="1:6" x14ac:dyDescent="0.25">
      <c r="A1501" t="s">
        <v>3178</v>
      </c>
      <c r="B1501" t="s">
        <v>125</v>
      </c>
      <c r="C1501" t="s">
        <v>3179</v>
      </c>
      <c r="D1501" t="s">
        <v>1210</v>
      </c>
      <c r="E1501" t="s">
        <v>10</v>
      </c>
      <c r="F1501" t="s">
        <v>11</v>
      </c>
    </row>
    <row r="1502" spans="1:6" x14ac:dyDescent="0.25">
      <c r="A1502" t="s">
        <v>3180</v>
      </c>
      <c r="B1502" t="s">
        <v>125</v>
      </c>
      <c r="C1502" t="s">
        <v>1894</v>
      </c>
      <c r="D1502" t="s">
        <v>3181</v>
      </c>
      <c r="E1502" t="s">
        <v>187</v>
      </c>
      <c r="F1502" t="s">
        <v>50</v>
      </c>
    </row>
    <row r="1503" spans="1:6" x14ac:dyDescent="0.25">
      <c r="A1503" t="s">
        <v>3182</v>
      </c>
      <c r="B1503" t="s">
        <v>125</v>
      </c>
      <c r="C1503" t="s">
        <v>2654</v>
      </c>
      <c r="D1503" t="s">
        <v>57</v>
      </c>
      <c r="E1503" t="s">
        <v>44</v>
      </c>
      <c r="F1503" t="s">
        <v>21</v>
      </c>
    </row>
    <row r="1504" spans="1:6" x14ac:dyDescent="0.25">
      <c r="A1504" t="s">
        <v>3183</v>
      </c>
      <c r="B1504" t="s">
        <v>125</v>
      </c>
      <c r="C1504" t="s">
        <v>2815</v>
      </c>
      <c r="D1504" t="s">
        <v>3184</v>
      </c>
      <c r="E1504" t="s">
        <v>20</v>
      </c>
      <c r="F1504" t="s">
        <v>21</v>
      </c>
    </row>
    <row r="1505" spans="1:6" x14ac:dyDescent="0.25">
      <c r="A1505" t="s">
        <v>3185</v>
      </c>
      <c r="B1505" t="s">
        <v>125</v>
      </c>
      <c r="C1505" t="s">
        <v>3186</v>
      </c>
      <c r="D1505" t="s">
        <v>3187</v>
      </c>
      <c r="E1505" t="s">
        <v>20</v>
      </c>
      <c r="F1505" t="s">
        <v>21</v>
      </c>
    </row>
    <row r="1506" spans="1:6" x14ac:dyDescent="0.25">
      <c r="A1506" t="s">
        <v>3188</v>
      </c>
      <c r="B1506" t="s">
        <v>125</v>
      </c>
      <c r="C1506" t="s">
        <v>3189</v>
      </c>
      <c r="D1506" t="s">
        <v>3190</v>
      </c>
      <c r="E1506" t="s">
        <v>294</v>
      </c>
      <c r="F1506" t="s">
        <v>21</v>
      </c>
    </row>
    <row r="1507" spans="1:6" x14ac:dyDescent="0.25">
      <c r="A1507" t="s">
        <v>3191</v>
      </c>
      <c r="B1507" t="s">
        <v>125</v>
      </c>
      <c r="C1507" t="s">
        <v>2713</v>
      </c>
      <c r="D1507" t="s">
        <v>496</v>
      </c>
      <c r="E1507" t="s">
        <v>360</v>
      </c>
      <c r="F1507" t="s">
        <v>50</v>
      </c>
    </row>
    <row r="1508" spans="1:6" x14ac:dyDescent="0.25">
      <c r="A1508" t="s">
        <v>3192</v>
      </c>
      <c r="B1508" t="s">
        <v>125</v>
      </c>
      <c r="C1508" t="s">
        <v>1747</v>
      </c>
      <c r="D1508" t="s">
        <v>3193</v>
      </c>
      <c r="E1508" t="s">
        <v>10</v>
      </c>
      <c r="F1508" t="s">
        <v>11</v>
      </c>
    </row>
    <row r="1509" spans="1:6" x14ac:dyDescent="0.25">
      <c r="A1509" t="s">
        <v>3194</v>
      </c>
      <c r="B1509" t="s">
        <v>125</v>
      </c>
      <c r="C1509" t="s">
        <v>505</v>
      </c>
      <c r="D1509" t="s">
        <v>1818</v>
      </c>
      <c r="E1509" t="s">
        <v>10</v>
      </c>
      <c r="F1509" t="s">
        <v>11</v>
      </c>
    </row>
    <row r="1510" spans="1:6" x14ac:dyDescent="0.25">
      <c r="A1510" t="s">
        <v>3195</v>
      </c>
      <c r="B1510" t="s">
        <v>125</v>
      </c>
      <c r="C1510" t="s">
        <v>2832</v>
      </c>
      <c r="D1510" t="s">
        <v>3196</v>
      </c>
      <c r="E1510" t="s">
        <v>10</v>
      </c>
      <c r="F1510" t="s">
        <v>11</v>
      </c>
    </row>
    <row r="1511" spans="1:6" x14ac:dyDescent="0.25">
      <c r="A1511" t="s">
        <v>3197</v>
      </c>
      <c r="B1511" t="s">
        <v>125</v>
      </c>
      <c r="C1511" t="s">
        <v>645</v>
      </c>
      <c r="D1511" t="s">
        <v>3198</v>
      </c>
      <c r="E1511" t="s">
        <v>44</v>
      </c>
      <c r="F1511" t="s">
        <v>21</v>
      </c>
    </row>
    <row r="1512" spans="1:6" x14ac:dyDescent="0.25">
      <c r="A1512" t="s">
        <v>3199</v>
      </c>
      <c r="B1512" t="s">
        <v>125</v>
      </c>
      <c r="C1512" t="s">
        <v>125</v>
      </c>
      <c r="D1512" t="s">
        <v>130</v>
      </c>
      <c r="E1512" t="s">
        <v>49</v>
      </c>
      <c r="F1512" t="s">
        <v>50</v>
      </c>
    </row>
    <row r="1513" spans="1:6" x14ac:dyDescent="0.25">
      <c r="A1513" t="s">
        <v>3200</v>
      </c>
      <c r="B1513" t="s">
        <v>125</v>
      </c>
      <c r="C1513" t="s">
        <v>1891</v>
      </c>
      <c r="D1513" t="s">
        <v>79</v>
      </c>
      <c r="E1513" t="s">
        <v>49</v>
      </c>
      <c r="F1513" t="s">
        <v>50</v>
      </c>
    </row>
    <row r="1514" spans="1:6" x14ac:dyDescent="0.25">
      <c r="A1514" t="s">
        <v>3201</v>
      </c>
      <c r="B1514" t="s">
        <v>125</v>
      </c>
      <c r="C1514" t="s">
        <v>541</v>
      </c>
      <c r="D1514" t="s">
        <v>3202</v>
      </c>
      <c r="E1514" t="s">
        <v>10</v>
      </c>
      <c r="F1514" t="s">
        <v>11</v>
      </c>
    </row>
    <row r="1515" spans="1:6" x14ac:dyDescent="0.25">
      <c r="A1515" t="s">
        <v>3203</v>
      </c>
      <c r="B1515" t="s">
        <v>125</v>
      </c>
      <c r="C1515" t="s">
        <v>613</v>
      </c>
      <c r="D1515" t="s">
        <v>376</v>
      </c>
      <c r="E1515" t="s">
        <v>10</v>
      </c>
      <c r="F1515" t="s">
        <v>11</v>
      </c>
    </row>
    <row r="1516" spans="1:6" x14ac:dyDescent="0.25">
      <c r="A1516" t="s">
        <v>3204</v>
      </c>
      <c r="B1516" t="s">
        <v>125</v>
      </c>
      <c r="C1516" t="s">
        <v>3205</v>
      </c>
      <c r="D1516" t="s">
        <v>3206</v>
      </c>
      <c r="E1516" t="s">
        <v>10</v>
      </c>
      <c r="F1516" t="s">
        <v>11</v>
      </c>
    </row>
    <row r="1517" spans="1:6" x14ac:dyDescent="0.25">
      <c r="A1517" t="s">
        <v>3207</v>
      </c>
      <c r="B1517" t="s">
        <v>125</v>
      </c>
      <c r="C1517" t="s">
        <v>785</v>
      </c>
      <c r="D1517" t="s">
        <v>159</v>
      </c>
      <c r="E1517" t="s">
        <v>10</v>
      </c>
      <c r="F1517" t="s">
        <v>11</v>
      </c>
    </row>
    <row r="1518" spans="1:6" x14ac:dyDescent="0.25">
      <c r="A1518" t="s">
        <v>3208</v>
      </c>
      <c r="B1518" t="s">
        <v>125</v>
      </c>
      <c r="C1518" t="s">
        <v>125</v>
      </c>
      <c r="D1518" t="s">
        <v>2792</v>
      </c>
      <c r="E1518" t="s">
        <v>10</v>
      </c>
      <c r="F1518" t="s">
        <v>11</v>
      </c>
    </row>
    <row r="1519" spans="1:6" x14ac:dyDescent="0.25">
      <c r="A1519" t="s">
        <v>3209</v>
      </c>
      <c r="B1519" t="s">
        <v>125</v>
      </c>
      <c r="C1519" t="s">
        <v>1382</v>
      </c>
      <c r="D1519" t="s">
        <v>3210</v>
      </c>
      <c r="E1519" t="s">
        <v>10</v>
      </c>
      <c r="F1519" t="s">
        <v>11</v>
      </c>
    </row>
    <row r="1520" spans="1:6" x14ac:dyDescent="0.25">
      <c r="A1520" t="s">
        <v>3211</v>
      </c>
      <c r="B1520" t="s">
        <v>125</v>
      </c>
      <c r="C1520" t="s">
        <v>2675</v>
      </c>
      <c r="D1520" t="s">
        <v>254</v>
      </c>
      <c r="E1520" t="s">
        <v>49</v>
      </c>
      <c r="F1520" t="s">
        <v>50</v>
      </c>
    </row>
    <row r="1521" spans="1:6" x14ac:dyDescent="0.25">
      <c r="A1521" t="s">
        <v>3212</v>
      </c>
      <c r="B1521" t="s">
        <v>125</v>
      </c>
      <c r="C1521" t="s">
        <v>3213</v>
      </c>
      <c r="D1521" t="s">
        <v>3214</v>
      </c>
      <c r="E1521" t="s">
        <v>49</v>
      </c>
      <c r="F1521" t="s">
        <v>50</v>
      </c>
    </row>
    <row r="1522" spans="1:6" x14ac:dyDescent="0.25">
      <c r="A1522" t="s">
        <v>3215</v>
      </c>
      <c r="B1522" t="s">
        <v>125</v>
      </c>
      <c r="C1522" t="s">
        <v>1244</v>
      </c>
      <c r="D1522" t="s">
        <v>3216</v>
      </c>
      <c r="E1522" t="s">
        <v>10</v>
      </c>
      <c r="F1522" t="s">
        <v>11</v>
      </c>
    </row>
    <row r="1523" spans="1:6" x14ac:dyDescent="0.25">
      <c r="A1523" t="s">
        <v>3217</v>
      </c>
      <c r="B1523" t="s">
        <v>125</v>
      </c>
      <c r="C1523" t="s">
        <v>878</v>
      </c>
      <c r="D1523" t="s">
        <v>496</v>
      </c>
      <c r="E1523" t="s">
        <v>10</v>
      </c>
      <c r="F1523" t="s">
        <v>11</v>
      </c>
    </row>
    <row r="1524" spans="1:6" x14ac:dyDescent="0.25">
      <c r="A1524" t="s">
        <v>3218</v>
      </c>
      <c r="B1524" t="s">
        <v>125</v>
      </c>
      <c r="C1524" t="s">
        <v>645</v>
      </c>
      <c r="D1524" t="s">
        <v>3219</v>
      </c>
      <c r="E1524" t="s">
        <v>10</v>
      </c>
      <c r="F1524" t="s">
        <v>11</v>
      </c>
    </row>
    <row r="1525" spans="1:6" x14ac:dyDescent="0.25">
      <c r="A1525" t="s">
        <v>3220</v>
      </c>
      <c r="B1525" t="s">
        <v>125</v>
      </c>
      <c r="C1525" t="s">
        <v>792</v>
      </c>
      <c r="D1525" t="s">
        <v>3221</v>
      </c>
      <c r="E1525" t="s">
        <v>1172</v>
      </c>
      <c r="F1525" t="s">
        <v>21</v>
      </c>
    </row>
    <row r="1526" spans="1:6" x14ac:dyDescent="0.25">
      <c r="A1526" t="s">
        <v>3222</v>
      </c>
      <c r="B1526" t="s">
        <v>125</v>
      </c>
      <c r="C1526" t="s">
        <v>3126</v>
      </c>
      <c r="D1526" t="s">
        <v>1642</v>
      </c>
      <c r="E1526" t="s">
        <v>10</v>
      </c>
      <c r="F1526" t="s">
        <v>11</v>
      </c>
    </row>
    <row r="1527" spans="1:6" x14ac:dyDescent="0.25">
      <c r="A1527" t="s">
        <v>3223</v>
      </c>
      <c r="B1527" t="s">
        <v>125</v>
      </c>
      <c r="C1527" t="s">
        <v>1926</v>
      </c>
      <c r="D1527" t="s">
        <v>3224</v>
      </c>
      <c r="E1527" t="s">
        <v>20</v>
      </c>
      <c r="F1527" t="s">
        <v>21</v>
      </c>
    </row>
    <row r="1528" spans="1:6" x14ac:dyDescent="0.25">
      <c r="A1528" t="s">
        <v>3225</v>
      </c>
      <c r="B1528" t="s">
        <v>125</v>
      </c>
      <c r="C1528" t="s">
        <v>2037</v>
      </c>
      <c r="D1528" t="s">
        <v>1042</v>
      </c>
      <c r="E1528" t="s">
        <v>10</v>
      </c>
      <c r="F1528" t="s">
        <v>11</v>
      </c>
    </row>
    <row r="1529" spans="1:6" x14ac:dyDescent="0.25">
      <c r="A1529" t="s">
        <v>3226</v>
      </c>
      <c r="B1529" t="s">
        <v>125</v>
      </c>
      <c r="C1529" t="s">
        <v>1896</v>
      </c>
      <c r="D1529" t="s">
        <v>254</v>
      </c>
      <c r="E1529" t="s">
        <v>10</v>
      </c>
      <c r="F1529" t="s">
        <v>11</v>
      </c>
    </row>
    <row r="1530" spans="1:6" x14ac:dyDescent="0.25">
      <c r="A1530" t="s">
        <v>3227</v>
      </c>
      <c r="B1530" t="s">
        <v>125</v>
      </c>
      <c r="C1530" t="s">
        <v>770</v>
      </c>
      <c r="D1530" t="s">
        <v>1228</v>
      </c>
      <c r="E1530" t="s">
        <v>44</v>
      </c>
      <c r="F1530" t="s">
        <v>21</v>
      </c>
    </row>
    <row r="1531" spans="1:6" x14ac:dyDescent="0.25">
      <c r="A1531" t="s">
        <v>3228</v>
      </c>
      <c r="B1531" t="s">
        <v>125</v>
      </c>
      <c r="C1531" t="s">
        <v>1504</v>
      </c>
      <c r="D1531" t="s">
        <v>159</v>
      </c>
      <c r="E1531" t="s">
        <v>10</v>
      </c>
      <c r="F1531" t="s">
        <v>11</v>
      </c>
    </row>
    <row r="1532" spans="1:6" x14ac:dyDescent="0.25">
      <c r="A1532" t="s">
        <v>3229</v>
      </c>
      <c r="B1532" t="s">
        <v>125</v>
      </c>
      <c r="C1532" t="s">
        <v>1061</v>
      </c>
      <c r="D1532" t="s">
        <v>1183</v>
      </c>
      <c r="E1532" t="s">
        <v>365</v>
      </c>
      <c r="F1532" t="s">
        <v>11</v>
      </c>
    </row>
    <row r="1533" spans="1:6" x14ac:dyDescent="0.25">
      <c r="A1533" t="s">
        <v>3230</v>
      </c>
      <c r="B1533" t="s">
        <v>125</v>
      </c>
      <c r="C1533" t="s">
        <v>3231</v>
      </c>
      <c r="D1533" t="s">
        <v>3232</v>
      </c>
      <c r="E1533" t="s">
        <v>10</v>
      </c>
      <c r="F1533" t="s">
        <v>11</v>
      </c>
    </row>
    <row r="1534" spans="1:6" x14ac:dyDescent="0.25">
      <c r="A1534" t="s">
        <v>3233</v>
      </c>
      <c r="B1534" t="s">
        <v>125</v>
      </c>
      <c r="C1534" t="s">
        <v>2930</v>
      </c>
      <c r="D1534" t="s">
        <v>496</v>
      </c>
      <c r="E1534" t="s">
        <v>10</v>
      </c>
      <c r="F1534" t="s">
        <v>11</v>
      </c>
    </row>
    <row r="1535" spans="1:6" x14ac:dyDescent="0.25">
      <c r="A1535" t="s">
        <v>3234</v>
      </c>
      <c r="B1535" t="s">
        <v>125</v>
      </c>
      <c r="C1535" t="s">
        <v>478</v>
      </c>
      <c r="D1535" t="s">
        <v>3235</v>
      </c>
      <c r="E1535" t="s">
        <v>10</v>
      </c>
      <c r="F1535" t="s">
        <v>11</v>
      </c>
    </row>
    <row r="1536" spans="1:6" x14ac:dyDescent="0.25">
      <c r="A1536" t="s">
        <v>3236</v>
      </c>
      <c r="B1536" t="s">
        <v>125</v>
      </c>
      <c r="C1536" t="s">
        <v>3237</v>
      </c>
      <c r="D1536" t="s">
        <v>254</v>
      </c>
      <c r="E1536" t="s">
        <v>10</v>
      </c>
      <c r="F1536" t="s">
        <v>11</v>
      </c>
    </row>
    <row r="1537" spans="1:6" x14ac:dyDescent="0.25">
      <c r="A1537" t="s">
        <v>3238</v>
      </c>
      <c r="B1537" t="s">
        <v>125</v>
      </c>
      <c r="C1537" t="s">
        <v>2012</v>
      </c>
      <c r="D1537" t="s">
        <v>66</v>
      </c>
      <c r="E1537" t="s">
        <v>10</v>
      </c>
      <c r="F1537" t="s">
        <v>11</v>
      </c>
    </row>
    <row r="1538" spans="1:6" x14ac:dyDescent="0.25">
      <c r="A1538" t="s">
        <v>3239</v>
      </c>
      <c r="B1538" t="s">
        <v>125</v>
      </c>
      <c r="C1538" t="s">
        <v>3240</v>
      </c>
      <c r="D1538" t="s">
        <v>3241</v>
      </c>
      <c r="E1538" t="s">
        <v>10</v>
      </c>
      <c r="F1538" t="s">
        <v>11</v>
      </c>
    </row>
    <row r="1539" spans="1:6" x14ac:dyDescent="0.25">
      <c r="A1539" t="s">
        <v>3242</v>
      </c>
      <c r="B1539" t="s">
        <v>125</v>
      </c>
      <c r="C1539" t="s">
        <v>1377</v>
      </c>
      <c r="D1539" t="s">
        <v>3243</v>
      </c>
      <c r="E1539" t="s">
        <v>187</v>
      </c>
      <c r="F1539" t="s">
        <v>50</v>
      </c>
    </row>
    <row r="1540" spans="1:6" x14ac:dyDescent="0.25">
      <c r="A1540" t="s">
        <v>3244</v>
      </c>
      <c r="B1540" t="s">
        <v>125</v>
      </c>
      <c r="C1540" t="s">
        <v>81</v>
      </c>
      <c r="D1540" t="s">
        <v>57</v>
      </c>
      <c r="E1540" t="s">
        <v>10</v>
      </c>
      <c r="F1540" t="s">
        <v>11</v>
      </c>
    </row>
    <row r="1541" spans="1:6" x14ac:dyDescent="0.25">
      <c r="A1541" t="s">
        <v>3245</v>
      </c>
      <c r="B1541" t="s">
        <v>125</v>
      </c>
      <c r="C1541" t="s">
        <v>650</v>
      </c>
      <c r="D1541" t="s">
        <v>2918</v>
      </c>
      <c r="E1541" t="s">
        <v>10</v>
      </c>
      <c r="F1541" t="s">
        <v>11</v>
      </c>
    </row>
    <row r="1542" spans="1:6" x14ac:dyDescent="0.25">
      <c r="A1542" t="s">
        <v>3246</v>
      </c>
      <c r="B1542" t="s">
        <v>125</v>
      </c>
      <c r="C1542" t="s">
        <v>2240</v>
      </c>
      <c r="D1542" t="s">
        <v>3247</v>
      </c>
      <c r="E1542" t="s">
        <v>554</v>
      </c>
      <c r="F1542" t="s">
        <v>526</v>
      </c>
    </row>
    <row r="1543" spans="1:6" x14ac:dyDescent="0.25">
      <c r="A1543" t="s">
        <v>3248</v>
      </c>
      <c r="B1543" t="s">
        <v>125</v>
      </c>
      <c r="C1543" t="s">
        <v>3213</v>
      </c>
      <c r="D1543" t="s">
        <v>254</v>
      </c>
      <c r="E1543" t="s">
        <v>10</v>
      </c>
      <c r="F1543" t="s">
        <v>11</v>
      </c>
    </row>
    <row r="1544" spans="1:6" x14ac:dyDescent="0.25">
      <c r="A1544" t="s">
        <v>3249</v>
      </c>
      <c r="B1544" t="s">
        <v>125</v>
      </c>
      <c r="C1544" t="s">
        <v>2683</v>
      </c>
      <c r="D1544" t="s">
        <v>254</v>
      </c>
      <c r="E1544" t="s">
        <v>10</v>
      </c>
      <c r="F1544" t="s">
        <v>11</v>
      </c>
    </row>
    <row r="1545" spans="1:6" x14ac:dyDescent="0.25">
      <c r="A1545" t="s">
        <v>3250</v>
      </c>
      <c r="B1545" t="s">
        <v>125</v>
      </c>
      <c r="C1545" t="s">
        <v>47</v>
      </c>
      <c r="D1545" t="s">
        <v>1434</v>
      </c>
      <c r="E1545" t="s">
        <v>10</v>
      </c>
      <c r="F1545" t="s">
        <v>11</v>
      </c>
    </row>
    <row r="1546" spans="1:6" x14ac:dyDescent="0.25">
      <c r="A1546" t="s">
        <v>3251</v>
      </c>
      <c r="B1546" t="s">
        <v>125</v>
      </c>
      <c r="C1546" t="s">
        <v>2010</v>
      </c>
      <c r="D1546" t="s">
        <v>3252</v>
      </c>
      <c r="E1546" t="s">
        <v>10</v>
      </c>
      <c r="F1546" t="s">
        <v>11</v>
      </c>
    </row>
    <row r="1547" spans="1:6" x14ac:dyDescent="0.25">
      <c r="A1547" t="s">
        <v>3253</v>
      </c>
      <c r="B1547" t="s">
        <v>125</v>
      </c>
      <c r="C1547" t="s">
        <v>2034</v>
      </c>
      <c r="D1547" t="s">
        <v>1186</v>
      </c>
      <c r="E1547" t="s">
        <v>1172</v>
      </c>
      <c r="F1547" t="s">
        <v>21</v>
      </c>
    </row>
    <row r="1548" spans="1:6" x14ac:dyDescent="0.25">
      <c r="A1548" t="s">
        <v>3254</v>
      </c>
      <c r="B1548" t="s">
        <v>125</v>
      </c>
      <c r="C1548" t="s">
        <v>780</v>
      </c>
      <c r="D1548" t="s">
        <v>3255</v>
      </c>
      <c r="E1548" t="s">
        <v>10</v>
      </c>
      <c r="F1548" t="s">
        <v>11</v>
      </c>
    </row>
    <row r="1549" spans="1:6" x14ac:dyDescent="0.25">
      <c r="A1549" t="s">
        <v>1695</v>
      </c>
      <c r="B1549" t="s">
        <v>125</v>
      </c>
      <c r="C1549" t="s">
        <v>47</v>
      </c>
      <c r="D1549" t="s">
        <v>3256</v>
      </c>
      <c r="E1549" t="s">
        <v>3257</v>
      </c>
      <c r="F1549" t="s">
        <v>50</v>
      </c>
    </row>
    <row r="1550" spans="1:6" x14ac:dyDescent="0.25">
      <c r="A1550" t="s">
        <v>3258</v>
      </c>
      <c r="B1550" t="s">
        <v>125</v>
      </c>
      <c r="C1550" t="s">
        <v>1926</v>
      </c>
      <c r="D1550" t="s">
        <v>1053</v>
      </c>
      <c r="E1550" t="s">
        <v>652</v>
      </c>
      <c r="F1550" t="s">
        <v>50</v>
      </c>
    </row>
    <row r="1551" spans="1:6" x14ac:dyDescent="0.25">
      <c r="A1551" t="s">
        <v>3259</v>
      </c>
      <c r="B1551" t="s">
        <v>125</v>
      </c>
      <c r="C1551" t="s">
        <v>1655</v>
      </c>
      <c r="D1551" t="s">
        <v>3260</v>
      </c>
      <c r="E1551" t="s">
        <v>1035</v>
      </c>
      <c r="F1551" t="s">
        <v>21</v>
      </c>
    </row>
    <row r="1552" spans="1:6" x14ac:dyDescent="0.25">
      <c r="A1552" t="s">
        <v>3261</v>
      </c>
      <c r="B1552" t="s">
        <v>125</v>
      </c>
      <c r="C1552" t="s">
        <v>659</v>
      </c>
      <c r="D1552" t="s">
        <v>177</v>
      </c>
      <c r="E1552" t="s">
        <v>10</v>
      </c>
      <c r="F1552" t="s">
        <v>11</v>
      </c>
    </row>
    <row r="1553" spans="1:6" x14ac:dyDescent="0.25">
      <c r="A1553" t="s">
        <v>3262</v>
      </c>
      <c r="B1553" t="s">
        <v>125</v>
      </c>
      <c r="C1553" t="s">
        <v>1896</v>
      </c>
      <c r="D1553" t="s">
        <v>3263</v>
      </c>
      <c r="E1553" t="s">
        <v>10</v>
      </c>
      <c r="F1553" t="s">
        <v>11</v>
      </c>
    </row>
    <row r="1554" spans="1:6" x14ac:dyDescent="0.25">
      <c r="A1554" t="s">
        <v>3264</v>
      </c>
      <c r="B1554" t="s">
        <v>125</v>
      </c>
      <c r="C1554" t="s">
        <v>3265</v>
      </c>
      <c r="D1554" t="s">
        <v>3036</v>
      </c>
      <c r="E1554" t="s">
        <v>10</v>
      </c>
      <c r="F1554" t="s">
        <v>11</v>
      </c>
    </row>
    <row r="1555" spans="1:6" x14ac:dyDescent="0.25">
      <c r="A1555" t="s">
        <v>3266</v>
      </c>
      <c r="B1555" t="s">
        <v>125</v>
      </c>
      <c r="C1555" t="s">
        <v>2372</v>
      </c>
      <c r="D1555" t="s">
        <v>1361</v>
      </c>
      <c r="E1555" t="s">
        <v>365</v>
      </c>
      <c r="F1555" t="s">
        <v>11</v>
      </c>
    </row>
    <row r="1556" spans="1:6" x14ac:dyDescent="0.25">
      <c r="A1556" t="s">
        <v>3267</v>
      </c>
      <c r="B1556" t="s">
        <v>125</v>
      </c>
      <c r="C1556" t="s">
        <v>789</v>
      </c>
      <c r="D1556" t="s">
        <v>2331</v>
      </c>
      <c r="E1556" t="s">
        <v>10</v>
      </c>
      <c r="F1556" t="s">
        <v>11</v>
      </c>
    </row>
    <row r="1557" spans="1:6" x14ac:dyDescent="0.25">
      <c r="A1557" t="s">
        <v>3268</v>
      </c>
      <c r="B1557" t="s">
        <v>125</v>
      </c>
      <c r="C1557" t="s">
        <v>1202</v>
      </c>
      <c r="D1557" t="s">
        <v>641</v>
      </c>
      <c r="E1557" t="s">
        <v>445</v>
      </c>
      <c r="F1557" t="s">
        <v>50</v>
      </c>
    </row>
    <row r="1558" spans="1:6" x14ac:dyDescent="0.25">
      <c r="A1558" t="s">
        <v>3269</v>
      </c>
      <c r="B1558" t="s">
        <v>125</v>
      </c>
      <c r="C1558" t="s">
        <v>580</v>
      </c>
      <c r="D1558" t="s">
        <v>407</v>
      </c>
      <c r="E1558" t="s">
        <v>10</v>
      </c>
      <c r="F1558" t="s">
        <v>11</v>
      </c>
    </row>
    <row r="1559" spans="1:6" x14ac:dyDescent="0.25">
      <c r="A1559" t="s">
        <v>3270</v>
      </c>
      <c r="B1559" t="s">
        <v>125</v>
      </c>
      <c r="C1559" t="s">
        <v>2675</v>
      </c>
      <c r="D1559" t="s">
        <v>496</v>
      </c>
      <c r="E1559" t="s">
        <v>350</v>
      </c>
      <c r="F1559" t="s">
        <v>21</v>
      </c>
    </row>
    <row r="1560" spans="1:6" x14ac:dyDescent="0.25">
      <c r="A1560" t="s">
        <v>3271</v>
      </c>
      <c r="B1560" t="s">
        <v>125</v>
      </c>
      <c r="C1560" t="s">
        <v>1562</v>
      </c>
      <c r="D1560" t="s">
        <v>3272</v>
      </c>
      <c r="E1560" t="s">
        <v>1008</v>
      </c>
      <c r="F1560" t="s">
        <v>11</v>
      </c>
    </row>
    <row r="1561" spans="1:6" x14ac:dyDescent="0.25">
      <c r="A1561" t="s">
        <v>3273</v>
      </c>
      <c r="B1561" t="s">
        <v>125</v>
      </c>
      <c r="C1561" t="s">
        <v>3274</v>
      </c>
      <c r="D1561" t="s">
        <v>254</v>
      </c>
      <c r="E1561" t="s">
        <v>10</v>
      </c>
      <c r="F1561" t="s">
        <v>11</v>
      </c>
    </row>
    <row r="1562" spans="1:6" x14ac:dyDescent="0.25">
      <c r="A1562" t="s">
        <v>3275</v>
      </c>
      <c r="B1562" t="s">
        <v>125</v>
      </c>
      <c r="C1562" t="s">
        <v>2662</v>
      </c>
      <c r="D1562" t="s">
        <v>3276</v>
      </c>
      <c r="E1562" t="s">
        <v>2056</v>
      </c>
      <c r="F1562" t="s">
        <v>526</v>
      </c>
    </row>
    <row r="1563" spans="1:6" x14ac:dyDescent="0.25">
      <c r="A1563" t="s">
        <v>3277</v>
      </c>
      <c r="B1563" t="s">
        <v>125</v>
      </c>
      <c r="C1563" t="s">
        <v>2319</v>
      </c>
      <c r="D1563" t="s">
        <v>3278</v>
      </c>
      <c r="E1563" t="s">
        <v>10</v>
      </c>
      <c r="F1563" t="s">
        <v>11</v>
      </c>
    </row>
    <row r="1564" spans="1:6" x14ac:dyDescent="0.25">
      <c r="A1564" t="s">
        <v>3279</v>
      </c>
      <c r="B1564" t="s">
        <v>125</v>
      </c>
      <c r="C1564" t="s">
        <v>1677</v>
      </c>
      <c r="D1564" t="s">
        <v>2085</v>
      </c>
      <c r="E1564" t="s">
        <v>10</v>
      </c>
      <c r="F1564" t="s">
        <v>11</v>
      </c>
    </row>
    <row r="1565" spans="1:6" x14ac:dyDescent="0.25">
      <c r="A1565" t="s">
        <v>3280</v>
      </c>
      <c r="B1565" t="s">
        <v>125</v>
      </c>
      <c r="C1565" t="s">
        <v>2251</v>
      </c>
      <c r="D1565" t="s">
        <v>3281</v>
      </c>
      <c r="E1565" t="s">
        <v>10</v>
      </c>
      <c r="F1565" t="s">
        <v>11</v>
      </c>
    </row>
    <row r="1566" spans="1:6" x14ac:dyDescent="0.25">
      <c r="A1566" t="s">
        <v>3282</v>
      </c>
      <c r="B1566" t="s">
        <v>125</v>
      </c>
      <c r="C1566" t="s">
        <v>1404</v>
      </c>
      <c r="D1566" t="s">
        <v>2848</v>
      </c>
      <c r="E1566" t="s">
        <v>554</v>
      </c>
      <c r="F1566" t="s">
        <v>526</v>
      </c>
    </row>
    <row r="1567" spans="1:6" x14ac:dyDescent="0.25">
      <c r="A1567" t="s">
        <v>3283</v>
      </c>
      <c r="B1567" t="s">
        <v>125</v>
      </c>
      <c r="C1567" t="s">
        <v>1840</v>
      </c>
      <c r="D1567" t="s">
        <v>3284</v>
      </c>
      <c r="E1567" t="s">
        <v>10</v>
      </c>
      <c r="F1567" t="s">
        <v>11</v>
      </c>
    </row>
    <row r="1568" spans="1:6" x14ac:dyDescent="0.25">
      <c r="A1568" t="s">
        <v>3285</v>
      </c>
      <c r="B1568" t="s">
        <v>125</v>
      </c>
      <c r="C1568" t="s">
        <v>645</v>
      </c>
      <c r="D1568" t="s">
        <v>66</v>
      </c>
      <c r="E1568" t="s">
        <v>10</v>
      </c>
      <c r="F1568" t="s">
        <v>11</v>
      </c>
    </row>
    <row r="1569" spans="1:6" x14ac:dyDescent="0.25">
      <c r="A1569" t="s">
        <v>3286</v>
      </c>
      <c r="B1569" t="s">
        <v>125</v>
      </c>
      <c r="C1569" t="s">
        <v>1003</v>
      </c>
      <c r="D1569" t="s">
        <v>3287</v>
      </c>
      <c r="E1569" t="s">
        <v>365</v>
      </c>
      <c r="F1569" t="s">
        <v>11</v>
      </c>
    </row>
    <row r="1570" spans="1:6" x14ac:dyDescent="0.25">
      <c r="A1570" t="s">
        <v>3288</v>
      </c>
      <c r="B1570" t="s">
        <v>125</v>
      </c>
      <c r="C1570" t="s">
        <v>125</v>
      </c>
      <c r="D1570" t="s">
        <v>980</v>
      </c>
      <c r="E1570" t="s">
        <v>273</v>
      </c>
      <c r="F1570" t="s">
        <v>21</v>
      </c>
    </row>
    <row r="1571" spans="1:6" x14ac:dyDescent="0.25">
      <c r="A1571" t="s">
        <v>3289</v>
      </c>
      <c r="B1571" t="s">
        <v>125</v>
      </c>
      <c r="C1571" t="s">
        <v>2643</v>
      </c>
      <c r="D1571" t="s">
        <v>1186</v>
      </c>
      <c r="E1571" t="s">
        <v>273</v>
      </c>
      <c r="F1571" t="s">
        <v>21</v>
      </c>
    </row>
    <row r="1572" spans="1:6" x14ac:dyDescent="0.25">
      <c r="A1572" t="s">
        <v>3290</v>
      </c>
      <c r="B1572" t="s">
        <v>125</v>
      </c>
      <c r="C1572" t="s">
        <v>2654</v>
      </c>
      <c r="D1572" t="s">
        <v>3291</v>
      </c>
      <c r="E1572" t="s">
        <v>170</v>
      </c>
      <c r="F1572" t="s">
        <v>50</v>
      </c>
    </row>
    <row r="1573" spans="1:6" x14ac:dyDescent="0.25">
      <c r="A1573" t="s">
        <v>3292</v>
      </c>
      <c r="B1573" t="s">
        <v>125</v>
      </c>
      <c r="C1573" t="s">
        <v>3293</v>
      </c>
      <c r="D1573" t="s">
        <v>3294</v>
      </c>
      <c r="E1573" t="s">
        <v>10</v>
      </c>
      <c r="F1573" t="s">
        <v>11</v>
      </c>
    </row>
    <row r="1574" spans="1:6" x14ac:dyDescent="0.25">
      <c r="A1574" t="s">
        <v>3295</v>
      </c>
      <c r="B1574" t="s">
        <v>125</v>
      </c>
      <c r="C1574" t="s">
        <v>2713</v>
      </c>
      <c r="D1574" t="s">
        <v>3296</v>
      </c>
      <c r="E1574" t="s">
        <v>10</v>
      </c>
      <c r="F1574" t="s">
        <v>11</v>
      </c>
    </row>
    <row r="1575" spans="1:6" x14ac:dyDescent="0.25">
      <c r="A1575" t="s">
        <v>3297</v>
      </c>
      <c r="B1575" t="s">
        <v>125</v>
      </c>
      <c r="C1575" t="s">
        <v>3298</v>
      </c>
      <c r="D1575" t="s">
        <v>3299</v>
      </c>
      <c r="E1575" t="s">
        <v>10</v>
      </c>
      <c r="F1575" t="s">
        <v>11</v>
      </c>
    </row>
    <row r="1576" spans="1:6" x14ac:dyDescent="0.25">
      <c r="A1576" t="s">
        <v>3300</v>
      </c>
      <c r="B1576" t="s">
        <v>125</v>
      </c>
      <c r="C1576" t="s">
        <v>1414</v>
      </c>
      <c r="D1576" t="s">
        <v>496</v>
      </c>
      <c r="E1576" t="s">
        <v>10</v>
      </c>
      <c r="F1576" t="s">
        <v>11</v>
      </c>
    </row>
    <row r="1577" spans="1:6" x14ac:dyDescent="0.25">
      <c r="A1577" t="s">
        <v>3301</v>
      </c>
      <c r="B1577" t="s">
        <v>125</v>
      </c>
      <c r="C1577" t="s">
        <v>2627</v>
      </c>
      <c r="D1577" t="s">
        <v>3302</v>
      </c>
      <c r="E1577" t="s">
        <v>10</v>
      </c>
      <c r="F1577" t="s">
        <v>11</v>
      </c>
    </row>
    <row r="1578" spans="1:6" x14ac:dyDescent="0.25">
      <c r="A1578" t="s">
        <v>3303</v>
      </c>
      <c r="B1578" t="s">
        <v>125</v>
      </c>
      <c r="C1578" t="s">
        <v>3304</v>
      </c>
      <c r="D1578" t="s">
        <v>3305</v>
      </c>
      <c r="E1578" t="s">
        <v>187</v>
      </c>
      <c r="F1578" t="s">
        <v>50</v>
      </c>
    </row>
    <row r="1579" spans="1:6" x14ac:dyDescent="0.25">
      <c r="A1579" t="s">
        <v>3306</v>
      </c>
      <c r="B1579" t="s">
        <v>125</v>
      </c>
      <c r="C1579" t="s">
        <v>885</v>
      </c>
      <c r="D1579" t="s">
        <v>3307</v>
      </c>
      <c r="E1579" t="s">
        <v>1172</v>
      </c>
      <c r="F1579" t="s">
        <v>21</v>
      </c>
    </row>
    <row r="1580" spans="1:6" x14ac:dyDescent="0.25">
      <c r="A1580" t="s">
        <v>3308</v>
      </c>
      <c r="B1580" t="s">
        <v>125</v>
      </c>
      <c r="C1580" t="s">
        <v>966</v>
      </c>
      <c r="D1580" t="s">
        <v>3309</v>
      </c>
      <c r="E1580" t="s">
        <v>554</v>
      </c>
      <c r="F1580" t="s">
        <v>526</v>
      </c>
    </row>
    <row r="1581" spans="1:6" x14ac:dyDescent="0.25">
      <c r="A1581" t="s">
        <v>3310</v>
      </c>
      <c r="B1581" t="s">
        <v>125</v>
      </c>
      <c r="C1581" t="s">
        <v>2319</v>
      </c>
      <c r="D1581" t="s">
        <v>835</v>
      </c>
      <c r="E1581" t="s">
        <v>10</v>
      </c>
      <c r="F1581" t="s">
        <v>11</v>
      </c>
    </row>
    <row r="1582" spans="1:6" x14ac:dyDescent="0.25">
      <c r="A1582" t="s">
        <v>3311</v>
      </c>
      <c r="B1582" t="s">
        <v>125</v>
      </c>
      <c r="C1582" t="s">
        <v>1139</v>
      </c>
      <c r="D1582" t="s">
        <v>2085</v>
      </c>
      <c r="E1582" t="s">
        <v>10</v>
      </c>
      <c r="F1582" t="s">
        <v>11</v>
      </c>
    </row>
    <row r="1583" spans="1:6" x14ac:dyDescent="0.25">
      <c r="A1583" t="s">
        <v>3312</v>
      </c>
      <c r="B1583" t="s">
        <v>125</v>
      </c>
      <c r="C1583" t="s">
        <v>1784</v>
      </c>
      <c r="D1583" t="s">
        <v>3313</v>
      </c>
      <c r="E1583" t="s">
        <v>170</v>
      </c>
      <c r="F1583" t="s">
        <v>50</v>
      </c>
    </row>
    <row r="1584" spans="1:6" x14ac:dyDescent="0.25">
      <c r="A1584" t="s">
        <v>3314</v>
      </c>
      <c r="B1584" t="s">
        <v>125</v>
      </c>
      <c r="C1584" t="s">
        <v>1199</v>
      </c>
      <c r="D1584" t="s">
        <v>3315</v>
      </c>
      <c r="E1584" t="s">
        <v>10</v>
      </c>
      <c r="F1584" t="s">
        <v>11</v>
      </c>
    </row>
    <row r="1585" spans="1:6" x14ac:dyDescent="0.25">
      <c r="A1585" t="s">
        <v>3316</v>
      </c>
      <c r="B1585" t="s">
        <v>125</v>
      </c>
      <c r="C1585" t="s">
        <v>3298</v>
      </c>
      <c r="D1585" t="s">
        <v>3317</v>
      </c>
      <c r="E1585" t="s">
        <v>10</v>
      </c>
      <c r="F1585" t="s">
        <v>11</v>
      </c>
    </row>
    <row r="1586" spans="1:6" x14ac:dyDescent="0.25">
      <c r="A1586" t="s">
        <v>3318</v>
      </c>
      <c r="B1586" t="s">
        <v>125</v>
      </c>
      <c r="C1586" t="s">
        <v>256</v>
      </c>
      <c r="D1586" t="s">
        <v>3319</v>
      </c>
      <c r="E1586" t="s">
        <v>10</v>
      </c>
      <c r="F1586" t="s">
        <v>11</v>
      </c>
    </row>
    <row r="1587" spans="1:6" x14ac:dyDescent="0.25">
      <c r="A1587" t="s">
        <v>3320</v>
      </c>
      <c r="B1587" t="s">
        <v>125</v>
      </c>
      <c r="C1587" t="s">
        <v>1076</v>
      </c>
      <c r="D1587" t="s">
        <v>3321</v>
      </c>
      <c r="E1587" t="s">
        <v>230</v>
      </c>
      <c r="F1587" t="s">
        <v>50</v>
      </c>
    </row>
    <row r="1588" spans="1:6" x14ac:dyDescent="0.25">
      <c r="A1588" t="s">
        <v>3322</v>
      </c>
      <c r="B1588" t="s">
        <v>125</v>
      </c>
      <c r="C1588" t="s">
        <v>3323</v>
      </c>
      <c r="D1588" t="s">
        <v>816</v>
      </c>
      <c r="E1588" t="s">
        <v>350</v>
      </c>
      <c r="F1588" t="s">
        <v>21</v>
      </c>
    </row>
    <row r="1589" spans="1:6" x14ac:dyDescent="0.25">
      <c r="A1589" t="s">
        <v>3324</v>
      </c>
      <c r="B1589" t="s">
        <v>125</v>
      </c>
      <c r="C1589" t="s">
        <v>1915</v>
      </c>
      <c r="D1589" t="s">
        <v>3325</v>
      </c>
      <c r="E1589" t="s">
        <v>10</v>
      </c>
      <c r="F1589" t="s">
        <v>11</v>
      </c>
    </row>
    <row r="1590" spans="1:6" x14ac:dyDescent="0.25">
      <c r="A1590" t="s">
        <v>3326</v>
      </c>
      <c r="B1590" t="s">
        <v>125</v>
      </c>
      <c r="C1590" t="s">
        <v>1898</v>
      </c>
      <c r="D1590" t="s">
        <v>3327</v>
      </c>
      <c r="E1590" t="s">
        <v>49</v>
      </c>
      <c r="F1590" t="s">
        <v>50</v>
      </c>
    </row>
    <row r="1591" spans="1:6" x14ac:dyDescent="0.25">
      <c r="A1591" t="s">
        <v>3328</v>
      </c>
      <c r="B1591" t="s">
        <v>125</v>
      </c>
      <c r="C1591" t="s">
        <v>575</v>
      </c>
      <c r="D1591" t="s">
        <v>3329</v>
      </c>
      <c r="E1591" t="s">
        <v>365</v>
      </c>
      <c r="F1591" t="s">
        <v>11</v>
      </c>
    </row>
    <row r="1592" spans="1:6" x14ac:dyDescent="0.25">
      <c r="A1592" t="s">
        <v>3330</v>
      </c>
      <c r="B1592" t="s">
        <v>125</v>
      </c>
      <c r="C1592" t="s">
        <v>635</v>
      </c>
      <c r="D1592" t="s">
        <v>373</v>
      </c>
      <c r="E1592" t="s">
        <v>242</v>
      </c>
      <c r="F1592" t="s">
        <v>21</v>
      </c>
    </row>
    <row r="1593" spans="1:6" x14ac:dyDescent="0.25">
      <c r="A1593" t="s">
        <v>3331</v>
      </c>
      <c r="B1593" t="s">
        <v>125</v>
      </c>
      <c r="C1593" t="s">
        <v>158</v>
      </c>
      <c r="D1593" t="s">
        <v>254</v>
      </c>
      <c r="E1593" t="s">
        <v>20</v>
      </c>
      <c r="F1593" t="s">
        <v>21</v>
      </c>
    </row>
    <row r="1594" spans="1:6" x14ac:dyDescent="0.25">
      <c r="A1594" t="s">
        <v>3332</v>
      </c>
      <c r="B1594" t="s">
        <v>125</v>
      </c>
      <c r="C1594" t="s">
        <v>125</v>
      </c>
      <c r="D1594" t="s">
        <v>3333</v>
      </c>
      <c r="E1594" t="s">
        <v>20</v>
      </c>
      <c r="F1594" t="s">
        <v>21</v>
      </c>
    </row>
    <row r="1595" spans="1:6" x14ac:dyDescent="0.25">
      <c r="A1595" t="s">
        <v>3334</v>
      </c>
      <c r="B1595" t="s">
        <v>125</v>
      </c>
      <c r="C1595" t="s">
        <v>3231</v>
      </c>
      <c r="D1595" t="s">
        <v>2842</v>
      </c>
      <c r="E1595" t="s">
        <v>10</v>
      </c>
      <c r="F1595" t="s">
        <v>11</v>
      </c>
    </row>
    <row r="1596" spans="1:6" x14ac:dyDescent="0.25">
      <c r="A1596" t="s">
        <v>3335</v>
      </c>
      <c r="B1596" t="s">
        <v>125</v>
      </c>
      <c r="C1596" t="s">
        <v>1875</v>
      </c>
      <c r="D1596" t="s">
        <v>1183</v>
      </c>
      <c r="E1596" t="s">
        <v>10</v>
      </c>
      <c r="F1596" t="s">
        <v>11</v>
      </c>
    </row>
    <row r="1597" spans="1:6" x14ac:dyDescent="0.25">
      <c r="A1597" t="s">
        <v>3336</v>
      </c>
      <c r="B1597" t="s">
        <v>125</v>
      </c>
      <c r="C1597" t="s">
        <v>815</v>
      </c>
      <c r="D1597" t="s">
        <v>3337</v>
      </c>
      <c r="E1597" t="s">
        <v>3338</v>
      </c>
      <c r="F1597" t="s">
        <v>21</v>
      </c>
    </row>
    <row r="1598" spans="1:6" x14ac:dyDescent="0.25">
      <c r="A1598" t="s">
        <v>3339</v>
      </c>
      <c r="B1598" t="s">
        <v>125</v>
      </c>
      <c r="C1598" t="s">
        <v>1334</v>
      </c>
      <c r="D1598" t="s">
        <v>3340</v>
      </c>
      <c r="E1598" t="s">
        <v>20</v>
      </c>
      <c r="F1598" t="s">
        <v>21</v>
      </c>
    </row>
    <row r="1599" spans="1:6" x14ac:dyDescent="0.25">
      <c r="A1599" t="s">
        <v>3341</v>
      </c>
      <c r="B1599" t="s">
        <v>125</v>
      </c>
      <c r="C1599" t="s">
        <v>3342</v>
      </c>
      <c r="D1599" t="s">
        <v>3343</v>
      </c>
      <c r="E1599" t="s">
        <v>20</v>
      </c>
      <c r="F1599" t="s">
        <v>21</v>
      </c>
    </row>
    <row r="1600" spans="1:6" x14ac:dyDescent="0.25">
      <c r="A1600" t="s">
        <v>3344</v>
      </c>
      <c r="B1600" t="s">
        <v>125</v>
      </c>
      <c r="C1600" t="s">
        <v>3342</v>
      </c>
      <c r="D1600" t="s">
        <v>3345</v>
      </c>
      <c r="E1600" t="s">
        <v>273</v>
      </c>
      <c r="F1600" t="s">
        <v>21</v>
      </c>
    </row>
    <row r="1601" spans="1:6" x14ac:dyDescent="0.25">
      <c r="A1601" t="s">
        <v>3346</v>
      </c>
      <c r="B1601" t="s">
        <v>125</v>
      </c>
      <c r="C1601" t="s">
        <v>978</v>
      </c>
      <c r="D1601" t="s">
        <v>148</v>
      </c>
      <c r="E1601" t="s">
        <v>10</v>
      </c>
      <c r="F1601" t="s">
        <v>11</v>
      </c>
    </row>
    <row r="1602" spans="1:6" x14ac:dyDescent="0.25">
      <c r="A1602" t="s">
        <v>3347</v>
      </c>
      <c r="B1602" t="s">
        <v>125</v>
      </c>
      <c r="C1602" t="s">
        <v>3348</v>
      </c>
      <c r="D1602" t="s">
        <v>3349</v>
      </c>
      <c r="E1602" t="s">
        <v>222</v>
      </c>
      <c r="F1602" t="s">
        <v>50</v>
      </c>
    </row>
    <row r="1603" spans="1:6" x14ac:dyDescent="0.25">
      <c r="A1603" t="s">
        <v>3350</v>
      </c>
      <c r="B1603" t="s">
        <v>125</v>
      </c>
      <c r="C1603" t="s">
        <v>2435</v>
      </c>
      <c r="D1603" t="s">
        <v>1186</v>
      </c>
      <c r="E1603" t="s">
        <v>20</v>
      </c>
      <c r="F1603" t="s">
        <v>21</v>
      </c>
    </row>
    <row r="1604" spans="1:6" x14ac:dyDescent="0.25">
      <c r="A1604" t="s">
        <v>3351</v>
      </c>
      <c r="B1604" t="s">
        <v>125</v>
      </c>
      <c r="C1604" t="s">
        <v>1504</v>
      </c>
      <c r="D1604" t="s">
        <v>3352</v>
      </c>
      <c r="E1604" t="s">
        <v>554</v>
      </c>
      <c r="F1604" t="s">
        <v>526</v>
      </c>
    </row>
    <row r="1605" spans="1:6" x14ac:dyDescent="0.25">
      <c r="A1605" t="s">
        <v>3353</v>
      </c>
      <c r="B1605" t="s">
        <v>125</v>
      </c>
      <c r="C1605" t="s">
        <v>1185</v>
      </c>
      <c r="D1605" t="s">
        <v>1318</v>
      </c>
      <c r="E1605" t="s">
        <v>20</v>
      </c>
      <c r="F1605" t="s">
        <v>21</v>
      </c>
    </row>
    <row r="1606" spans="1:6" x14ac:dyDescent="0.25">
      <c r="A1606" t="s">
        <v>3354</v>
      </c>
      <c r="B1606" t="s">
        <v>125</v>
      </c>
      <c r="C1606" t="s">
        <v>1734</v>
      </c>
      <c r="D1606" t="s">
        <v>2782</v>
      </c>
      <c r="E1606" t="s">
        <v>20</v>
      </c>
      <c r="F1606" t="s">
        <v>21</v>
      </c>
    </row>
    <row r="1607" spans="1:6" x14ac:dyDescent="0.25">
      <c r="A1607" t="s">
        <v>3355</v>
      </c>
      <c r="B1607" t="s">
        <v>125</v>
      </c>
      <c r="C1607" t="s">
        <v>1980</v>
      </c>
      <c r="D1607" t="s">
        <v>3356</v>
      </c>
      <c r="E1607" t="s">
        <v>170</v>
      </c>
      <c r="F1607" t="s">
        <v>50</v>
      </c>
    </row>
    <row r="1608" spans="1:6" x14ac:dyDescent="0.25">
      <c r="A1608" t="s">
        <v>3357</v>
      </c>
      <c r="B1608" t="s">
        <v>125</v>
      </c>
      <c r="C1608" t="s">
        <v>780</v>
      </c>
      <c r="D1608" t="s">
        <v>3358</v>
      </c>
      <c r="E1608" t="s">
        <v>20</v>
      </c>
      <c r="F1608" t="s">
        <v>21</v>
      </c>
    </row>
    <row r="1609" spans="1:6" x14ac:dyDescent="0.25">
      <c r="A1609" t="s">
        <v>3359</v>
      </c>
      <c r="B1609" t="s">
        <v>125</v>
      </c>
      <c r="C1609" t="s">
        <v>3360</v>
      </c>
      <c r="D1609" t="s">
        <v>79</v>
      </c>
      <c r="E1609" t="s">
        <v>10</v>
      </c>
      <c r="F1609" t="s">
        <v>11</v>
      </c>
    </row>
    <row r="1610" spans="1:6" x14ac:dyDescent="0.25">
      <c r="A1610" t="s">
        <v>3361</v>
      </c>
      <c r="B1610" t="s">
        <v>125</v>
      </c>
      <c r="C1610" t="s">
        <v>333</v>
      </c>
      <c r="D1610" t="s">
        <v>752</v>
      </c>
      <c r="E1610" t="s">
        <v>10</v>
      </c>
      <c r="F1610" t="s">
        <v>11</v>
      </c>
    </row>
    <row r="1611" spans="1:6" x14ac:dyDescent="0.25">
      <c r="A1611" t="s">
        <v>3362</v>
      </c>
      <c r="B1611" t="s">
        <v>125</v>
      </c>
      <c r="C1611" t="s">
        <v>3363</v>
      </c>
      <c r="D1611" t="s">
        <v>3364</v>
      </c>
      <c r="E1611" t="s">
        <v>350</v>
      </c>
      <c r="F1611" t="s">
        <v>21</v>
      </c>
    </row>
    <row r="1612" spans="1:6" x14ac:dyDescent="0.25">
      <c r="A1612" t="s">
        <v>3365</v>
      </c>
      <c r="B1612" t="s">
        <v>125</v>
      </c>
      <c r="C1612" t="s">
        <v>3240</v>
      </c>
      <c r="D1612" t="s">
        <v>2149</v>
      </c>
      <c r="E1612" t="s">
        <v>20</v>
      </c>
      <c r="F1612" t="s">
        <v>21</v>
      </c>
    </row>
    <row r="1613" spans="1:6" x14ac:dyDescent="0.25">
      <c r="A1613" t="s">
        <v>3366</v>
      </c>
      <c r="B1613" t="s">
        <v>125</v>
      </c>
      <c r="C1613" t="s">
        <v>3367</v>
      </c>
      <c r="D1613" t="s">
        <v>3224</v>
      </c>
      <c r="E1613" t="s">
        <v>20</v>
      </c>
      <c r="F1613" t="s">
        <v>21</v>
      </c>
    </row>
    <row r="1614" spans="1:6" x14ac:dyDescent="0.25">
      <c r="A1614" t="s">
        <v>3368</v>
      </c>
      <c r="B1614" t="s">
        <v>125</v>
      </c>
      <c r="C1614" t="s">
        <v>1205</v>
      </c>
      <c r="D1614" t="s">
        <v>1186</v>
      </c>
      <c r="E1614" t="s">
        <v>20</v>
      </c>
      <c r="F1614" t="s">
        <v>21</v>
      </c>
    </row>
    <row r="1615" spans="1:6" x14ac:dyDescent="0.25">
      <c r="A1615" t="s">
        <v>3369</v>
      </c>
      <c r="B1615" t="s">
        <v>125</v>
      </c>
      <c r="C1615" s="1">
        <v>0</v>
      </c>
      <c r="E1615" t="s">
        <v>49</v>
      </c>
      <c r="F1615" t="s">
        <v>50</v>
      </c>
    </row>
    <row r="1616" spans="1:6" x14ac:dyDescent="0.25">
      <c r="A1616" t="s">
        <v>3370</v>
      </c>
      <c r="B1616" t="s">
        <v>125</v>
      </c>
      <c r="C1616" t="s">
        <v>1597</v>
      </c>
      <c r="D1616" t="s">
        <v>3371</v>
      </c>
      <c r="E1616" t="s">
        <v>20</v>
      </c>
      <c r="F1616" t="s">
        <v>21</v>
      </c>
    </row>
    <row r="1617" spans="1:6" x14ac:dyDescent="0.25">
      <c r="A1617" t="s">
        <v>3372</v>
      </c>
      <c r="B1617" t="s">
        <v>125</v>
      </c>
      <c r="C1617" t="s">
        <v>3373</v>
      </c>
      <c r="D1617" t="s">
        <v>3374</v>
      </c>
      <c r="E1617" t="s">
        <v>652</v>
      </c>
      <c r="F1617" t="s">
        <v>50</v>
      </c>
    </row>
    <row r="1618" spans="1:6" x14ac:dyDescent="0.25">
      <c r="A1618" t="s">
        <v>3375</v>
      </c>
      <c r="B1618" t="s">
        <v>125</v>
      </c>
      <c r="C1618" t="s">
        <v>645</v>
      </c>
      <c r="D1618" t="s">
        <v>3376</v>
      </c>
      <c r="E1618" t="s">
        <v>10</v>
      </c>
      <c r="F1618" t="s">
        <v>11</v>
      </c>
    </row>
    <row r="1619" spans="1:6" x14ac:dyDescent="0.25">
      <c r="A1619" t="s">
        <v>3377</v>
      </c>
      <c r="B1619" t="s">
        <v>125</v>
      </c>
      <c r="C1619" t="s">
        <v>3128</v>
      </c>
      <c r="D1619" t="s">
        <v>159</v>
      </c>
      <c r="E1619" t="s">
        <v>20</v>
      </c>
      <c r="F1619" t="s">
        <v>21</v>
      </c>
    </row>
    <row r="1620" spans="1:6" x14ac:dyDescent="0.25">
      <c r="A1620" t="s">
        <v>3378</v>
      </c>
      <c r="B1620" t="s">
        <v>125</v>
      </c>
      <c r="C1620" t="s">
        <v>1375</v>
      </c>
      <c r="E1620" t="s">
        <v>20</v>
      </c>
      <c r="F1620" t="s">
        <v>21</v>
      </c>
    </row>
    <row r="1621" spans="1:6" x14ac:dyDescent="0.25">
      <c r="A1621" t="s">
        <v>3379</v>
      </c>
      <c r="B1621" t="s">
        <v>125</v>
      </c>
      <c r="C1621" t="s">
        <v>1409</v>
      </c>
      <c r="D1621" t="s">
        <v>3380</v>
      </c>
      <c r="E1621" t="s">
        <v>326</v>
      </c>
      <c r="F1621" t="s">
        <v>21</v>
      </c>
    </row>
    <row r="1622" spans="1:6" x14ac:dyDescent="0.25">
      <c r="A1622" t="s">
        <v>3381</v>
      </c>
      <c r="B1622" t="s">
        <v>125</v>
      </c>
      <c r="C1622" t="s">
        <v>1875</v>
      </c>
      <c r="D1622" t="s">
        <v>3382</v>
      </c>
      <c r="E1622" t="s">
        <v>294</v>
      </c>
      <c r="F1622" t="s">
        <v>21</v>
      </c>
    </row>
    <row r="1623" spans="1:6" x14ac:dyDescent="0.25">
      <c r="A1623" t="s">
        <v>3383</v>
      </c>
      <c r="B1623" t="s">
        <v>125</v>
      </c>
      <c r="C1623" t="s">
        <v>3384</v>
      </c>
      <c r="D1623" t="s">
        <v>3385</v>
      </c>
      <c r="E1623" t="s">
        <v>1564</v>
      </c>
      <c r="F1623" t="s">
        <v>109</v>
      </c>
    </row>
    <row r="1624" spans="1:6" x14ac:dyDescent="0.25">
      <c r="A1624" t="s">
        <v>3386</v>
      </c>
      <c r="B1624" t="s">
        <v>125</v>
      </c>
      <c r="C1624" t="s">
        <v>1743</v>
      </c>
      <c r="D1624" t="s">
        <v>3387</v>
      </c>
      <c r="E1624" t="s">
        <v>20</v>
      </c>
      <c r="F1624" t="s">
        <v>21</v>
      </c>
    </row>
    <row r="1625" spans="1:6" x14ac:dyDescent="0.25">
      <c r="A1625" t="s">
        <v>3388</v>
      </c>
      <c r="B1625" t="s">
        <v>125</v>
      </c>
      <c r="C1625" t="s">
        <v>3128</v>
      </c>
      <c r="D1625" t="s">
        <v>3389</v>
      </c>
      <c r="E1625" t="s">
        <v>10</v>
      </c>
      <c r="F1625" t="s">
        <v>11</v>
      </c>
    </row>
    <row r="1626" spans="1:6" x14ac:dyDescent="0.25">
      <c r="A1626" t="s">
        <v>3390</v>
      </c>
      <c r="B1626" t="s">
        <v>125</v>
      </c>
      <c r="C1626" t="s">
        <v>3087</v>
      </c>
      <c r="D1626" t="s">
        <v>2168</v>
      </c>
      <c r="E1626" t="s">
        <v>20</v>
      </c>
      <c r="F1626" t="s">
        <v>21</v>
      </c>
    </row>
    <row r="1627" spans="1:6" x14ac:dyDescent="0.25">
      <c r="A1627" t="s">
        <v>3391</v>
      </c>
      <c r="B1627" t="s">
        <v>125</v>
      </c>
      <c r="C1627" t="s">
        <v>628</v>
      </c>
      <c r="D1627" t="s">
        <v>3392</v>
      </c>
      <c r="E1627" t="s">
        <v>445</v>
      </c>
      <c r="F1627" t="s">
        <v>50</v>
      </c>
    </row>
    <row r="1628" spans="1:6" x14ac:dyDescent="0.25">
      <c r="A1628" t="s">
        <v>3393</v>
      </c>
      <c r="B1628" t="s">
        <v>125</v>
      </c>
      <c r="C1628" t="s">
        <v>3394</v>
      </c>
      <c r="D1628" t="s">
        <v>3395</v>
      </c>
      <c r="E1628" t="s">
        <v>20</v>
      </c>
      <c r="F1628" t="s">
        <v>21</v>
      </c>
    </row>
    <row r="1629" spans="1:6" x14ac:dyDescent="0.25">
      <c r="A1629" t="s">
        <v>3396</v>
      </c>
      <c r="B1629" t="s">
        <v>125</v>
      </c>
      <c r="C1629" t="s">
        <v>3397</v>
      </c>
      <c r="D1629" t="s">
        <v>578</v>
      </c>
      <c r="E1629" t="s">
        <v>20</v>
      </c>
      <c r="F1629" t="s">
        <v>21</v>
      </c>
    </row>
    <row r="1630" spans="1:6" x14ac:dyDescent="0.25">
      <c r="A1630" t="s">
        <v>3398</v>
      </c>
      <c r="B1630" t="s">
        <v>125</v>
      </c>
      <c r="C1630" t="s">
        <v>2713</v>
      </c>
      <c r="D1630" t="s">
        <v>3206</v>
      </c>
      <c r="E1630" t="s">
        <v>10</v>
      </c>
      <c r="F1630" t="s">
        <v>11</v>
      </c>
    </row>
    <row r="1631" spans="1:6" x14ac:dyDescent="0.25">
      <c r="A1631" t="s">
        <v>3399</v>
      </c>
      <c r="B1631" t="s">
        <v>125</v>
      </c>
      <c r="C1631" t="s">
        <v>3400</v>
      </c>
      <c r="D1631" t="s">
        <v>15</v>
      </c>
      <c r="E1631" t="s">
        <v>10</v>
      </c>
      <c r="F1631" t="s">
        <v>11</v>
      </c>
    </row>
    <row r="1632" spans="1:6" x14ac:dyDescent="0.25">
      <c r="A1632" t="s">
        <v>3401</v>
      </c>
      <c r="B1632" t="s">
        <v>125</v>
      </c>
      <c r="C1632" t="s">
        <v>1205</v>
      </c>
      <c r="E1632" t="s">
        <v>20</v>
      </c>
      <c r="F1632" t="s">
        <v>21</v>
      </c>
    </row>
    <row r="1633" spans="1:6" x14ac:dyDescent="0.25">
      <c r="A1633" t="s">
        <v>3402</v>
      </c>
      <c r="B1633" t="s">
        <v>125</v>
      </c>
      <c r="C1633" t="s">
        <v>1219</v>
      </c>
      <c r="D1633" t="s">
        <v>559</v>
      </c>
      <c r="E1633" t="s">
        <v>20</v>
      </c>
      <c r="F1633" t="s">
        <v>21</v>
      </c>
    </row>
    <row r="1634" spans="1:6" x14ac:dyDescent="0.25">
      <c r="A1634" t="s">
        <v>3403</v>
      </c>
      <c r="B1634" t="s">
        <v>125</v>
      </c>
      <c r="C1634" t="s">
        <v>607</v>
      </c>
      <c r="D1634" t="s">
        <v>209</v>
      </c>
      <c r="E1634" t="s">
        <v>20</v>
      </c>
      <c r="F1634" t="s">
        <v>21</v>
      </c>
    </row>
    <row r="1635" spans="1:6" x14ac:dyDescent="0.25">
      <c r="A1635" t="s">
        <v>3404</v>
      </c>
      <c r="B1635" t="s">
        <v>125</v>
      </c>
      <c r="C1635" t="s">
        <v>2736</v>
      </c>
      <c r="D1635" t="s">
        <v>103</v>
      </c>
      <c r="E1635" t="s">
        <v>384</v>
      </c>
      <c r="F1635" t="s">
        <v>21</v>
      </c>
    </row>
    <row r="1636" spans="1:6" x14ac:dyDescent="0.25">
      <c r="A1636" t="s">
        <v>3405</v>
      </c>
      <c r="B1636" t="s">
        <v>125</v>
      </c>
      <c r="C1636" t="s">
        <v>1717</v>
      </c>
      <c r="D1636" t="s">
        <v>3406</v>
      </c>
      <c r="E1636" t="s">
        <v>20</v>
      </c>
      <c r="F1636" t="s">
        <v>21</v>
      </c>
    </row>
    <row r="1637" spans="1:6" x14ac:dyDescent="0.25">
      <c r="A1637" t="s">
        <v>3407</v>
      </c>
      <c r="B1637" t="s">
        <v>125</v>
      </c>
      <c r="C1637" t="s">
        <v>1975</v>
      </c>
      <c r="D1637" t="s">
        <v>454</v>
      </c>
      <c r="E1637" t="s">
        <v>20</v>
      </c>
      <c r="F1637" t="s">
        <v>21</v>
      </c>
    </row>
    <row r="1638" spans="1:6" x14ac:dyDescent="0.25">
      <c r="A1638" t="s">
        <v>3408</v>
      </c>
      <c r="B1638" t="s">
        <v>125</v>
      </c>
      <c r="C1638" t="s">
        <v>2585</v>
      </c>
      <c r="D1638" t="s">
        <v>3409</v>
      </c>
      <c r="E1638" t="s">
        <v>20</v>
      </c>
      <c r="F1638" t="s">
        <v>21</v>
      </c>
    </row>
    <row r="1639" spans="1:6" x14ac:dyDescent="0.25">
      <c r="A1639" t="s">
        <v>3410</v>
      </c>
      <c r="B1639" t="s">
        <v>125</v>
      </c>
      <c r="C1639" t="s">
        <v>2423</v>
      </c>
      <c r="D1639" t="s">
        <v>66</v>
      </c>
      <c r="E1639" t="s">
        <v>10</v>
      </c>
      <c r="F1639" t="s">
        <v>11</v>
      </c>
    </row>
    <row r="1640" spans="1:6" x14ac:dyDescent="0.25">
      <c r="A1640" t="s">
        <v>3411</v>
      </c>
      <c r="B1640" t="s">
        <v>125</v>
      </c>
      <c r="C1640" t="s">
        <v>1991</v>
      </c>
      <c r="D1640" t="s">
        <v>722</v>
      </c>
      <c r="E1640" t="s">
        <v>10</v>
      </c>
      <c r="F1640" t="s">
        <v>11</v>
      </c>
    </row>
    <row r="1641" spans="1:6" x14ac:dyDescent="0.25">
      <c r="A1641" t="s">
        <v>3412</v>
      </c>
      <c r="B1641" t="s">
        <v>125</v>
      </c>
      <c r="C1641" t="s">
        <v>193</v>
      </c>
      <c r="D1641" t="s">
        <v>159</v>
      </c>
      <c r="E1641" t="s">
        <v>20</v>
      </c>
      <c r="F1641" t="s">
        <v>21</v>
      </c>
    </row>
    <row r="1642" spans="1:6" x14ac:dyDescent="0.25">
      <c r="A1642" t="s">
        <v>3413</v>
      </c>
      <c r="B1642" t="s">
        <v>125</v>
      </c>
      <c r="C1642" t="s">
        <v>785</v>
      </c>
      <c r="D1642" t="s">
        <v>380</v>
      </c>
      <c r="E1642" t="s">
        <v>10</v>
      </c>
      <c r="F1642" t="s">
        <v>11</v>
      </c>
    </row>
    <row r="1643" spans="1:6" x14ac:dyDescent="0.25">
      <c r="A1643" t="s">
        <v>3414</v>
      </c>
      <c r="B1643" t="s">
        <v>125</v>
      </c>
      <c r="C1643" t="s">
        <v>2890</v>
      </c>
      <c r="D1643" t="s">
        <v>3415</v>
      </c>
      <c r="E1643" t="s">
        <v>187</v>
      </c>
      <c r="F1643" t="s">
        <v>50</v>
      </c>
    </row>
    <row r="1644" spans="1:6" x14ac:dyDescent="0.25">
      <c r="A1644" t="s">
        <v>3416</v>
      </c>
      <c r="B1644" t="s">
        <v>125</v>
      </c>
      <c r="C1644" t="s">
        <v>645</v>
      </c>
      <c r="D1644" t="s">
        <v>29</v>
      </c>
      <c r="E1644" t="s">
        <v>20</v>
      </c>
      <c r="F1644" t="s">
        <v>21</v>
      </c>
    </row>
    <row r="1645" spans="1:6" x14ac:dyDescent="0.25">
      <c r="A1645" t="s">
        <v>3417</v>
      </c>
      <c r="B1645" t="s">
        <v>125</v>
      </c>
      <c r="C1645" t="s">
        <v>3418</v>
      </c>
      <c r="D1645" t="s">
        <v>3419</v>
      </c>
      <c r="E1645" t="s">
        <v>20</v>
      </c>
      <c r="F1645" t="s">
        <v>21</v>
      </c>
    </row>
    <row r="1646" spans="1:6" x14ac:dyDescent="0.25">
      <c r="A1646" t="s">
        <v>3420</v>
      </c>
      <c r="B1646" t="s">
        <v>125</v>
      </c>
      <c r="C1646" t="s">
        <v>645</v>
      </c>
      <c r="D1646" t="s">
        <v>159</v>
      </c>
      <c r="E1646" t="s">
        <v>20</v>
      </c>
      <c r="F1646" t="s">
        <v>21</v>
      </c>
    </row>
    <row r="1647" spans="1:6" x14ac:dyDescent="0.25">
      <c r="A1647" t="s">
        <v>3421</v>
      </c>
      <c r="B1647" t="s">
        <v>125</v>
      </c>
      <c r="C1647" t="s">
        <v>1104</v>
      </c>
      <c r="D1647" t="s">
        <v>1865</v>
      </c>
      <c r="E1647" t="s">
        <v>10</v>
      </c>
      <c r="F1647" t="s">
        <v>11</v>
      </c>
    </row>
    <row r="1648" spans="1:6" x14ac:dyDescent="0.25">
      <c r="A1648" t="s">
        <v>3422</v>
      </c>
      <c r="B1648" t="s">
        <v>125</v>
      </c>
      <c r="C1648" t="s">
        <v>2203</v>
      </c>
      <c r="D1648" t="s">
        <v>3423</v>
      </c>
      <c r="E1648" t="s">
        <v>20</v>
      </c>
      <c r="F1648" t="s">
        <v>21</v>
      </c>
    </row>
    <row r="1649" spans="1:6" x14ac:dyDescent="0.25">
      <c r="A1649" t="s">
        <v>3424</v>
      </c>
      <c r="B1649" t="s">
        <v>125</v>
      </c>
      <c r="C1649" t="s">
        <v>1562</v>
      </c>
      <c r="D1649" t="s">
        <v>3425</v>
      </c>
      <c r="E1649" t="s">
        <v>20</v>
      </c>
      <c r="F1649" t="s">
        <v>21</v>
      </c>
    </row>
    <row r="1650" spans="1:6" x14ac:dyDescent="0.25">
      <c r="A1650" t="s">
        <v>3426</v>
      </c>
      <c r="B1650" t="s">
        <v>125</v>
      </c>
      <c r="C1650" t="s">
        <v>47</v>
      </c>
      <c r="D1650" t="s">
        <v>3427</v>
      </c>
      <c r="E1650" t="s">
        <v>10</v>
      </c>
      <c r="F1650" t="s">
        <v>11</v>
      </c>
    </row>
    <row r="1651" spans="1:6" x14ac:dyDescent="0.25">
      <c r="A1651" t="s">
        <v>3428</v>
      </c>
      <c r="B1651" t="s">
        <v>125</v>
      </c>
      <c r="C1651" t="s">
        <v>516</v>
      </c>
      <c r="D1651" t="s">
        <v>655</v>
      </c>
      <c r="E1651" t="s">
        <v>10</v>
      </c>
      <c r="F1651" t="s">
        <v>11</v>
      </c>
    </row>
    <row r="1652" spans="1:6" x14ac:dyDescent="0.25">
      <c r="A1652" t="s">
        <v>3429</v>
      </c>
      <c r="B1652" t="s">
        <v>125</v>
      </c>
      <c r="C1652" t="s">
        <v>2890</v>
      </c>
      <c r="D1652" t="s">
        <v>496</v>
      </c>
      <c r="E1652" t="s">
        <v>10</v>
      </c>
      <c r="F1652" t="s">
        <v>11</v>
      </c>
    </row>
    <row r="1653" spans="1:6" x14ac:dyDescent="0.25">
      <c r="A1653" t="s">
        <v>3430</v>
      </c>
      <c r="B1653" t="s">
        <v>125</v>
      </c>
      <c r="C1653" t="s">
        <v>277</v>
      </c>
      <c r="D1653" t="s">
        <v>3431</v>
      </c>
      <c r="E1653" t="s">
        <v>20</v>
      </c>
      <c r="F1653" t="s">
        <v>21</v>
      </c>
    </row>
    <row r="1654" spans="1:6" x14ac:dyDescent="0.25">
      <c r="A1654" t="s">
        <v>3432</v>
      </c>
      <c r="B1654" t="s">
        <v>125</v>
      </c>
      <c r="C1654" t="s">
        <v>1650</v>
      </c>
      <c r="D1654" t="s">
        <v>3433</v>
      </c>
      <c r="E1654" t="s">
        <v>10</v>
      </c>
      <c r="F1654" t="s">
        <v>11</v>
      </c>
    </row>
    <row r="1655" spans="1:6" x14ac:dyDescent="0.25">
      <c r="A1655" t="s">
        <v>3434</v>
      </c>
      <c r="B1655" t="s">
        <v>125</v>
      </c>
      <c r="C1655" t="s">
        <v>1484</v>
      </c>
      <c r="D1655" t="s">
        <v>221</v>
      </c>
      <c r="E1655" t="s">
        <v>10</v>
      </c>
      <c r="F1655" t="s">
        <v>11</v>
      </c>
    </row>
    <row r="1656" spans="1:6" x14ac:dyDescent="0.25">
      <c r="A1656" t="s">
        <v>3435</v>
      </c>
      <c r="B1656" t="s">
        <v>125</v>
      </c>
      <c r="C1656" t="s">
        <v>3436</v>
      </c>
      <c r="D1656" t="s">
        <v>3437</v>
      </c>
      <c r="E1656" t="s">
        <v>20</v>
      </c>
      <c r="F1656" t="s">
        <v>21</v>
      </c>
    </row>
    <row r="1657" spans="1:6" x14ac:dyDescent="0.25">
      <c r="A1657" t="s">
        <v>3438</v>
      </c>
      <c r="B1657" t="s">
        <v>125</v>
      </c>
      <c r="C1657" t="s">
        <v>3439</v>
      </c>
      <c r="D1657" t="s">
        <v>3440</v>
      </c>
      <c r="E1657" t="s">
        <v>20</v>
      </c>
      <c r="F1657" t="s">
        <v>21</v>
      </c>
    </row>
    <row r="1658" spans="1:6" x14ac:dyDescent="0.25">
      <c r="A1658" t="s">
        <v>3441</v>
      </c>
      <c r="B1658" t="s">
        <v>125</v>
      </c>
      <c r="C1658" t="s">
        <v>785</v>
      </c>
      <c r="D1658" t="s">
        <v>3442</v>
      </c>
      <c r="E1658" t="s">
        <v>20</v>
      </c>
      <c r="F1658" t="s">
        <v>21</v>
      </c>
    </row>
    <row r="1659" spans="1:6" x14ac:dyDescent="0.25">
      <c r="A1659" t="s">
        <v>3443</v>
      </c>
      <c r="B1659" t="s">
        <v>125</v>
      </c>
      <c r="C1659" t="s">
        <v>1717</v>
      </c>
      <c r="D1659" t="s">
        <v>3444</v>
      </c>
      <c r="E1659" t="s">
        <v>20</v>
      </c>
      <c r="F1659" t="s">
        <v>21</v>
      </c>
    </row>
    <row r="1660" spans="1:6" x14ac:dyDescent="0.25">
      <c r="A1660" t="s">
        <v>3445</v>
      </c>
      <c r="B1660" t="s">
        <v>125</v>
      </c>
      <c r="C1660" t="s">
        <v>125</v>
      </c>
      <c r="D1660" t="s">
        <v>3446</v>
      </c>
      <c r="E1660" t="s">
        <v>273</v>
      </c>
      <c r="F1660" t="s">
        <v>21</v>
      </c>
    </row>
    <row r="1661" spans="1:6" x14ac:dyDescent="0.25">
      <c r="A1661" t="s">
        <v>3447</v>
      </c>
      <c r="B1661" t="s">
        <v>125</v>
      </c>
      <c r="C1661" t="s">
        <v>1088</v>
      </c>
      <c r="D1661" t="s">
        <v>3448</v>
      </c>
      <c r="E1661" t="s">
        <v>10</v>
      </c>
      <c r="F1661" t="s">
        <v>11</v>
      </c>
    </row>
    <row r="1662" spans="1:6" x14ac:dyDescent="0.25">
      <c r="A1662" t="s">
        <v>3449</v>
      </c>
      <c r="B1662" t="s">
        <v>125</v>
      </c>
      <c r="C1662" t="s">
        <v>1475</v>
      </c>
      <c r="D1662" t="s">
        <v>3450</v>
      </c>
      <c r="E1662" t="s">
        <v>20</v>
      </c>
      <c r="F1662" t="s">
        <v>21</v>
      </c>
    </row>
    <row r="1663" spans="1:6" x14ac:dyDescent="0.25">
      <c r="A1663" t="s">
        <v>3451</v>
      </c>
      <c r="B1663" t="s">
        <v>125</v>
      </c>
      <c r="C1663" t="s">
        <v>53</v>
      </c>
      <c r="D1663" t="s">
        <v>3452</v>
      </c>
      <c r="E1663" t="s">
        <v>20</v>
      </c>
      <c r="F1663" t="s">
        <v>21</v>
      </c>
    </row>
    <row r="1664" spans="1:6" x14ac:dyDescent="0.25">
      <c r="A1664" t="s">
        <v>3453</v>
      </c>
      <c r="B1664" t="s">
        <v>125</v>
      </c>
      <c r="C1664" t="s">
        <v>3454</v>
      </c>
      <c r="D1664" t="s">
        <v>3455</v>
      </c>
      <c r="E1664" t="s">
        <v>20</v>
      </c>
      <c r="F1664" t="s">
        <v>21</v>
      </c>
    </row>
    <row r="1665" spans="1:6" x14ac:dyDescent="0.25">
      <c r="A1665" t="s">
        <v>3456</v>
      </c>
      <c r="B1665" t="s">
        <v>125</v>
      </c>
      <c r="C1665" t="s">
        <v>174</v>
      </c>
      <c r="D1665" t="s">
        <v>3457</v>
      </c>
      <c r="E1665" t="s">
        <v>20</v>
      </c>
      <c r="F1665" t="s">
        <v>21</v>
      </c>
    </row>
    <row r="1666" spans="1:6" x14ac:dyDescent="0.25">
      <c r="A1666" t="s">
        <v>3458</v>
      </c>
      <c r="B1666" t="s">
        <v>125</v>
      </c>
      <c r="C1666" t="s">
        <v>1484</v>
      </c>
      <c r="D1666" t="s">
        <v>3287</v>
      </c>
      <c r="E1666" t="s">
        <v>10</v>
      </c>
      <c r="F1666" t="s">
        <v>11</v>
      </c>
    </row>
    <row r="1667" spans="1:6" x14ac:dyDescent="0.25">
      <c r="A1667" t="s">
        <v>3459</v>
      </c>
      <c r="B1667" t="s">
        <v>125</v>
      </c>
      <c r="C1667" t="s">
        <v>393</v>
      </c>
      <c r="D1667" t="s">
        <v>120</v>
      </c>
      <c r="E1667" t="s">
        <v>170</v>
      </c>
      <c r="F1667" t="s">
        <v>50</v>
      </c>
    </row>
    <row r="1668" spans="1:6" x14ac:dyDescent="0.25">
      <c r="A1668" t="s">
        <v>3460</v>
      </c>
      <c r="B1668" t="s">
        <v>125</v>
      </c>
      <c r="C1668" t="s">
        <v>3461</v>
      </c>
      <c r="D1668" t="s">
        <v>3462</v>
      </c>
      <c r="E1668" t="s">
        <v>10</v>
      </c>
      <c r="F1668" t="s">
        <v>11</v>
      </c>
    </row>
    <row r="1669" spans="1:6" x14ac:dyDescent="0.25">
      <c r="A1669" t="s">
        <v>3463</v>
      </c>
      <c r="B1669" t="s">
        <v>125</v>
      </c>
      <c r="C1669" t="s">
        <v>1996</v>
      </c>
      <c r="D1669" t="s">
        <v>3464</v>
      </c>
      <c r="E1669" t="s">
        <v>604</v>
      </c>
      <c r="F1669" t="s">
        <v>21</v>
      </c>
    </row>
    <row r="1670" spans="1:6" x14ac:dyDescent="0.25">
      <c r="A1670" t="s">
        <v>3465</v>
      </c>
      <c r="B1670" t="s">
        <v>125</v>
      </c>
      <c r="C1670" t="s">
        <v>2031</v>
      </c>
      <c r="D1670" t="s">
        <v>1146</v>
      </c>
      <c r="E1670" t="s">
        <v>170</v>
      </c>
      <c r="F1670" t="s">
        <v>50</v>
      </c>
    </row>
    <row r="1671" spans="1:6" x14ac:dyDescent="0.25">
      <c r="A1671" t="s">
        <v>3466</v>
      </c>
      <c r="B1671" t="s">
        <v>125</v>
      </c>
      <c r="C1671" t="s">
        <v>1076</v>
      </c>
      <c r="D1671" t="s">
        <v>3467</v>
      </c>
      <c r="E1671" t="s">
        <v>20</v>
      </c>
      <c r="F1671" t="s">
        <v>21</v>
      </c>
    </row>
    <row r="1672" spans="1:6" x14ac:dyDescent="0.25">
      <c r="A1672" t="s">
        <v>3468</v>
      </c>
      <c r="B1672" t="s">
        <v>125</v>
      </c>
      <c r="C1672" t="s">
        <v>1875</v>
      </c>
      <c r="D1672" t="s">
        <v>1934</v>
      </c>
      <c r="E1672" t="s">
        <v>20</v>
      </c>
      <c r="F1672" t="s">
        <v>21</v>
      </c>
    </row>
    <row r="1673" spans="1:6" x14ac:dyDescent="0.25">
      <c r="A1673" t="s">
        <v>3469</v>
      </c>
      <c r="B1673" t="s">
        <v>125</v>
      </c>
      <c r="C1673" t="s">
        <v>2335</v>
      </c>
      <c r="D1673" t="s">
        <v>3470</v>
      </c>
      <c r="E1673" t="s">
        <v>20</v>
      </c>
      <c r="F1673" t="s">
        <v>21</v>
      </c>
    </row>
    <row r="1674" spans="1:6" x14ac:dyDescent="0.25">
      <c r="A1674" t="s">
        <v>3471</v>
      </c>
      <c r="B1674" t="s">
        <v>125</v>
      </c>
      <c r="C1674" t="s">
        <v>3363</v>
      </c>
      <c r="D1674" t="s">
        <v>3472</v>
      </c>
      <c r="E1674" t="s">
        <v>20</v>
      </c>
      <c r="F1674" t="s">
        <v>21</v>
      </c>
    </row>
    <row r="1675" spans="1:6" x14ac:dyDescent="0.25">
      <c r="A1675" t="s">
        <v>3473</v>
      </c>
      <c r="B1675" t="s">
        <v>125</v>
      </c>
      <c r="C1675" t="s">
        <v>2330</v>
      </c>
      <c r="D1675" t="s">
        <v>1642</v>
      </c>
      <c r="E1675" t="s">
        <v>10</v>
      </c>
      <c r="F1675" t="s">
        <v>11</v>
      </c>
    </row>
    <row r="1676" spans="1:6" x14ac:dyDescent="0.25">
      <c r="A1676" t="s">
        <v>3474</v>
      </c>
      <c r="B1676" t="s">
        <v>125</v>
      </c>
      <c r="C1676" t="s">
        <v>3475</v>
      </c>
      <c r="D1676" t="s">
        <v>3476</v>
      </c>
      <c r="E1676" t="s">
        <v>10</v>
      </c>
      <c r="F1676" t="s">
        <v>11</v>
      </c>
    </row>
    <row r="1677" spans="1:6" x14ac:dyDescent="0.25">
      <c r="A1677" t="s">
        <v>3477</v>
      </c>
      <c r="B1677" t="s">
        <v>125</v>
      </c>
      <c r="C1677" t="s">
        <v>1088</v>
      </c>
      <c r="D1677" t="s">
        <v>3478</v>
      </c>
      <c r="E1677" t="s">
        <v>187</v>
      </c>
      <c r="F1677" t="s">
        <v>50</v>
      </c>
    </row>
    <row r="1678" spans="1:6" x14ac:dyDescent="0.25">
      <c r="A1678" t="s">
        <v>3479</v>
      </c>
      <c r="B1678" t="s">
        <v>125</v>
      </c>
      <c r="C1678" t="s">
        <v>871</v>
      </c>
      <c r="D1678" t="s">
        <v>1712</v>
      </c>
      <c r="E1678" t="s">
        <v>20</v>
      </c>
      <c r="F1678" t="s">
        <v>21</v>
      </c>
    </row>
    <row r="1679" spans="1:6" x14ac:dyDescent="0.25">
      <c r="A1679" t="s">
        <v>3480</v>
      </c>
      <c r="B1679" t="s">
        <v>125</v>
      </c>
      <c r="C1679" t="s">
        <v>2637</v>
      </c>
      <c r="D1679" t="s">
        <v>3481</v>
      </c>
      <c r="E1679" t="s">
        <v>20</v>
      </c>
      <c r="F1679" t="s">
        <v>21</v>
      </c>
    </row>
    <row r="1680" spans="1:6" x14ac:dyDescent="0.25">
      <c r="A1680" t="s">
        <v>3482</v>
      </c>
      <c r="B1680" t="s">
        <v>125</v>
      </c>
      <c r="C1680" t="s">
        <v>785</v>
      </c>
      <c r="D1680" t="s">
        <v>2663</v>
      </c>
      <c r="E1680" t="s">
        <v>350</v>
      </c>
      <c r="F1680" t="s">
        <v>21</v>
      </c>
    </row>
    <row r="1681" spans="1:6" x14ac:dyDescent="0.25">
      <c r="A1681" t="s">
        <v>3483</v>
      </c>
      <c r="B1681" t="s">
        <v>125</v>
      </c>
      <c r="C1681" t="s">
        <v>3484</v>
      </c>
      <c r="D1681" t="s">
        <v>3485</v>
      </c>
      <c r="E1681" t="s">
        <v>187</v>
      </c>
      <c r="F1681" t="s">
        <v>50</v>
      </c>
    </row>
    <row r="1682" spans="1:6" x14ac:dyDescent="0.25">
      <c r="A1682" t="s">
        <v>3486</v>
      </c>
      <c r="B1682" t="s">
        <v>125</v>
      </c>
      <c r="C1682" t="s">
        <v>780</v>
      </c>
      <c r="D1682" t="s">
        <v>3487</v>
      </c>
      <c r="E1682" t="s">
        <v>20</v>
      </c>
      <c r="F1682" t="s">
        <v>21</v>
      </c>
    </row>
    <row r="1683" spans="1:6" x14ac:dyDescent="0.25">
      <c r="A1683" t="s">
        <v>3488</v>
      </c>
      <c r="B1683" t="s">
        <v>125</v>
      </c>
      <c r="C1683" t="s">
        <v>1359</v>
      </c>
      <c r="D1683" t="s">
        <v>3489</v>
      </c>
      <c r="E1683" t="s">
        <v>187</v>
      </c>
      <c r="F1683" t="s">
        <v>50</v>
      </c>
    </row>
    <row r="1684" spans="1:6" x14ac:dyDescent="0.25">
      <c r="A1684" t="s">
        <v>3490</v>
      </c>
      <c r="B1684" t="s">
        <v>125</v>
      </c>
      <c r="C1684" s="1">
        <v>0</v>
      </c>
      <c r="D1684" t="s">
        <v>500</v>
      </c>
      <c r="E1684" t="s">
        <v>10</v>
      </c>
      <c r="F1684" t="s">
        <v>11</v>
      </c>
    </row>
    <row r="1685" spans="1:6" x14ac:dyDescent="0.25">
      <c r="A1685" t="s">
        <v>3491</v>
      </c>
      <c r="B1685" t="s">
        <v>125</v>
      </c>
      <c r="C1685" t="s">
        <v>1638</v>
      </c>
      <c r="D1685" t="s">
        <v>3492</v>
      </c>
      <c r="E1685" t="s">
        <v>554</v>
      </c>
      <c r="F1685" t="s">
        <v>526</v>
      </c>
    </row>
    <row r="1686" spans="1:6" x14ac:dyDescent="0.25">
      <c r="A1686" t="s">
        <v>3493</v>
      </c>
      <c r="B1686" t="s">
        <v>125</v>
      </c>
      <c r="C1686" t="s">
        <v>3494</v>
      </c>
      <c r="D1686" t="s">
        <v>309</v>
      </c>
      <c r="E1686" t="s">
        <v>20</v>
      </c>
      <c r="F1686" t="s">
        <v>21</v>
      </c>
    </row>
    <row r="1687" spans="1:6" x14ac:dyDescent="0.25">
      <c r="A1687" t="s">
        <v>3495</v>
      </c>
      <c r="B1687" t="s">
        <v>125</v>
      </c>
      <c r="C1687" t="s">
        <v>3496</v>
      </c>
      <c r="D1687" t="s">
        <v>3497</v>
      </c>
      <c r="E1687" t="s">
        <v>20</v>
      </c>
      <c r="F1687" t="s">
        <v>21</v>
      </c>
    </row>
    <row r="1688" spans="1:6" x14ac:dyDescent="0.25">
      <c r="A1688" t="s">
        <v>3498</v>
      </c>
      <c r="B1688" t="s">
        <v>125</v>
      </c>
      <c r="C1688" s="1">
        <v>0</v>
      </c>
      <c r="D1688" t="s">
        <v>3499</v>
      </c>
      <c r="E1688" t="s">
        <v>365</v>
      </c>
      <c r="F1688" t="s">
        <v>11</v>
      </c>
    </row>
    <row r="1689" spans="1:6" x14ac:dyDescent="0.25">
      <c r="A1689" t="s">
        <v>3500</v>
      </c>
      <c r="B1689" t="s">
        <v>125</v>
      </c>
      <c r="C1689" s="1">
        <v>0</v>
      </c>
      <c r="D1689" t="s">
        <v>2425</v>
      </c>
      <c r="E1689" t="s">
        <v>10</v>
      </c>
      <c r="F1689" t="s">
        <v>11</v>
      </c>
    </row>
    <row r="1690" spans="1:6" x14ac:dyDescent="0.25">
      <c r="A1690" t="s">
        <v>3501</v>
      </c>
      <c r="B1690" t="s">
        <v>125</v>
      </c>
      <c r="C1690" s="1">
        <v>0</v>
      </c>
      <c r="D1690" t="s">
        <v>3502</v>
      </c>
      <c r="E1690" t="s">
        <v>10</v>
      </c>
      <c r="F1690" t="s">
        <v>11</v>
      </c>
    </row>
    <row r="1691" spans="1:6" x14ac:dyDescent="0.25">
      <c r="A1691" t="s">
        <v>3503</v>
      </c>
      <c r="B1691" t="s">
        <v>125</v>
      </c>
      <c r="C1691" t="s">
        <v>3504</v>
      </c>
      <c r="D1691" t="s">
        <v>3505</v>
      </c>
      <c r="E1691" t="s">
        <v>326</v>
      </c>
      <c r="F1691" t="s">
        <v>21</v>
      </c>
    </row>
    <row r="1692" spans="1:6" x14ac:dyDescent="0.25">
      <c r="A1692" t="s">
        <v>3506</v>
      </c>
      <c r="B1692" t="s">
        <v>125</v>
      </c>
      <c r="C1692" s="1">
        <v>0</v>
      </c>
      <c r="D1692" t="s">
        <v>3507</v>
      </c>
      <c r="E1692" t="s">
        <v>1172</v>
      </c>
      <c r="F1692" t="s">
        <v>21</v>
      </c>
    </row>
    <row r="1693" spans="1:6" x14ac:dyDescent="0.25">
      <c r="A1693" t="s">
        <v>3508</v>
      </c>
      <c r="B1693" t="s">
        <v>125</v>
      </c>
      <c r="C1693" s="1">
        <v>0</v>
      </c>
      <c r="D1693" t="s">
        <v>2473</v>
      </c>
      <c r="E1693" t="s">
        <v>1008</v>
      </c>
      <c r="F1693" t="s">
        <v>11</v>
      </c>
    </row>
    <row r="1694" spans="1:6" x14ac:dyDescent="0.25">
      <c r="A1694" t="s">
        <v>3509</v>
      </c>
      <c r="B1694" t="s">
        <v>125</v>
      </c>
      <c r="C1694" t="s">
        <v>1609</v>
      </c>
      <c r="D1694" t="s">
        <v>1318</v>
      </c>
      <c r="E1694" t="s">
        <v>20</v>
      </c>
      <c r="F1694" t="s">
        <v>21</v>
      </c>
    </row>
    <row r="1695" spans="1:6" x14ac:dyDescent="0.25">
      <c r="A1695" t="s">
        <v>3510</v>
      </c>
      <c r="B1695" t="s">
        <v>125</v>
      </c>
      <c r="C1695" t="s">
        <v>995</v>
      </c>
      <c r="D1695" t="s">
        <v>3511</v>
      </c>
      <c r="E1695" t="s">
        <v>44</v>
      </c>
      <c r="F1695" t="s">
        <v>21</v>
      </c>
    </row>
    <row r="1696" spans="1:6" x14ac:dyDescent="0.25">
      <c r="A1696" t="s">
        <v>3512</v>
      </c>
      <c r="B1696" t="s">
        <v>125</v>
      </c>
      <c r="C1696" t="s">
        <v>2563</v>
      </c>
      <c r="D1696" t="s">
        <v>1228</v>
      </c>
      <c r="E1696" t="s">
        <v>49</v>
      </c>
      <c r="F1696" t="s">
        <v>50</v>
      </c>
    </row>
    <row r="1697" spans="1:6" x14ac:dyDescent="0.25">
      <c r="A1697" t="s">
        <v>3513</v>
      </c>
      <c r="B1697" t="s">
        <v>125</v>
      </c>
      <c r="C1697" t="s">
        <v>1440</v>
      </c>
      <c r="D1697" t="s">
        <v>3514</v>
      </c>
      <c r="E1697" t="s">
        <v>1195</v>
      </c>
      <c r="F1697" t="s">
        <v>50</v>
      </c>
    </row>
    <row r="1698" spans="1:6" x14ac:dyDescent="0.25">
      <c r="A1698" t="s">
        <v>3515</v>
      </c>
      <c r="B1698" t="s">
        <v>125</v>
      </c>
      <c r="C1698" t="s">
        <v>3240</v>
      </c>
      <c r="D1698" t="s">
        <v>3516</v>
      </c>
      <c r="E1698" t="s">
        <v>44</v>
      </c>
      <c r="F1698" t="s">
        <v>21</v>
      </c>
    </row>
    <row r="1699" spans="1:6" x14ac:dyDescent="0.25">
      <c r="A1699" t="s">
        <v>3517</v>
      </c>
      <c r="B1699" t="s">
        <v>125</v>
      </c>
      <c r="C1699" t="s">
        <v>936</v>
      </c>
      <c r="D1699" t="s">
        <v>3518</v>
      </c>
      <c r="E1699" t="s">
        <v>49</v>
      </c>
      <c r="F1699" t="s">
        <v>50</v>
      </c>
    </row>
    <row r="1700" spans="1:6" x14ac:dyDescent="0.25">
      <c r="A1700" t="s">
        <v>3519</v>
      </c>
      <c r="B1700" t="s">
        <v>125</v>
      </c>
      <c r="C1700" t="s">
        <v>2273</v>
      </c>
      <c r="D1700" t="s">
        <v>3520</v>
      </c>
      <c r="E1700" t="s">
        <v>10</v>
      </c>
      <c r="F1700" t="s">
        <v>11</v>
      </c>
    </row>
    <row r="1701" spans="1:6" x14ac:dyDescent="0.25">
      <c r="A1701" t="s">
        <v>3521</v>
      </c>
      <c r="B1701" t="s">
        <v>125</v>
      </c>
      <c r="C1701" t="s">
        <v>2017</v>
      </c>
      <c r="D1701" t="s">
        <v>3522</v>
      </c>
      <c r="E1701" t="s">
        <v>10</v>
      </c>
      <c r="F1701" t="s">
        <v>11</v>
      </c>
    </row>
    <row r="1702" spans="1:6" x14ac:dyDescent="0.25">
      <c r="A1702" t="s">
        <v>3523</v>
      </c>
      <c r="B1702" t="s">
        <v>125</v>
      </c>
      <c r="C1702" t="s">
        <v>2435</v>
      </c>
      <c r="D1702" t="s">
        <v>3524</v>
      </c>
      <c r="E1702" t="s">
        <v>210</v>
      </c>
      <c r="F1702" t="s">
        <v>50</v>
      </c>
    </row>
    <row r="1703" spans="1:6" x14ac:dyDescent="0.25">
      <c r="A1703" t="s">
        <v>3525</v>
      </c>
      <c r="B1703" t="s">
        <v>125</v>
      </c>
      <c r="C1703" t="s">
        <v>2999</v>
      </c>
      <c r="D1703" t="s">
        <v>517</v>
      </c>
      <c r="E1703" t="s">
        <v>10</v>
      </c>
      <c r="F1703" t="s">
        <v>11</v>
      </c>
    </row>
    <row r="1704" spans="1:6" x14ac:dyDescent="0.25">
      <c r="A1704" t="s">
        <v>3526</v>
      </c>
      <c r="B1704" s="1">
        <v>0</v>
      </c>
      <c r="C1704" s="1">
        <v>0</v>
      </c>
      <c r="E1704" t="s">
        <v>10</v>
      </c>
      <c r="F1704" t="s">
        <v>11</v>
      </c>
    </row>
    <row r="1705" spans="1:6" x14ac:dyDescent="0.25">
      <c r="A1705" t="s">
        <v>3527</v>
      </c>
      <c r="B1705" s="1">
        <v>0</v>
      </c>
      <c r="C1705" t="s">
        <v>106</v>
      </c>
      <c r="D1705" t="s">
        <v>752</v>
      </c>
      <c r="E1705" t="s">
        <v>1035</v>
      </c>
      <c r="F1705" t="s">
        <v>21</v>
      </c>
    </row>
    <row r="1706" spans="1:6" x14ac:dyDescent="0.25">
      <c r="A1706" t="s">
        <v>3528</v>
      </c>
      <c r="B1706" s="1">
        <v>0</v>
      </c>
      <c r="C1706" t="s">
        <v>1255</v>
      </c>
      <c r="D1706" t="s">
        <v>3529</v>
      </c>
      <c r="E1706" t="s">
        <v>384</v>
      </c>
      <c r="F170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5DC7-2D42-4072-BC22-3DC7CDE18DF6}">
  <dimension ref="A1:M1706"/>
  <sheetViews>
    <sheetView workbookViewId="0">
      <selection activeCell="L1" sqref="L1"/>
    </sheetView>
  </sheetViews>
  <sheetFormatPr defaultRowHeight="15" x14ac:dyDescent="0.25"/>
  <cols>
    <col min="1" max="1" width="14.85546875" customWidth="1"/>
    <col min="2" max="2" width="15.5703125" customWidth="1"/>
    <col min="3" max="3" width="16.7109375" customWidth="1"/>
    <col min="4" max="4" width="23.42578125" customWidth="1"/>
    <col min="5" max="5" width="15.7109375" customWidth="1"/>
    <col min="6" max="6" width="14" bestFit="1" customWidth="1"/>
    <col min="7" max="7" width="14" customWidth="1"/>
    <col min="10" max="10" width="14.42578125" style="2" bestFit="1" customWidth="1"/>
    <col min="11" max="11" width="12" bestFit="1" customWidth="1"/>
    <col min="13" max="13" width="15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3530</v>
      </c>
      <c r="J1" s="2" t="s">
        <v>3531</v>
      </c>
      <c r="K1" t="s">
        <v>3532</v>
      </c>
      <c r="L1" t="s">
        <v>3533</v>
      </c>
      <c r="M1" t="s">
        <v>3534</v>
      </c>
    </row>
    <row r="2" spans="1:13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>
        <v>1</v>
      </c>
      <c r="I2">
        <f>IF(B2="","",
VALUE(SUBSTITUTE(SUBSTITUTE(B2,"$",""),"B","")))</f>
        <v>840</v>
      </c>
      <c r="J2" s="2">
        <f>IF(C2="","",
IF(C2="$0",0,
IF(RIGHT(C2,1)="B",
VALUE(SUBSTITUTE(SUBSTITUTE(C2,"$",""),"B","")),
IF(RIGHT(C2,1)="M",
VALUE(SUBSTITUTE(SUBSTITUTE(C2,"$",""),"M",""))/1000,
IF(RIGHT(C2,1)="K",
VALUE(SUBSTITUTE(SUBSTITUTE(C2,"$",""),"K",""))/1000000,
VALUE(SUBSTITUTE(C2,"$",""))
)))))</f>
        <v>169</v>
      </c>
      <c r="K2">
        <f>IF(J2&gt;0,I2/J2,"")</f>
        <v>4.9704142011834316</v>
      </c>
      <c r="L2" t="str">
        <f>IF(J2=0,"Bootstrapped","Funded")</f>
        <v>Funded</v>
      </c>
      <c r="M2">
        <f>IF(AND(I2&gt;0,J2&gt;0),LN(I2/J2),"")</f>
        <v>1.6035031769142858</v>
      </c>
    </row>
    <row r="3" spans="1:13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H3">
        <v>1</v>
      </c>
      <c r="I3">
        <f t="shared" ref="I3:I66" si="0">IF(B3="","",
VALUE(SUBSTITUTE(SUBSTITUTE(B3,"$",""),"B","")))</f>
        <v>800</v>
      </c>
      <c r="J3" s="2">
        <f t="shared" ref="J3:J66" si="1">IF(C3="","",
IF(C3="$0",0,
IF(RIGHT(C3,1)="B",
VALUE(SUBSTITUTE(SUBSTITUTE(C3,"$",""),"B","")),
IF(RIGHT(C3,1)="M",
VALUE(SUBSTITUTE(SUBSTITUTE(C3,"$",""),"M",""))/1000,
IF(RIGHT(C3,1)="K",
VALUE(SUBSTITUTE(SUBSTITUTE(C3,"$",""),"K",""))/1000000,
VALUE(SUBSTITUTE(C3,"$",""))
)))))</f>
        <v>9</v>
      </c>
      <c r="K3">
        <f t="shared" ref="K3:K66" si="2">IF(J3&gt;0,I3/J3,"")</f>
        <v>88.888888888888886</v>
      </c>
      <c r="L3" t="str">
        <f t="shared" ref="L3:L66" si="3">IF(J3=0,"Bootstrapped","Funded")</f>
        <v>Funded</v>
      </c>
      <c r="M3">
        <f t="shared" ref="M3:M66" si="4">IF(AND(I3&gt;0,J3&gt;0),LN(I3/J3),"")</f>
        <v>4.487387150331708</v>
      </c>
    </row>
    <row r="4" spans="1:13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H4">
        <v>1</v>
      </c>
      <c r="I4">
        <f t="shared" si="0"/>
        <v>480</v>
      </c>
      <c r="J4" s="2">
        <f t="shared" si="1"/>
        <v>8</v>
      </c>
      <c r="K4">
        <f t="shared" si="2"/>
        <v>60</v>
      </c>
      <c r="L4" t="str">
        <f t="shared" si="3"/>
        <v>Funded</v>
      </c>
      <c r="M4">
        <f t="shared" si="4"/>
        <v>4.0943445622221004</v>
      </c>
    </row>
    <row r="5" spans="1:13" x14ac:dyDescent="0.2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11</v>
      </c>
      <c r="H5">
        <v>1</v>
      </c>
      <c r="I5">
        <f t="shared" si="0"/>
        <v>380</v>
      </c>
      <c r="J5" s="2">
        <f t="shared" si="1"/>
        <v>56</v>
      </c>
      <c r="K5">
        <f t="shared" si="2"/>
        <v>6.7857142857142856</v>
      </c>
      <c r="L5" t="str">
        <f t="shared" si="3"/>
        <v>Funded</v>
      </c>
      <c r="M5">
        <f t="shared" si="4"/>
        <v>1.9148195619852821</v>
      </c>
    </row>
    <row r="6" spans="1:13" x14ac:dyDescent="0.25">
      <c r="A6" t="s">
        <v>26</v>
      </c>
      <c r="B6" t="s">
        <v>27</v>
      </c>
      <c r="C6" t="s">
        <v>14</v>
      </c>
      <c r="D6" t="s">
        <v>28</v>
      </c>
      <c r="E6" t="s">
        <v>10</v>
      </c>
      <c r="F6" t="s">
        <v>11</v>
      </c>
      <c r="H6">
        <v>1</v>
      </c>
      <c r="I6">
        <f t="shared" si="0"/>
        <v>159</v>
      </c>
      <c r="J6" s="2">
        <f t="shared" si="1"/>
        <v>9</v>
      </c>
      <c r="K6">
        <f t="shared" si="2"/>
        <v>17.666666666666668</v>
      </c>
      <c r="L6" t="str">
        <f t="shared" si="3"/>
        <v>Funded</v>
      </c>
      <c r="M6">
        <f t="shared" si="4"/>
        <v>2.8716796248840124</v>
      </c>
    </row>
    <row r="7" spans="1:13" x14ac:dyDescent="0.25">
      <c r="A7" t="s">
        <v>29</v>
      </c>
      <c r="B7" t="s">
        <v>30</v>
      </c>
      <c r="C7" t="s">
        <v>31</v>
      </c>
      <c r="D7" t="s">
        <v>32</v>
      </c>
      <c r="E7" t="s">
        <v>20</v>
      </c>
      <c r="F7" t="s">
        <v>21</v>
      </c>
      <c r="H7">
        <v>1</v>
      </c>
      <c r="I7">
        <f t="shared" si="0"/>
        <v>150</v>
      </c>
      <c r="J7" s="2">
        <f t="shared" si="1"/>
        <v>19</v>
      </c>
      <c r="K7">
        <f t="shared" si="2"/>
        <v>7.8947368421052628</v>
      </c>
      <c r="L7" t="str">
        <f t="shared" si="3"/>
        <v>Funded</v>
      </c>
      <c r="M7">
        <f t="shared" si="4"/>
        <v>2.0661963149298153</v>
      </c>
    </row>
    <row r="8" spans="1:13" x14ac:dyDescent="0.25">
      <c r="A8" t="s">
        <v>33</v>
      </c>
      <c r="B8" t="s">
        <v>34</v>
      </c>
      <c r="C8" t="s">
        <v>35</v>
      </c>
      <c r="D8" t="s">
        <v>36</v>
      </c>
      <c r="E8" t="s">
        <v>10</v>
      </c>
      <c r="F8" t="s">
        <v>11</v>
      </c>
      <c r="H8">
        <v>1</v>
      </c>
      <c r="I8">
        <f t="shared" si="0"/>
        <v>134</v>
      </c>
      <c r="J8" s="2">
        <f t="shared" si="1"/>
        <v>20</v>
      </c>
      <c r="K8">
        <f t="shared" si="2"/>
        <v>6.7</v>
      </c>
      <c r="L8" t="str">
        <f t="shared" si="3"/>
        <v>Funded</v>
      </c>
      <c r="M8">
        <f t="shared" si="4"/>
        <v>1.9021075263969205</v>
      </c>
    </row>
    <row r="9" spans="1:13" x14ac:dyDescent="0.2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11</v>
      </c>
      <c r="H9">
        <v>1</v>
      </c>
      <c r="I9">
        <f t="shared" si="0"/>
        <v>126</v>
      </c>
      <c r="J9" s="2">
        <f t="shared" si="1"/>
        <v>27</v>
      </c>
      <c r="K9">
        <f t="shared" si="2"/>
        <v>4.666666666666667</v>
      </c>
      <c r="L9" t="str">
        <f t="shared" si="3"/>
        <v>Funded</v>
      </c>
      <c r="M9">
        <f t="shared" si="4"/>
        <v>1.5404450409471491</v>
      </c>
    </row>
    <row r="10" spans="1:13" x14ac:dyDescent="0.25">
      <c r="A10" t="s">
        <v>41</v>
      </c>
      <c r="B10" t="s">
        <v>42</v>
      </c>
      <c r="C10" t="s">
        <v>18</v>
      </c>
      <c r="D10" t="s">
        <v>43</v>
      </c>
      <c r="E10" t="s">
        <v>44</v>
      </c>
      <c r="F10" t="s">
        <v>21</v>
      </c>
      <c r="H10">
        <v>1</v>
      </c>
      <c r="I10">
        <f t="shared" si="0"/>
        <v>101</v>
      </c>
      <c r="J10" s="2">
        <f t="shared" si="1"/>
        <v>8</v>
      </c>
      <c r="K10">
        <f t="shared" si="2"/>
        <v>12.625</v>
      </c>
      <c r="L10" t="str">
        <f t="shared" si="3"/>
        <v>Funded</v>
      </c>
      <c r="M10">
        <f t="shared" si="4"/>
        <v>2.5356789751614235</v>
      </c>
    </row>
    <row r="11" spans="1:13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H11">
        <v>1</v>
      </c>
      <c r="I11">
        <f t="shared" si="0"/>
        <v>75</v>
      </c>
      <c r="J11" s="2">
        <f t="shared" si="1"/>
        <v>2</v>
      </c>
      <c r="K11">
        <f t="shared" si="2"/>
        <v>37.5</v>
      </c>
      <c r="L11" t="str">
        <f t="shared" si="3"/>
        <v>Funded</v>
      </c>
      <c r="M11">
        <f t="shared" si="4"/>
        <v>3.6243409329763652</v>
      </c>
    </row>
    <row r="12" spans="1:13" x14ac:dyDescent="0.25">
      <c r="A12" t="s">
        <v>51</v>
      </c>
      <c r="B12" t="s">
        <v>52</v>
      </c>
      <c r="C12" t="s">
        <v>53</v>
      </c>
      <c r="D12" t="s">
        <v>54</v>
      </c>
      <c r="E12" t="s">
        <v>20</v>
      </c>
      <c r="F12" t="s">
        <v>21</v>
      </c>
      <c r="H12">
        <v>1</v>
      </c>
      <c r="I12">
        <f t="shared" si="0"/>
        <v>66</v>
      </c>
      <c r="J12" s="2">
        <f t="shared" si="1"/>
        <v>4</v>
      </c>
      <c r="K12">
        <f t="shared" si="2"/>
        <v>16.5</v>
      </c>
      <c r="L12" t="str">
        <f t="shared" si="3"/>
        <v>Funded</v>
      </c>
      <c r="M12">
        <f t="shared" si="4"/>
        <v>2.8033603809065348</v>
      </c>
    </row>
    <row r="13" spans="1:13" x14ac:dyDescent="0.25">
      <c r="A13" t="s">
        <v>55</v>
      </c>
      <c r="B13" t="s">
        <v>56</v>
      </c>
      <c r="C13" t="s">
        <v>35</v>
      </c>
      <c r="D13" t="s">
        <v>57</v>
      </c>
      <c r="E13" t="s">
        <v>44</v>
      </c>
      <c r="F13" t="s">
        <v>21</v>
      </c>
      <c r="H13">
        <v>1</v>
      </c>
      <c r="I13">
        <f t="shared" si="0"/>
        <v>58</v>
      </c>
      <c r="J13" s="2">
        <f t="shared" si="1"/>
        <v>20</v>
      </c>
      <c r="K13">
        <f t="shared" si="2"/>
        <v>2.9</v>
      </c>
      <c r="L13" t="str">
        <f t="shared" si="3"/>
        <v>Funded</v>
      </c>
      <c r="M13">
        <f t="shared" si="4"/>
        <v>1.0647107369924282</v>
      </c>
    </row>
    <row r="14" spans="1:13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H14">
        <v>1</v>
      </c>
      <c r="I14">
        <f t="shared" si="0"/>
        <v>42</v>
      </c>
      <c r="J14" s="2">
        <f t="shared" si="1"/>
        <v>0.57999999999999996</v>
      </c>
      <c r="K14">
        <f t="shared" si="2"/>
        <v>72.413793103448285</v>
      </c>
      <c r="L14" t="str">
        <f t="shared" si="3"/>
        <v>Funded</v>
      </c>
      <c r="M14">
        <f t="shared" si="4"/>
        <v>4.2823967937250407</v>
      </c>
    </row>
    <row r="15" spans="1:13" x14ac:dyDescent="0.25">
      <c r="A15" t="s">
        <v>64</v>
      </c>
      <c r="B15" t="s">
        <v>65</v>
      </c>
      <c r="C15" t="s">
        <v>47</v>
      </c>
      <c r="D15" t="s">
        <v>66</v>
      </c>
      <c r="E15" t="s">
        <v>49</v>
      </c>
      <c r="F15" t="s">
        <v>50</v>
      </c>
      <c r="H15">
        <v>1</v>
      </c>
      <c r="I15">
        <f t="shared" si="0"/>
        <v>40</v>
      </c>
      <c r="J15" s="2">
        <f t="shared" si="1"/>
        <v>2</v>
      </c>
      <c r="K15">
        <f t="shared" si="2"/>
        <v>20</v>
      </c>
      <c r="L15" t="str">
        <f t="shared" si="3"/>
        <v>Funded</v>
      </c>
      <c r="M15">
        <f t="shared" si="4"/>
        <v>2.9957322735539909</v>
      </c>
    </row>
    <row r="16" spans="1:13" x14ac:dyDescent="0.25">
      <c r="A16" t="s">
        <v>67</v>
      </c>
      <c r="B16" t="s">
        <v>65</v>
      </c>
      <c r="C16" t="s">
        <v>68</v>
      </c>
      <c r="D16" t="s">
        <v>69</v>
      </c>
      <c r="E16" t="s">
        <v>10</v>
      </c>
      <c r="F16" t="s">
        <v>11</v>
      </c>
      <c r="H16">
        <v>1</v>
      </c>
      <c r="I16">
        <f t="shared" si="0"/>
        <v>40</v>
      </c>
      <c r="J16" s="2">
        <f t="shared" si="1"/>
        <v>0.79400000000000004</v>
      </c>
      <c r="K16">
        <f t="shared" si="2"/>
        <v>50.377833753148614</v>
      </c>
      <c r="L16" t="str">
        <f t="shared" si="3"/>
        <v>Funded</v>
      </c>
      <c r="M16">
        <f t="shared" si="4"/>
        <v>3.9195512718489378</v>
      </c>
    </row>
    <row r="17" spans="1:13" x14ac:dyDescent="0.25">
      <c r="A17" t="s">
        <v>70</v>
      </c>
      <c r="B17" t="s">
        <v>71</v>
      </c>
      <c r="C17" t="s">
        <v>47</v>
      </c>
      <c r="D17" t="s">
        <v>72</v>
      </c>
      <c r="E17" t="s">
        <v>10</v>
      </c>
      <c r="F17" t="s">
        <v>11</v>
      </c>
      <c r="H17">
        <v>1</v>
      </c>
      <c r="I17">
        <f t="shared" si="0"/>
        <v>39</v>
      </c>
      <c r="J17" s="2">
        <f t="shared" si="1"/>
        <v>2</v>
      </c>
      <c r="K17">
        <f t="shared" si="2"/>
        <v>19.5</v>
      </c>
      <c r="L17" t="str">
        <f t="shared" si="3"/>
        <v>Funded</v>
      </c>
      <c r="M17">
        <f t="shared" si="4"/>
        <v>2.9704144655697009</v>
      </c>
    </row>
    <row r="18" spans="1:13" x14ac:dyDescent="0.25">
      <c r="A18" t="s">
        <v>73</v>
      </c>
      <c r="B18" t="s">
        <v>74</v>
      </c>
      <c r="C18" t="s">
        <v>75</v>
      </c>
      <c r="D18" t="s">
        <v>76</v>
      </c>
      <c r="E18" t="s">
        <v>10</v>
      </c>
      <c r="F18" t="s">
        <v>11</v>
      </c>
      <c r="H18">
        <v>1</v>
      </c>
      <c r="I18">
        <f t="shared" si="0"/>
        <v>38</v>
      </c>
      <c r="J18" s="2">
        <f t="shared" si="1"/>
        <v>15</v>
      </c>
      <c r="K18">
        <f t="shared" si="2"/>
        <v>2.5333333333333332</v>
      </c>
      <c r="L18" t="str">
        <f t="shared" si="3"/>
        <v>Funded</v>
      </c>
      <c r="M18">
        <f t="shared" si="4"/>
        <v>0.92953595862417571</v>
      </c>
    </row>
    <row r="19" spans="1:13" x14ac:dyDescent="0.25">
      <c r="A19" t="s">
        <v>77</v>
      </c>
      <c r="B19" t="s">
        <v>78</v>
      </c>
      <c r="C19" t="s">
        <v>47</v>
      </c>
      <c r="D19" t="s">
        <v>79</v>
      </c>
      <c r="E19" t="s">
        <v>10</v>
      </c>
      <c r="F19" t="s">
        <v>11</v>
      </c>
      <c r="H19">
        <v>1</v>
      </c>
      <c r="I19">
        <f t="shared" si="0"/>
        <v>32</v>
      </c>
      <c r="J19" s="2">
        <f t="shared" si="1"/>
        <v>2</v>
      </c>
      <c r="K19">
        <f t="shared" si="2"/>
        <v>16</v>
      </c>
      <c r="L19" t="str">
        <f t="shared" si="3"/>
        <v>Funded</v>
      </c>
      <c r="M19">
        <f t="shared" si="4"/>
        <v>2.7725887222397811</v>
      </c>
    </row>
    <row r="20" spans="1:13" x14ac:dyDescent="0.25">
      <c r="A20" t="s">
        <v>80</v>
      </c>
      <c r="B20" t="s">
        <v>78</v>
      </c>
      <c r="C20" t="s">
        <v>81</v>
      </c>
      <c r="D20" t="s">
        <v>82</v>
      </c>
      <c r="E20" t="s">
        <v>10</v>
      </c>
      <c r="F20" t="s">
        <v>11</v>
      </c>
      <c r="H20">
        <v>1</v>
      </c>
      <c r="I20">
        <f t="shared" si="0"/>
        <v>32</v>
      </c>
      <c r="J20" s="2">
        <f t="shared" si="1"/>
        <v>3</v>
      </c>
      <c r="K20">
        <f t="shared" si="2"/>
        <v>10.666666666666666</v>
      </c>
      <c r="L20" t="str">
        <f t="shared" si="3"/>
        <v>Funded</v>
      </c>
      <c r="M20">
        <f t="shared" si="4"/>
        <v>2.367123614131617</v>
      </c>
    </row>
    <row r="21" spans="1:13" x14ac:dyDescent="0.25">
      <c r="A21" t="s">
        <v>83</v>
      </c>
      <c r="B21" t="s">
        <v>84</v>
      </c>
      <c r="C21" t="s">
        <v>85</v>
      </c>
      <c r="D21" t="s">
        <v>86</v>
      </c>
      <c r="E21" t="s">
        <v>10</v>
      </c>
      <c r="F21" t="s">
        <v>11</v>
      </c>
      <c r="H21">
        <v>1</v>
      </c>
      <c r="I21">
        <f t="shared" si="0"/>
        <v>31</v>
      </c>
      <c r="J21" s="2">
        <f t="shared" si="1"/>
        <v>5</v>
      </c>
      <c r="K21">
        <f t="shared" si="2"/>
        <v>6.2</v>
      </c>
      <c r="L21" t="str">
        <f t="shared" si="3"/>
        <v>Funded</v>
      </c>
      <c r="M21">
        <f t="shared" si="4"/>
        <v>1.824549292051046</v>
      </c>
    </row>
    <row r="22" spans="1:13" x14ac:dyDescent="0.25">
      <c r="A22" t="s">
        <v>87</v>
      </c>
      <c r="B22" t="s">
        <v>84</v>
      </c>
      <c r="C22" t="s">
        <v>88</v>
      </c>
      <c r="D22" t="s">
        <v>89</v>
      </c>
      <c r="E22" t="s">
        <v>10</v>
      </c>
      <c r="F22" t="s">
        <v>11</v>
      </c>
      <c r="H22">
        <v>1</v>
      </c>
      <c r="I22">
        <f t="shared" si="0"/>
        <v>31</v>
      </c>
      <c r="J22" s="2">
        <f t="shared" si="1"/>
        <v>6</v>
      </c>
      <c r="K22">
        <f t="shared" si="2"/>
        <v>5.166666666666667</v>
      </c>
      <c r="L22" t="str">
        <f t="shared" si="3"/>
        <v>Funded</v>
      </c>
      <c r="M22">
        <f t="shared" si="4"/>
        <v>1.6422277352570913</v>
      </c>
    </row>
    <row r="23" spans="1:13" x14ac:dyDescent="0.25">
      <c r="A23" t="s">
        <v>90</v>
      </c>
      <c r="B23" t="s">
        <v>91</v>
      </c>
      <c r="C23" t="s">
        <v>14</v>
      </c>
      <c r="D23" t="s">
        <v>92</v>
      </c>
      <c r="E23" t="s">
        <v>10</v>
      </c>
      <c r="F23" t="s">
        <v>11</v>
      </c>
      <c r="H23">
        <v>1</v>
      </c>
      <c r="I23">
        <f t="shared" si="0"/>
        <v>30</v>
      </c>
      <c r="J23" s="2">
        <f t="shared" si="1"/>
        <v>9</v>
      </c>
      <c r="K23">
        <f t="shared" si="2"/>
        <v>3.3333333333333335</v>
      </c>
      <c r="L23" t="str">
        <f t="shared" si="3"/>
        <v>Funded</v>
      </c>
      <c r="M23">
        <f t="shared" si="4"/>
        <v>1.2039728043259361</v>
      </c>
    </row>
    <row r="24" spans="1:13" x14ac:dyDescent="0.25">
      <c r="A24" t="s">
        <v>93</v>
      </c>
      <c r="B24" t="s">
        <v>91</v>
      </c>
      <c r="C24" t="s">
        <v>53</v>
      </c>
      <c r="D24" t="s">
        <v>94</v>
      </c>
      <c r="E24" t="s">
        <v>20</v>
      </c>
      <c r="F24" t="s">
        <v>21</v>
      </c>
      <c r="H24">
        <v>1</v>
      </c>
      <c r="I24">
        <f t="shared" si="0"/>
        <v>30</v>
      </c>
      <c r="J24" s="2">
        <f t="shared" si="1"/>
        <v>4</v>
      </c>
      <c r="K24">
        <f t="shared" si="2"/>
        <v>7.5</v>
      </c>
      <c r="L24" t="str">
        <f t="shared" si="3"/>
        <v>Funded</v>
      </c>
      <c r="M24">
        <f t="shared" si="4"/>
        <v>2.0149030205422647</v>
      </c>
    </row>
    <row r="25" spans="1:13" x14ac:dyDescent="0.25">
      <c r="A25" t="s">
        <v>95</v>
      </c>
      <c r="B25" t="s">
        <v>91</v>
      </c>
      <c r="C25" t="s">
        <v>96</v>
      </c>
      <c r="D25" t="s">
        <v>97</v>
      </c>
      <c r="E25" t="s">
        <v>10</v>
      </c>
      <c r="F25" t="s">
        <v>11</v>
      </c>
      <c r="H25">
        <v>1</v>
      </c>
      <c r="I25">
        <f t="shared" si="0"/>
        <v>30</v>
      </c>
      <c r="J25" s="2">
        <f t="shared" si="1"/>
        <v>0.88100000000000001</v>
      </c>
      <c r="K25">
        <f t="shared" si="2"/>
        <v>34.052213393870602</v>
      </c>
      <c r="L25" t="str">
        <f t="shared" si="3"/>
        <v>Funded</v>
      </c>
      <c r="M25">
        <f t="shared" si="4"/>
        <v>3.5278950347081128</v>
      </c>
    </row>
    <row r="26" spans="1:13" x14ac:dyDescent="0.25">
      <c r="A26" t="s">
        <v>98</v>
      </c>
      <c r="B26" t="s">
        <v>99</v>
      </c>
      <c r="C26" t="s">
        <v>81</v>
      </c>
      <c r="D26" t="s">
        <v>100</v>
      </c>
      <c r="E26" t="s">
        <v>10</v>
      </c>
      <c r="F26" t="s">
        <v>11</v>
      </c>
      <c r="H26">
        <v>1</v>
      </c>
      <c r="I26">
        <f t="shared" si="0"/>
        <v>29</v>
      </c>
      <c r="J26" s="2">
        <f t="shared" si="1"/>
        <v>3</v>
      </c>
      <c r="K26">
        <f t="shared" si="2"/>
        <v>9.6666666666666661</v>
      </c>
      <c r="L26" t="str">
        <f t="shared" si="3"/>
        <v>Funded</v>
      </c>
      <c r="M26">
        <f t="shared" si="4"/>
        <v>2.2686835413183641</v>
      </c>
    </row>
    <row r="27" spans="1:13" x14ac:dyDescent="0.25">
      <c r="A27" t="s">
        <v>101</v>
      </c>
      <c r="B27" t="s">
        <v>99</v>
      </c>
      <c r="C27" t="s">
        <v>102</v>
      </c>
      <c r="D27" t="s">
        <v>103</v>
      </c>
      <c r="E27" t="s">
        <v>10</v>
      </c>
      <c r="F27" t="s">
        <v>11</v>
      </c>
      <c r="H27">
        <v>1</v>
      </c>
      <c r="I27">
        <f t="shared" si="0"/>
        <v>29</v>
      </c>
      <c r="J27" s="2">
        <f t="shared" si="1"/>
        <v>16</v>
      </c>
      <c r="K27">
        <f t="shared" si="2"/>
        <v>1.8125</v>
      </c>
      <c r="L27" t="str">
        <f t="shared" si="3"/>
        <v>Funded</v>
      </c>
      <c r="M27">
        <f t="shared" si="4"/>
        <v>0.59470710774669278</v>
      </c>
    </row>
    <row r="28" spans="1:13" x14ac:dyDescent="0.25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H28">
        <v>1</v>
      </c>
      <c r="I28">
        <f t="shared" si="0"/>
        <v>25</v>
      </c>
      <c r="J28" s="2">
        <f t="shared" si="1"/>
        <v>0.21</v>
      </c>
      <c r="K28">
        <f t="shared" si="2"/>
        <v>119.04761904761905</v>
      </c>
      <c r="L28" t="str">
        <f t="shared" si="3"/>
        <v>Funded</v>
      </c>
      <c r="M28">
        <f t="shared" si="4"/>
        <v>4.7795235731328694</v>
      </c>
    </row>
    <row r="29" spans="1:13" x14ac:dyDescent="0.25">
      <c r="A29" t="s">
        <v>110</v>
      </c>
      <c r="B29" t="s">
        <v>111</v>
      </c>
      <c r="C29" t="s">
        <v>81</v>
      </c>
      <c r="D29" t="s">
        <v>112</v>
      </c>
      <c r="E29" t="s">
        <v>10</v>
      </c>
      <c r="F29" t="s">
        <v>11</v>
      </c>
      <c r="H29">
        <v>1</v>
      </c>
      <c r="I29">
        <f t="shared" si="0"/>
        <v>23</v>
      </c>
      <c r="J29" s="2">
        <f t="shared" si="1"/>
        <v>3</v>
      </c>
      <c r="K29">
        <f t="shared" si="2"/>
        <v>7.666666666666667</v>
      </c>
      <c r="L29" t="str">
        <f t="shared" si="3"/>
        <v>Funded</v>
      </c>
      <c r="M29">
        <f t="shared" si="4"/>
        <v>2.0368819272610401</v>
      </c>
    </row>
    <row r="30" spans="1:13" x14ac:dyDescent="0.25">
      <c r="A30" t="s">
        <v>113</v>
      </c>
      <c r="B30" t="s">
        <v>111</v>
      </c>
      <c r="C30" t="s">
        <v>114</v>
      </c>
      <c r="D30" t="s">
        <v>115</v>
      </c>
      <c r="E30" t="s">
        <v>20</v>
      </c>
      <c r="F30" t="s">
        <v>21</v>
      </c>
      <c r="H30">
        <v>1</v>
      </c>
      <c r="I30">
        <f t="shared" si="0"/>
        <v>23</v>
      </c>
      <c r="J30" s="2">
        <f t="shared" si="1"/>
        <v>7</v>
      </c>
      <c r="K30">
        <f t="shared" si="2"/>
        <v>3.2857142857142856</v>
      </c>
      <c r="L30" t="str">
        <f t="shared" si="3"/>
        <v>Funded</v>
      </c>
      <c r="M30">
        <f t="shared" si="4"/>
        <v>1.1895840668738364</v>
      </c>
    </row>
    <row r="31" spans="1:13" x14ac:dyDescent="0.25">
      <c r="A31" t="s">
        <v>116</v>
      </c>
      <c r="B31" t="s">
        <v>111</v>
      </c>
      <c r="C31" t="s">
        <v>18</v>
      </c>
      <c r="D31" t="s">
        <v>117</v>
      </c>
      <c r="E31" t="s">
        <v>10</v>
      </c>
      <c r="F31" t="s">
        <v>11</v>
      </c>
      <c r="H31">
        <v>1</v>
      </c>
      <c r="I31">
        <f t="shared" si="0"/>
        <v>23</v>
      </c>
      <c r="J31" s="2">
        <f t="shared" si="1"/>
        <v>8</v>
      </c>
      <c r="K31">
        <f t="shared" si="2"/>
        <v>2.875</v>
      </c>
      <c r="L31" t="str">
        <f t="shared" si="3"/>
        <v>Funded</v>
      </c>
      <c r="M31">
        <f t="shared" si="4"/>
        <v>1.0560526742493137</v>
      </c>
    </row>
    <row r="32" spans="1:13" x14ac:dyDescent="0.25">
      <c r="A32" t="s">
        <v>118</v>
      </c>
      <c r="B32" t="s">
        <v>119</v>
      </c>
      <c r="C32" t="s">
        <v>85</v>
      </c>
      <c r="D32" t="s">
        <v>120</v>
      </c>
      <c r="E32" t="s">
        <v>44</v>
      </c>
      <c r="F32" t="s">
        <v>21</v>
      </c>
      <c r="H32">
        <v>1</v>
      </c>
      <c r="I32">
        <f t="shared" si="0"/>
        <v>22</v>
      </c>
      <c r="J32" s="2">
        <f t="shared" si="1"/>
        <v>5</v>
      </c>
      <c r="K32">
        <f t="shared" si="2"/>
        <v>4.4000000000000004</v>
      </c>
      <c r="L32" t="str">
        <f t="shared" si="3"/>
        <v>Funded</v>
      </c>
      <c r="M32">
        <f t="shared" si="4"/>
        <v>1.4816045409242156</v>
      </c>
    </row>
    <row r="33" spans="1:13" x14ac:dyDescent="0.25">
      <c r="A33" t="s">
        <v>121</v>
      </c>
      <c r="B33" t="s">
        <v>122</v>
      </c>
      <c r="C33" t="s">
        <v>47</v>
      </c>
      <c r="D33" t="s">
        <v>123</v>
      </c>
      <c r="E33" t="s">
        <v>20</v>
      </c>
      <c r="F33" t="s">
        <v>21</v>
      </c>
      <c r="H33">
        <v>1</v>
      </c>
      <c r="I33">
        <f t="shared" si="0"/>
        <v>21</v>
      </c>
      <c r="J33" s="2">
        <f t="shared" si="1"/>
        <v>2</v>
      </c>
      <c r="K33">
        <f t="shared" si="2"/>
        <v>10.5</v>
      </c>
      <c r="L33" t="str">
        <f t="shared" si="3"/>
        <v>Funded</v>
      </c>
      <c r="M33">
        <f t="shared" si="4"/>
        <v>2.3513752571634776</v>
      </c>
    </row>
    <row r="34" spans="1:13" x14ac:dyDescent="0.25">
      <c r="A34" t="s">
        <v>124</v>
      </c>
      <c r="B34" t="s">
        <v>35</v>
      </c>
      <c r="C34" t="s">
        <v>125</v>
      </c>
      <c r="D34" t="s">
        <v>126</v>
      </c>
      <c r="E34" t="s">
        <v>10</v>
      </c>
      <c r="F34" t="s">
        <v>11</v>
      </c>
      <c r="H34">
        <v>1</v>
      </c>
      <c r="I34">
        <f t="shared" si="0"/>
        <v>20</v>
      </c>
      <c r="J34" s="2">
        <f t="shared" si="1"/>
        <v>1</v>
      </c>
      <c r="K34">
        <f t="shared" si="2"/>
        <v>20</v>
      </c>
      <c r="L34" t="str">
        <f t="shared" si="3"/>
        <v>Funded</v>
      </c>
      <c r="M34">
        <f t="shared" si="4"/>
        <v>2.9957322735539909</v>
      </c>
    </row>
    <row r="35" spans="1:13" x14ac:dyDescent="0.25">
      <c r="A35" t="s">
        <v>127</v>
      </c>
      <c r="B35" t="s">
        <v>35</v>
      </c>
      <c r="C35" t="s">
        <v>53</v>
      </c>
      <c r="D35" t="s">
        <v>128</v>
      </c>
      <c r="E35" t="s">
        <v>49</v>
      </c>
      <c r="F35" t="s">
        <v>50</v>
      </c>
      <c r="H35">
        <v>1</v>
      </c>
      <c r="I35">
        <f t="shared" si="0"/>
        <v>20</v>
      </c>
      <c r="J35" s="2">
        <f t="shared" si="1"/>
        <v>4</v>
      </c>
      <c r="K35">
        <f t="shared" si="2"/>
        <v>5</v>
      </c>
      <c r="L35" t="str">
        <f t="shared" si="3"/>
        <v>Funded</v>
      </c>
      <c r="M35">
        <f t="shared" si="4"/>
        <v>1.6094379124341003</v>
      </c>
    </row>
    <row r="36" spans="1:13" x14ac:dyDescent="0.25">
      <c r="A36" t="s">
        <v>129</v>
      </c>
      <c r="B36" t="s">
        <v>35</v>
      </c>
      <c r="C36" t="s">
        <v>125</v>
      </c>
      <c r="D36" t="s">
        <v>130</v>
      </c>
      <c r="E36" t="s">
        <v>10</v>
      </c>
      <c r="F36" t="s">
        <v>11</v>
      </c>
      <c r="H36">
        <v>1</v>
      </c>
      <c r="I36">
        <f t="shared" si="0"/>
        <v>20</v>
      </c>
      <c r="J36" s="2">
        <f t="shared" si="1"/>
        <v>1</v>
      </c>
      <c r="K36">
        <f t="shared" si="2"/>
        <v>20</v>
      </c>
      <c r="L36" t="str">
        <f t="shared" si="3"/>
        <v>Funded</v>
      </c>
      <c r="M36">
        <f t="shared" si="4"/>
        <v>2.9957322735539909</v>
      </c>
    </row>
    <row r="37" spans="1:13" x14ac:dyDescent="0.25">
      <c r="A37" t="s">
        <v>131</v>
      </c>
      <c r="B37" t="s">
        <v>31</v>
      </c>
      <c r="C37" t="s">
        <v>85</v>
      </c>
      <c r="E37" t="s">
        <v>20</v>
      </c>
      <c r="F37" t="s">
        <v>21</v>
      </c>
      <c r="H37">
        <v>1</v>
      </c>
      <c r="I37">
        <f t="shared" si="0"/>
        <v>19</v>
      </c>
      <c r="J37" s="2">
        <f t="shared" si="1"/>
        <v>5</v>
      </c>
      <c r="K37">
        <f t="shared" si="2"/>
        <v>3.8</v>
      </c>
      <c r="L37" t="str">
        <f t="shared" si="3"/>
        <v>Funded</v>
      </c>
      <c r="M37">
        <f t="shared" si="4"/>
        <v>1.33500106673234</v>
      </c>
    </row>
    <row r="38" spans="1:13" x14ac:dyDescent="0.25">
      <c r="A38" t="s">
        <v>132</v>
      </c>
      <c r="B38" t="s">
        <v>133</v>
      </c>
      <c r="C38" t="s">
        <v>85</v>
      </c>
      <c r="D38" t="s">
        <v>134</v>
      </c>
      <c r="E38" t="s">
        <v>20</v>
      </c>
      <c r="F38" t="s">
        <v>21</v>
      </c>
      <c r="H38">
        <v>1</v>
      </c>
      <c r="I38">
        <f t="shared" si="0"/>
        <v>18</v>
      </c>
      <c r="J38" s="2">
        <f t="shared" si="1"/>
        <v>5</v>
      </c>
      <c r="K38">
        <f t="shared" si="2"/>
        <v>3.6</v>
      </c>
      <c r="L38" t="str">
        <f t="shared" si="3"/>
        <v>Funded</v>
      </c>
      <c r="M38">
        <f t="shared" si="4"/>
        <v>1.2809338454620642</v>
      </c>
    </row>
    <row r="39" spans="1:13" x14ac:dyDescent="0.25">
      <c r="A39" t="s">
        <v>135</v>
      </c>
      <c r="B39" t="s">
        <v>133</v>
      </c>
      <c r="C39" t="s">
        <v>136</v>
      </c>
      <c r="D39" t="s">
        <v>137</v>
      </c>
      <c r="E39" t="s">
        <v>10</v>
      </c>
      <c r="F39" t="s">
        <v>11</v>
      </c>
      <c r="H39">
        <v>1</v>
      </c>
      <c r="I39">
        <f t="shared" si="0"/>
        <v>18</v>
      </c>
      <c r="J39" s="2">
        <f t="shared" si="1"/>
        <v>0.47599999999999998</v>
      </c>
      <c r="K39">
        <f t="shared" si="2"/>
        <v>37.815126050420169</v>
      </c>
      <c r="L39" t="str">
        <f t="shared" si="3"/>
        <v>Funded</v>
      </c>
      <c r="M39">
        <f t="shared" si="4"/>
        <v>3.6327091826468818</v>
      </c>
    </row>
    <row r="40" spans="1:13" x14ac:dyDescent="0.25">
      <c r="A40" t="s">
        <v>138</v>
      </c>
      <c r="B40" t="s">
        <v>139</v>
      </c>
      <c r="C40" t="s">
        <v>140</v>
      </c>
      <c r="D40" t="s">
        <v>141</v>
      </c>
      <c r="E40" t="s">
        <v>10</v>
      </c>
      <c r="F40" t="s">
        <v>11</v>
      </c>
      <c r="H40">
        <v>1</v>
      </c>
      <c r="I40">
        <f t="shared" si="0"/>
        <v>17</v>
      </c>
      <c r="J40" s="2">
        <f t="shared" si="1"/>
        <v>0.98199999999999998</v>
      </c>
      <c r="K40">
        <f t="shared" si="2"/>
        <v>17.311608961303463</v>
      </c>
      <c r="L40" t="str">
        <f t="shared" si="3"/>
        <v>Funded</v>
      </c>
      <c r="M40">
        <f t="shared" si="4"/>
        <v>2.8513773146838872</v>
      </c>
    </row>
    <row r="41" spans="1:13" x14ac:dyDescent="0.25">
      <c r="A41" t="s">
        <v>142</v>
      </c>
      <c r="B41" t="s">
        <v>139</v>
      </c>
      <c r="C41" t="s">
        <v>143</v>
      </c>
      <c r="D41" t="s">
        <v>144</v>
      </c>
      <c r="E41" t="s">
        <v>20</v>
      </c>
      <c r="F41" t="s">
        <v>21</v>
      </c>
      <c r="H41">
        <v>1</v>
      </c>
      <c r="I41">
        <f t="shared" si="0"/>
        <v>17</v>
      </c>
      <c r="J41" s="2">
        <f t="shared" si="1"/>
        <v>0.91800000000000004</v>
      </c>
      <c r="K41">
        <f t="shared" si="2"/>
        <v>18.518518518518519</v>
      </c>
      <c r="L41" t="str">
        <f t="shared" si="3"/>
        <v>Funded</v>
      </c>
      <c r="M41">
        <f t="shared" si="4"/>
        <v>2.9187712324178627</v>
      </c>
    </row>
    <row r="42" spans="1:13" x14ac:dyDescent="0.25">
      <c r="A42" t="s">
        <v>145</v>
      </c>
      <c r="B42" t="s">
        <v>139</v>
      </c>
      <c r="C42" t="s">
        <v>53</v>
      </c>
      <c r="D42" t="s">
        <v>146</v>
      </c>
      <c r="E42" t="s">
        <v>20</v>
      </c>
      <c r="F42" t="s">
        <v>21</v>
      </c>
      <c r="H42">
        <v>1</v>
      </c>
      <c r="I42">
        <f t="shared" si="0"/>
        <v>17</v>
      </c>
      <c r="J42" s="2">
        <f t="shared" si="1"/>
        <v>4</v>
      </c>
      <c r="K42">
        <f t="shared" si="2"/>
        <v>4.25</v>
      </c>
      <c r="L42" t="str">
        <f t="shared" si="3"/>
        <v>Funded</v>
      </c>
      <c r="M42">
        <f t="shared" si="4"/>
        <v>1.4469189829363254</v>
      </c>
    </row>
    <row r="43" spans="1:13" x14ac:dyDescent="0.25">
      <c r="A43" t="s">
        <v>147</v>
      </c>
      <c r="B43" t="s">
        <v>139</v>
      </c>
      <c r="C43" t="s">
        <v>47</v>
      </c>
      <c r="D43" t="s">
        <v>148</v>
      </c>
      <c r="E43" t="s">
        <v>10</v>
      </c>
      <c r="F43" t="s">
        <v>11</v>
      </c>
      <c r="H43">
        <v>1</v>
      </c>
      <c r="I43">
        <f t="shared" si="0"/>
        <v>17</v>
      </c>
      <c r="J43" s="2">
        <f t="shared" si="1"/>
        <v>2</v>
      </c>
      <c r="K43">
        <f t="shared" si="2"/>
        <v>8.5</v>
      </c>
      <c r="L43" t="str">
        <f t="shared" si="3"/>
        <v>Funded</v>
      </c>
      <c r="M43">
        <f t="shared" si="4"/>
        <v>2.1400661634962708</v>
      </c>
    </row>
    <row r="44" spans="1:13" x14ac:dyDescent="0.25">
      <c r="A44" t="s">
        <v>149</v>
      </c>
      <c r="B44" t="s">
        <v>139</v>
      </c>
      <c r="C44" t="s">
        <v>47</v>
      </c>
      <c r="D44" t="s">
        <v>150</v>
      </c>
      <c r="E44" t="s">
        <v>151</v>
      </c>
      <c r="F44" t="s">
        <v>50</v>
      </c>
      <c r="H44">
        <v>1</v>
      </c>
      <c r="I44">
        <f t="shared" si="0"/>
        <v>17</v>
      </c>
      <c r="J44" s="2">
        <f t="shared" si="1"/>
        <v>2</v>
      </c>
      <c r="K44">
        <f t="shared" si="2"/>
        <v>8.5</v>
      </c>
      <c r="L44" t="str">
        <f t="shared" si="3"/>
        <v>Funded</v>
      </c>
      <c r="M44">
        <f t="shared" si="4"/>
        <v>2.1400661634962708</v>
      </c>
    </row>
    <row r="45" spans="1:13" x14ac:dyDescent="0.25">
      <c r="A45" t="s">
        <v>152</v>
      </c>
      <c r="B45" t="s">
        <v>102</v>
      </c>
      <c r="C45" t="s">
        <v>81</v>
      </c>
      <c r="D45" t="s">
        <v>153</v>
      </c>
      <c r="E45" t="s">
        <v>20</v>
      </c>
      <c r="F45" t="s">
        <v>21</v>
      </c>
      <c r="H45">
        <v>1</v>
      </c>
      <c r="I45">
        <f t="shared" si="0"/>
        <v>16</v>
      </c>
      <c r="J45" s="2">
        <f t="shared" si="1"/>
        <v>3</v>
      </c>
      <c r="K45">
        <f t="shared" si="2"/>
        <v>5.333333333333333</v>
      </c>
      <c r="L45" t="str">
        <f t="shared" si="3"/>
        <v>Funded</v>
      </c>
      <c r="M45">
        <f t="shared" si="4"/>
        <v>1.6739764335716716</v>
      </c>
    </row>
    <row r="46" spans="1:13" x14ac:dyDescent="0.25">
      <c r="A46" t="s">
        <v>154</v>
      </c>
      <c r="B46" t="s">
        <v>75</v>
      </c>
      <c r="C46" t="s">
        <v>155</v>
      </c>
      <c r="D46" t="s">
        <v>156</v>
      </c>
      <c r="E46" t="s">
        <v>10</v>
      </c>
      <c r="F46" t="s">
        <v>11</v>
      </c>
      <c r="H46">
        <v>1</v>
      </c>
      <c r="I46">
        <f t="shared" si="0"/>
        <v>15</v>
      </c>
      <c r="J46" s="2">
        <f t="shared" si="1"/>
        <v>0.98299999999999998</v>
      </c>
      <c r="K46">
        <f t="shared" si="2"/>
        <v>15.25940996948118</v>
      </c>
      <c r="L46" t="str">
        <f t="shared" si="3"/>
        <v>Funded</v>
      </c>
      <c r="M46">
        <f t="shared" si="4"/>
        <v>2.7251963599371805</v>
      </c>
    </row>
    <row r="47" spans="1:13" x14ac:dyDescent="0.25">
      <c r="A47" t="s">
        <v>157</v>
      </c>
      <c r="B47" t="s">
        <v>75</v>
      </c>
      <c r="C47" t="s">
        <v>158</v>
      </c>
      <c r="D47" t="s">
        <v>159</v>
      </c>
      <c r="E47" t="s">
        <v>20</v>
      </c>
      <c r="F47" t="s">
        <v>21</v>
      </c>
      <c r="H47">
        <v>1</v>
      </c>
      <c r="I47">
        <f t="shared" si="0"/>
        <v>15</v>
      </c>
      <c r="J47" s="2">
        <f t="shared" si="1"/>
        <v>0.72099999999999997</v>
      </c>
      <c r="K47">
        <f t="shared" si="2"/>
        <v>20.804438280166437</v>
      </c>
      <c r="L47" t="str">
        <f t="shared" si="3"/>
        <v>Funded</v>
      </c>
      <c r="M47">
        <f t="shared" si="4"/>
        <v>3.035166342799398</v>
      </c>
    </row>
    <row r="48" spans="1:13" x14ac:dyDescent="0.25">
      <c r="A48" t="s">
        <v>160</v>
      </c>
      <c r="B48" t="s">
        <v>75</v>
      </c>
      <c r="C48" t="s">
        <v>125</v>
      </c>
      <c r="D48" t="s">
        <v>161</v>
      </c>
      <c r="E48" t="s">
        <v>10</v>
      </c>
      <c r="F48" t="s">
        <v>11</v>
      </c>
      <c r="H48">
        <v>1</v>
      </c>
      <c r="I48">
        <f t="shared" si="0"/>
        <v>15</v>
      </c>
      <c r="J48" s="2">
        <f t="shared" si="1"/>
        <v>1</v>
      </c>
      <c r="K48">
        <f t="shared" si="2"/>
        <v>15</v>
      </c>
      <c r="L48" t="str">
        <f t="shared" si="3"/>
        <v>Funded</v>
      </c>
      <c r="M48">
        <f t="shared" si="4"/>
        <v>2.7080502011022101</v>
      </c>
    </row>
    <row r="49" spans="1:13" x14ac:dyDescent="0.25">
      <c r="A49" t="s">
        <v>162</v>
      </c>
      <c r="B49" t="s">
        <v>75</v>
      </c>
      <c r="C49" t="s">
        <v>163</v>
      </c>
      <c r="D49" t="s">
        <v>164</v>
      </c>
      <c r="E49" t="s">
        <v>20</v>
      </c>
      <c r="F49" t="s">
        <v>21</v>
      </c>
      <c r="H49">
        <v>1</v>
      </c>
      <c r="I49">
        <f t="shared" si="0"/>
        <v>15</v>
      </c>
      <c r="J49" s="2">
        <f t="shared" si="1"/>
        <v>0.76500000000000001</v>
      </c>
      <c r="K49">
        <f t="shared" si="2"/>
        <v>19.607843137254903</v>
      </c>
      <c r="L49" t="str">
        <f t="shared" si="3"/>
        <v>Funded</v>
      </c>
      <c r="M49">
        <f t="shared" si="4"/>
        <v>2.9759296462578115</v>
      </c>
    </row>
    <row r="50" spans="1:13" x14ac:dyDescent="0.25">
      <c r="A50" t="s">
        <v>165</v>
      </c>
      <c r="B50" t="s">
        <v>75</v>
      </c>
      <c r="C50" t="s">
        <v>125</v>
      </c>
      <c r="D50" t="s">
        <v>166</v>
      </c>
      <c r="E50" t="s">
        <v>10</v>
      </c>
      <c r="F50" t="s">
        <v>11</v>
      </c>
      <c r="H50">
        <v>1</v>
      </c>
      <c r="I50">
        <f t="shared" si="0"/>
        <v>15</v>
      </c>
      <c r="J50" s="2">
        <f t="shared" si="1"/>
        <v>1</v>
      </c>
      <c r="K50">
        <f t="shared" si="2"/>
        <v>15</v>
      </c>
      <c r="L50" t="str">
        <f t="shared" si="3"/>
        <v>Funded</v>
      </c>
      <c r="M50">
        <f t="shared" si="4"/>
        <v>2.7080502011022101</v>
      </c>
    </row>
    <row r="51" spans="1:13" x14ac:dyDescent="0.25">
      <c r="A51" t="s">
        <v>167</v>
      </c>
      <c r="B51" t="s">
        <v>75</v>
      </c>
      <c r="C51" t="s">
        <v>125</v>
      </c>
      <c r="D51" t="s">
        <v>156</v>
      </c>
      <c r="E51" t="s">
        <v>10</v>
      </c>
      <c r="F51" t="s">
        <v>11</v>
      </c>
      <c r="H51">
        <v>1</v>
      </c>
      <c r="I51">
        <f t="shared" si="0"/>
        <v>15</v>
      </c>
      <c r="J51" s="2">
        <f t="shared" si="1"/>
        <v>1</v>
      </c>
      <c r="K51">
        <f t="shared" si="2"/>
        <v>15</v>
      </c>
      <c r="L51" t="str">
        <f t="shared" si="3"/>
        <v>Funded</v>
      </c>
      <c r="M51">
        <f t="shared" si="4"/>
        <v>2.7080502011022101</v>
      </c>
    </row>
    <row r="52" spans="1:13" x14ac:dyDescent="0.25">
      <c r="A52" t="s">
        <v>168</v>
      </c>
      <c r="B52" t="s">
        <v>75</v>
      </c>
      <c r="C52" t="s">
        <v>125</v>
      </c>
      <c r="D52" t="s">
        <v>169</v>
      </c>
      <c r="E52" t="s">
        <v>170</v>
      </c>
      <c r="F52" t="s">
        <v>50</v>
      </c>
      <c r="H52">
        <v>1</v>
      </c>
      <c r="I52">
        <f t="shared" si="0"/>
        <v>15</v>
      </c>
      <c r="J52" s="2">
        <f t="shared" si="1"/>
        <v>1</v>
      </c>
      <c r="K52">
        <f t="shared" si="2"/>
        <v>15</v>
      </c>
      <c r="L52" t="str">
        <f t="shared" si="3"/>
        <v>Funded</v>
      </c>
      <c r="M52">
        <f t="shared" si="4"/>
        <v>2.7080502011022101</v>
      </c>
    </row>
    <row r="53" spans="1:13" x14ac:dyDescent="0.25">
      <c r="A53" t="s">
        <v>171</v>
      </c>
      <c r="B53" t="s">
        <v>75</v>
      </c>
      <c r="C53" t="s">
        <v>53</v>
      </c>
      <c r="D53" t="s">
        <v>172</v>
      </c>
      <c r="E53" t="s">
        <v>49</v>
      </c>
      <c r="F53" t="s">
        <v>50</v>
      </c>
      <c r="H53">
        <v>1</v>
      </c>
      <c r="I53">
        <f t="shared" si="0"/>
        <v>15</v>
      </c>
      <c r="J53" s="2">
        <f t="shared" si="1"/>
        <v>4</v>
      </c>
      <c r="K53">
        <f t="shared" si="2"/>
        <v>3.75</v>
      </c>
      <c r="L53" t="str">
        <f t="shared" si="3"/>
        <v>Funded</v>
      </c>
      <c r="M53">
        <f t="shared" si="4"/>
        <v>1.3217558399823195</v>
      </c>
    </row>
    <row r="54" spans="1:13" x14ac:dyDescent="0.25">
      <c r="A54" t="s">
        <v>173</v>
      </c>
      <c r="B54" t="s">
        <v>75</v>
      </c>
      <c r="C54" t="s">
        <v>174</v>
      </c>
      <c r="D54" t="s">
        <v>175</v>
      </c>
      <c r="E54" t="s">
        <v>10</v>
      </c>
      <c r="F54" t="s">
        <v>11</v>
      </c>
      <c r="H54">
        <v>1</v>
      </c>
      <c r="I54">
        <f t="shared" si="0"/>
        <v>15</v>
      </c>
      <c r="J54" s="2">
        <f t="shared" si="1"/>
        <v>0.255</v>
      </c>
      <c r="K54">
        <f t="shared" si="2"/>
        <v>58.823529411764703</v>
      </c>
      <c r="L54" t="str">
        <f t="shared" si="3"/>
        <v>Funded</v>
      </c>
      <c r="M54">
        <f t="shared" si="4"/>
        <v>4.0745419349259206</v>
      </c>
    </row>
    <row r="55" spans="1:13" x14ac:dyDescent="0.25">
      <c r="A55" t="s">
        <v>176</v>
      </c>
      <c r="B55" t="s">
        <v>75</v>
      </c>
      <c r="C55" t="s">
        <v>47</v>
      </c>
      <c r="D55" t="s">
        <v>177</v>
      </c>
      <c r="E55" t="s">
        <v>44</v>
      </c>
      <c r="F55" t="s">
        <v>21</v>
      </c>
      <c r="H55">
        <v>1</v>
      </c>
      <c r="I55">
        <f t="shared" si="0"/>
        <v>15</v>
      </c>
      <c r="J55" s="2">
        <f t="shared" si="1"/>
        <v>2</v>
      </c>
      <c r="K55">
        <f t="shared" si="2"/>
        <v>7.5</v>
      </c>
      <c r="L55" t="str">
        <f t="shared" si="3"/>
        <v>Funded</v>
      </c>
      <c r="M55">
        <f t="shared" si="4"/>
        <v>2.0149030205422647</v>
      </c>
    </row>
    <row r="56" spans="1:13" x14ac:dyDescent="0.25">
      <c r="A56" t="s">
        <v>178</v>
      </c>
      <c r="B56" t="s">
        <v>179</v>
      </c>
      <c r="C56" t="s">
        <v>81</v>
      </c>
      <c r="E56" t="s">
        <v>20</v>
      </c>
      <c r="F56" t="s">
        <v>21</v>
      </c>
      <c r="H56">
        <v>1</v>
      </c>
      <c r="I56">
        <f t="shared" si="0"/>
        <v>14</v>
      </c>
      <c r="J56" s="2">
        <f t="shared" si="1"/>
        <v>3</v>
      </c>
      <c r="K56">
        <f t="shared" si="2"/>
        <v>4.666666666666667</v>
      </c>
      <c r="L56" t="str">
        <f t="shared" si="3"/>
        <v>Funded</v>
      </c>
      <c r="M56">
        <f t="shared" si="4"/>
        <v>1.5404450409471491</v>
      </c>
    </row>
    <row r="57" spans="1:13" x14ac:dyDescent="0.25">
      <c r="A57" t="s">
        <v>180</v>
      </c>
      <c r="B57" t="s">
        <v>179</v>
      </c>
      <c r="C57" s="1">
        <v>0</v>
      </c>
      <c r="E57" t="s">
        <v>10</v>
      </c>
      <c r="F57" t="s">
        <v>11</v>
      </c>
      <c r="H57">
        <v>1</v>
      </c>
      <c r="I57">
        <f t="shared" si="0"/>
        <v>14</v>
      </c>
      <c r="J57" s="2">
        <f t="shared" si="1"/>
        <v>0</v>
      </c>
      <c r="K57" t="str">
        <f t="shared" si="2"/>
        <v/>
      </c>
      <c r="L57" t="str">
        <f t="shared" si="3"/>
        <v>Bootstrapped</v>
      </c>
      <c r="M57" t="str">
        <f t="shared" si="4"/>
        <v/>
      </c>
    </row>
    <row r="58" spans="1:13" x14ac:dyDescent="0.25">
      <c r="A58" t="s">
        <v>181</v>
      </c>
      <c r="B58" t="s">
        <v>179</v>
      </c>
      <c r="C58" t="s">
        <v>47</v>
      </c>
      <c r="D58" t="s">
        <v>182</v>
      </c>
      <c r="E58" t="s">
        <v>10</v>
      </c>
      <c r="F58" t="s">
        <v>11</v>
      </c>
      <c r="H58">
        <v>1</v>
      </c>
      <c r="I58">
        <f t="shared" si="0"/>
        <v>14</v>
      </c>
      <c r="J58" s="2">
        <f t="shared" si="1"/>
        <v>2</v>
      </c>
      <c r="K58">
        <f t="shared" si="2"/>
        <v>7</v>
      </c>
      <c r="L58" t="str">
        <f t="shared" si="3"/>
        <v>Funded</v>
      </c>
      <c r="M58">
        <f t="shared" si="4"/>
        <v>1.9459101490553132</v>
      </c>
    </row>
    <row r="59" spans="1:13" x14ac:dyDescent="0.25">
      <c r="A59" t="s">
        <v>183</v>
      </c>
      <c r="B59" t="s">
        <v>179</v>
      </c>
      <c r="C59" t="s">
        <v>47</v>
      </c>
      <c r="D59" t="s">
        <v>184</v>
      </c>
      <c r="E59" t="s">
        <v>170</v>
      </c>
      <c r="F59" t="s">
        <v>50</v>
      </c>
      <c r="H59">
        <v>1</v>
      </c>
      <c r="I59">
        <f t="shared" si="0"/>
        <v>14</v>
      </c>
      <c r="J59" s="2">
        <f t="shared" si="1"/>
        <v>2</v>
      </c>
      <c r="K59">
        <f t="shared" si="2"/>
        <v>7</v>
      </c>
      <c r="L59" t="str">
        <f t="shared" si="3"/>
        <v>Funded</v>
      </c>
      <c r="M59">
        <f t="shared" si="4"/>
        <v>1.9459101490553132</v>
      </c>
    </row>
    <row r="60" spans="1:13" x14ac:dyDescent="0.25">
      <c r="A60" t="s">
        <v>185</v>
      </c>
      <c r="B60" t="s">
        <v>179</v>
      </c>
      <c r="C60" t="s">
        <v>81</v>
      </c>
      <c r="D60" t="s">
        <v>186</v>
      </c>
      <c r="E60" t="s">
        <v>187</v>
      </c>
      <c r="F60" t="s">
        <v>50</v>
      </c>
      <c r="H60">
        <v>1</v>
      </c>
      <c r="I60">
        <f t="shared" si="0"/>
        <v>14</v>
      </c>
      <c r="J60" s="2">
        <f t="shared" si="1"/>
        <v>3</v>
      </c>
      <c r="K60">
        <f t="shared" si="2"/>
        <v>4.666666666666667</v>
      </c>
      <c r="L60" t="str">
        <f t="shared" si="3"/>
        <v>Funded</v>
      </c>
      <c r="M60">
        <f t="shared" si="4"/>
        <v>1.5404450409471491</v>
      </c>
    </row>
    <row r="61" spans="1:13" x14ac:dyDescent="0.25">
      <c r="A61" t="s">
        <v>188</v>
      </c>
      <c r="B61" t="s">
        <v>189</v>
      </c>
      <c r="C61" t="s">
        <v>190</v>
      </c>
      <c r="D61" t="s">
        <v>191</v>
      </c>
      <c r="E61" t="s">
        <v>10</v>
      </c>
      <c r="F61" t="s">
        <v>11</v>
      </c>
      <c r="H61">
        <v>1</v>
      </c>
      <c r="I61">
        <f t="shared" si="0"/>
        <v>13</v>
      </c>
      <c r="J61" s="2">
        <f t="shared" si="1"/>
        <v>0.42699999999999999</v>
      </c>
      <c r="K61">
        <f t="shared" si="2"/>
        <v>30.444964871194379</v>
      </c>
      <c r="L61" t="str">
        <f t="shared" si="3"/>
        <v>Funded</v>
      </c>
      <c r="M61">
        <f t="shared" si="4"/>
        <v>3.4159206232150492</v>
      </c>
    </row>
    <row r="62" spans="1:13" x14ac:dyDescent="0.25">
      <c r="A62" t="s">
        <v>192</v>
      </c>
      <c r="B62" t="s">
        <v>189</v>
      </c>
      <c r="C62" t="s">
        <v>193</v>
      </c>
      <c r="D62" t="s">
        <v>194</v>
      </c>
      <c r="E62" t="s">
        <v>10</v>
      </c>
      <c r="F62" t="s">
        <v>11</v>
      </c>
      <c r="H62">
        <v>1</v>
      </c>
      <c r="I62">
        <f t="shared" si="0"/>
        <v>13</v>
      </c>
      <c r="J62" s="2">
        <f t="shared" si="1"/>
        <v>0.4</v>
      </c>
      <c r="K62">
        <f t="shared" si="2"/>
        <v>32.5</v>
      </c>
      <c r="L62" t="str">
        <f t="shared" si="3"/>
        <v>Funded</v>
      </c>
      <c r="M62">
        <f t="shared" si="4"/>
        <v>3.4812400893356918</v>
      </c>
    </row>
    <row r="63" spans="1:13" x14ac:dyDescent="0.25">
      <c r="A63" t="s">
        <v>195</v>
      </c>
      <c r="B63" t="s">
        <v>189</v>
      </c>
      <c r="C63" t="s">
        <v>81</v>
      </c>
      <c r="D63" t="s">
        <v>196</v>
      </c>
      <c r="E63" t="s">
        <v>10</v>
      </c>
      <c r="F63" t="s">
        <v>11</v>
      </c>
      <c r="H63">
        <v>1</v>
      </c>
      <c r="I63">
        <f t="shared" si="0"/>
        <v>13</v>
      </c>
      <c r="J63" s="2">
        <f t="shared" si="1"/>
        <v>3</v>
      </c>
      <c r="K63">
        <f t="shared" si="2"/>
        <v>4.333333333333333</v>
      </c>
      <c r="L63" t="str">
        <f t="shared" si="3"/>
        <v>Funded</v>
      </c>
      <c r="M63">
        <f t="shared" si="4"/>
        <v>1.466337068793427</v>
      </c>
    </row>
    <row r="64" spans="1:13" x14ac:dyDescent="0.25">
      <c r="A64" t="s">
        <v>197</v>
      </c>
      <c r="B64" t="s">
        <v>189</v>
      </c>
      <c r="C64" t="s">
        <v>47</v>
      </c>
      <c r="D64" t="s">
        <v>120</v>
      </c>
      <c r="E64" t="s">
        <v>170</v>
      </c>
      <c r="F64" t="s">
        <v>50</v>
      </c>
      <c r="H64">
        <v>1</v>
      </c>
      <c r="I64">
        <f t="shared" si="0"/>
        <v>13</v>
      </c>
      <c r="J64" s="2">
        <f t="shared" si="1"/>
        <v>2</v>
      </c>
      <c r="K64">
        <f t="shared" si="2"/>
        <v>6.5</v>
      </c>
      <c r="L64" t="str">
        <f t="shared" si="3"/>
        <v>Funded</v>
      </c>
      <c r="M64">
        <f t="shared" si="4"/>
        <v>1.8718021769015913</v>
      </c>
    </row>
    <row r="65" spans="1:13" x14ac:dyDescent="0.25">
      <c r="A65" t="s">
        <v>198</v>
      </c>
      <c r="B65" t="s">
        <v>199</v>
      </c>
      <c r="C65" s="1">
        <v>0</v>
      </c>
      <c r="E65" t="s">
        <v>10</v>
      </c>
      <c r="F65" t="s">
        <v>11</v>
      </c>
      <c r="H65">
        <v>1</v>
      </c>
      <c r="I65">
        <f t="shared" si="0"/>
        <v>12</v>
      </c>
      <c r="J65" s="2">
        <f t="shared" si="1"/>
        <v>0</v>
      </c>
      <c r="K65" t="str">
        <f t="shared" si="2"/>
        <v/>
      </c>
      <c r="L65" t="str">
        <f t="shared" si="3"/>
        <v>Bootstrapped</v>
      </c>
      <c r="M65" t="str">
        <f t="shared" si="4"/>
        <v/>
      </c>
    </row>
    <row r="66" spans="1:13" x14ac:dyDescent="0.25">
      <c r="A66" t="s">
        <v>200</v>
      </c>
      <c r="B66" t="s">
        <v>199</v>
      </c>
      <c r="C66" t="s">
        <v>201</v>
      </c>
      <c r="D66" t="s">
        <v>202</v>
      </c>
      <c r="E66" t="s">
        <v>10</v>
      </c>
      <c r="F66" t="s">
        <v>11</v>
      </c>
      <c r="H66">
        <v>1</v>
      </c>
      <c r="I66">
        <f t="shared" si="0"/>
        <v>12</v>
      </c>
      <c r="J66" s="2">
        <f t="shared" si="1"/>
        <v>0.77800000000000002</v>
      </c>
      <c r="K66">
        <f t="shared" si="2"/>
        <v>15.424164524421593</v>
      </c>
      <c r="L66" t="str">
        <f t="shared" si="3"/>
        <v>Funded</v>
      </c>
      <c r="M66">
        <f t="shared" si="4"/>
        <v>2.7359354045917459</v>
      </c>
    </row>
    <row r="67" spans="1:13" x14ac:dyDescent="0.25">
      <c r="A67" t="s">
        <v>203</v>
      </c>
      <c r="B67" t="s">
        <v>199</v>
      </c>
      <c r="C67" t="s">
        <v>85</v>
      </c>
      <c r="D67" t="s">
        <v>169</v>
      </c>
      <c r="E67" t="s">
        <v>20</v>
      </c>
      <c r="F67" t="s">
        <v>21</v>
      </c>
      <c r="H67">
        <v>1</v>
      </c>
      <c r="I67">
        <f t="shared" ref="I67:I130" si="5">IF(B67="","",
VALUE(SUBSTITUTE(SUBSTITUTE(B67,"$",""),"B","")))</f>
        <v>12</v>
      </c>
      <c r="J67" s="2">
        <f t="shared" ref="J67:J130" si="6">IF(C67="","",
IF(C67="$0",0,
IF(RIGHT(C67,1)="B",
VALUE(SUBSTITUTE(SUBSTITUTE(C67,"$",""),"B","")),
IF(RIGHT(C67,1)="M",
VALUE(SUBSTITUTE(SUBSTITUTE(C67,"$",""),"M",""))/1000,
IF(RIGHT(C67,1)="K",
VALUE(SUBSTITUTE(SUBSTITUTE(C67,"$",""),"K",""))/1000000,
VALUE(SUBSTITUTE(C67,"$",""))
)))))</f>
        <v>5</v>
      </c>
      <c r="K67">
        <f t="shared" ref="K67:K130" si="7">IF(J67&gt;0,I67/J67,"")</f>
        <v>2.4</v>
      </c>
      <c r="L67" t="str">
        <f t="shared" ref="L67:L130" si="8">IF(J67=0,"Bootstrapped","Funded")</f>
        <v>Funded</v>
      </c>
      <c r="M67">
        <f t="shared" ref="M67:M130" si="9">IF(AND(I67&gt;0,J67&gt;0),LN(I67/J67),"")</f>
        <v>0.87546873735389985</v>
      </c>
    </row>
    <row r="68" spans="1:13" x14ac:dyDescent="0.25">
      <c r="A68" t="s">
        <v>204</v>
      </c>
      <c r="B68" t="s">
        <v>199</v>
      </c>
      <c r="C68" t="s">
        <v>205</v>
      </c>
      <c r="D68" t="s">
        <v>206</v>
      </c>
      <c r="E68" t="s">
        <v>10</v>
      </c>
      <c r="F68" t="s">
        <v>11</v>
      </c>
      <c r="H68">
        <v>1</v>
      </c>
      <c r="I68">
        <f t="shared" si="5"/>
        <v>12</v>
      </c>
      <c r="J68" s="2">
        <f t="shared" si="6"/>
        <v>0.76700000000000002</v>
      </c>
      <c r="K68">
        <f t="shared" si="7"/>
        <v>15.645371577574966</v>
      </c>
      <c r="L68" t="str">
        <f t="shared" si="8"/>
        <v>Funded</v>
      </c>
      <c r="M68">
        <f t="shared" si="9"/>
        <v>2.7501751274028812</v>
      </c>
    </row>
    <row r="69" spans="1:13" x14ac:dyDescent="0.25">
      <c r="A69" t="s">
        <v>207</v>
      </c>
      <c r="B69" t="s">
        <v>199</v>
      </c>
      <c r="C69" t="s">
        <v>47</v>
      </c>
      <c r="D69" t="s">
        <v>15</v>
      </c>
      <c r="E69" t="s">
        <v>10</v>
      </c>
      <c r="F69" t="s">
        <v>11</v>
      </c>
      <c r="H69">
        <v>1</v>
      </c>
      <c r="I69">
        <f t="shared" si="5"/>
        <v>12</v>
      </c>
      <c r="J69" s="2">
        <f t="shared" si="6"/>
        <v>2</v>
      </c>
      <c r="K69">
        <f t="shared" si="7"/>
        <v>6</v>
      </c>
      <c r="L69" t="str">
        <f t="shared" si="8"/>
        <v>Funded</v>
      </c>
      <c r="M69">
        <f t="shared" si="9"/>
        <v>1.791759469228055</v>
      </c>
    </row>
    <row r="70" spans="1:13" x14ac:dyDescent="0.25">
      <c r="A70" t="s">
        <v>208</v>
      </c>
      <c r="B70" t="s">
        <v>199</v>
      </c>
      <c r="C70" t="s">
        <v>53</v>
      </c>
      <c r="D70" t="s">
        <v>209</v>
      </c>
      <c r="E70" t="s">
        <v>210</v>
      </c>
      <c r="F70" t="s">
        <v>50</v>
      </c>
      <c r="H70">
        <v>1</v>
      </c>
      <c r="I70">
        <f t="shared" si="5"/>
        <v>12</v>
      </c>
      <c r="J70" s="2">
        <f t="shared" si="6"/>
        <v>4</v>
      </c>
      <c r="K70">
        <f t="shared" si="7"/>
        <v>3</v>
      </c>
      <c r="L70" t="str">
        <f t="shared" si="8"/>
        <v>Funded</v>
      </c>
      <c r="M70">
        <f t="shared" si="9"/>
        <v>1.0986122886681098</v>
      </c>
    </row>
    <row r="71" spans="1:13" x14ac:dyDescent="0.25">
      <c r="A71" t="s">
        <v>211</v>
      </c>
      <c r="B71" t="s">
        <v>199</v>
      </c>
      <c r="C71" t="s">
        <v>125</v>
      </c>
      <c r="D71" t="s">
        <v>212</v>
      </c>
      <c r="E71" t="s">
        <v>10</v>
      </c>
      <c r="F71" t="s">
        <v>11</v>
      </c>
      <c r="H71">
        <v>1</v>
      </c>
      <c r="I71">
        <f t="shared" si="5"/>
        <v>12</v>
      </c>
      <c r="J71" s="2">
        <f t="shared" si="6"/>
        <v>1</v>
      </c>
      <c r="K71">
        <f t="shared" si="7"/>
        <v>12</v>
      </c>
      <c r="L71" t="str">
        <f t="shared" si="8"/>
        <v>Funded</v>
      </c>
      <c r="M71">
        <f t="shared" si="9"/>
        <v>2.4849066497880004</v>
      </c>
    </row>
    <row r="72" spans="1:13" x14ac:dyDescent="0.25">
      <c r="A72" t="s">
        <v>213</v>
      </c>
      <c r="B72" t="s">
        <v>199</v>
      </c>
      <c r="C72" t="s">
        <v>125</v>
      </c>
      <c r="D72" t="s">
        <v>214</v>
      </c>
      <c r="E72" t="s">
        <v>49</v>
      </c>
      <c r="F72" t="s">
        <v>50</v>
      </c>
      <c r="H72">
        <v>1</v>
      </c>
      <c r="I72">
        <f t="shared" si="5"/>
        <v>12</v>
      </c>
      <c r="J72" s="2">
        <f t="shared" si="6"/>
        <v>1</v>
      </c>
      <c r="K72">
        <f t="shared" si="7"/>
        <v>12</v>
      </c>
      <c r="L72" t="str">
        <f t="shared" si="8"/>
        <v>Funded</v>
      </c>
      <c r="M72">
        <f t="shared" si="9"/>
        <v>2.4849066497880004</v>
      </c>
    </row>
    <row r="73" spans="1:13" x14ac:dyDescent="0.25">
      <c r="A73" t="s">
        <v>215</v>
      </c>
      <c r="B73" t="s">
        <v>199</v>
      </c>
      <c r="C73" t="s">
        <v>216</v>
      </c>
      <c r="D73" t="s">
        <v>217</v>
      </c>
      <c r="E73" t="s">
        <v>10</v>
      </c>
      <c r="F73" t="s">
        <v>11</v>
      </c>
      <c r="H73">
        <v>1</v>
      </c>
      <c r="I73">
        <f t="shared" si="5"/>
        <v>12</v>
      </c>
      <c r="J73" s="2">
        <f t="shared" si="6"/>
        <v>0.97499999999999998</v>
      </c>
      <c r="K73">
        <f t="shared" si="7"/>
        <v>12.307692307692308</v>
      </c>
      <c r="L73" t="str">
        <f t="shared" si="8"/>
        <v>Funded</v>
      </c>
      <c r="M73">
        <f t="shared" si="9"/>
        <v>2.5102244577722903</v>
      </c>
    </row>
    <row r="74" spans="1:13" x14ac:dyDescent="0.25">
      <c r="A74" t="s">
        <v>218</v>
      </c>
      <c r="B74" t="s">
        <v>219</v>
      </c>
      <c r="C74" t="s">
        <v>220</v>
      </c>
      <c r="D74" t="s">
        <v>221</v>
      </c>
      <c r="E74" t="s">
        <v>222</v>
      </c>
      <c r="F74" t="s">
        <v>50</v>
      </c>
      <c r="H74">
        <v>1</v>
      </c>
      <c r="I74">
        <f t="shared" si="5"/>
        <v>11</v>
      </c>
      <c r="J74" s="2">
        <f t="shared" si="6"/>
        <v>0.61599999999999999</v>
      </c>
      <c r="K74">
        <f t="shared" si="7"/>
        <v>17.857142857142858</v>
      </c>
      <c r="L74" t="str">
        <f t="shared" si="8"/>
        <v>Funded</v>
      </c>
      <c r="M74">
        <f t="shared" si="9"/>
        <v>2.8824035882469881</v>
      </c>
    </row>
    <row r="75" spans="1:13" x14ac:dyDescent="0.25">
      <c r="A75" t="s">
        <v>223</v>
      </c>
      <c r="B75" t="s">
        <v>219</v>
      </c>
      <c r="C75" t="s">
        <v>224</v>
      </c>
      <c r="D75" t="s">
        <v>225</v>
      </c>
      <c r="E75" t="s">
        <v>10</v>
      </c>
      <c r="F75" t="s">
        <v>11</v>
      </c>
      <c r="H75">
        <v>1</v>
      </c>
      <c r="I75">
        <f t="shared" si="5"/>
        <v>11</v>
      </c>
      <c r="J75" s="2">
        <f t="shared" si="6"/>
        <v>0.78100000000000003</v>
      </c>
      <c r="K75">
        <f t="shared" si="7"/>
        <v>14.08450704225352</v>
      </c>
      <c r="L75" t="str">
        <f t="shared" si="8"/>
        <v>Funded</v>
      </c>
      <c r="M75">
        <f t="shared" si="9"/>
        <v>2.6450754019408214</v>
      </c>
    </row>
    <row r="76" spans="1:13" x14ac:dyDescent="0.25">
      <c r="A76" t="s">
        <v>226</v>
      </c>
      <c r="B76" t="s">
        <v>219</v>
      </c>
      <c r="C76" t="s">
        <v>227</v>
      </c>
      <c r="D76" t="s">
        <v>228</v>
      </c>
      <c r="E76" t="s">
        <v>10</v>
      </c>
      <c r="F76" t="s">
        <v>11</v>
      </c>
      <c r="H76">
        <v>1</v>
      </c>
      <c r="I76">
        <f t="shared" si="5"/>
        <v>11</v>
      </c>
      <c r="J76" s="2">
        <f t="shared" si="6"/>
        <v>0.34300000000000003</v>
      </c>
      <c r="K76">
        <f t="shared" si="7"/>
        <v>32.069970845481045</v>
      </c>
      <c r="L76" t="str">
        <f t="shared" si="8"/>
        <v>Funded</v>
      </c>
      <c r="M76">
        <f t="shared" si="9"/>
        <v>3.4679201046145676</v>
      </c>
    </row>
    <row r="77" spans="1:13" x14ac:dyDescent="0.25">
      <c r="A77" t="s">
        <v>229</v>
      </c>
      <c r="B77" t="s">
        <v>219</v>
      </c>
      <c r="C77" t="s">
        <v>125</v>
      </c>
      <c r="D77" t="s">
        <v>97</v>
      </c>
      <c r="E77" t="s">
        <v>230</v>
      </c>
      <c r="F77" t="s">
        <v>50</v>
      </c>
      <c r="H77">
        <v>1</v>
      </c>
      <c r="I77">
        <f t="shared" si="5"/>
        <v>11</v>
      </c>
      <c r="J77" s="2">
        <f t="shared" si="6"/>
        <v>1</v>
      </c>
      <c r="K77">
        <f t="shared" si="7"/>
        <v>11</v>
      </c>
      <c r="L77" t="str">
        <f t="shared" si="8"/>
        <v>Funded</v>
      </c>
      <c r="M77">
        <f t="shared" si="9"/>
        <v>2.3978952727983707</v>
      </c>
    </row>
    <row r="78" spans="1:13" x14ac:dyDescent="0.25">
      <c r="A78" t="s">
        <v>231</v>
      </c>
      <c r="B78" t="s">
        <v>219</v>
      </c>
      <c r="C78" t="s">
        <v>47</v>
      </c>
      <c r="D78" t="s">
        <v>232</v>
      </c>
      <c r="E78" t="s">
        <v>10</v>
      </c>
      <c r="F78" t="s">
        <v>11</v>
      </c>
      <c r="H78">
        <v>1</v>
      </c>
      <c r="I78">
        <f t="shared" si="5"/>
        <v>11</v>
      </c>
      <c r="J78" s="2">
        <f t="shared" si="6"/>
        <v>2</v>
      </c>
      <c r="K78">
        <f t="shared" si="7"/>
        <v>5.5</v>
      </c>
      <c r="L78" t="str">
        <f t="shared" si="8"/>
        <v>Funded</v>
      </c>
      <c r="M78">
        <f t="shared" si="9"/>
        <v>1.7047480922384253</v>
      </c>
    </row>
    <row r="79" spans="1:13" x14ac:dyDescent="0.25">
      <c r="A79" t="s">
        <v>233</v>
      </c>
      <c r="B79" t="s">
        <v>219</v>
      </c>
      <c r="C79" t="s">
        <v>234</v>
      </c>
      <c r="D79" t="s">
        <v>235</v>
      </c>
      <c r="E79" t="s">
        <v>10</v>
      </c>
      <c r="F79" t="s">
        <v>11</v>
      </c>
      <c r="H79">
        <v>1</v>
      </c>
      <c r="I79">
        <f t="shared" si="5"/>
        <v>11</v>
      </c>
      <c r="J79" s="2">
        <f t="shared" si="6"/>
        <v>0.81299999999999994</v>
      </c>
      <c r="K79">
        <f t="shared" si="7"/>
        <v>13.530135301353015</v>
      </c>
      <c r="L79" t="str">
        <f t="shared" si="8"/>
        <v>Funded</v>
      </c>
      <c r="M79">
        <f t="shared" si="9"/>
        <v>2.6049194422326973</v>
      </c>
    </row>
    <row r="80" spans="1:13" x14ac:dyDescent="0.25">
      <c r="A80" t="s">
        <v>236</v>
      </c>
      <c r="B80" t="s">
        <v>219</v>
      </c>
      <c r="C80" t="s">
        <v>237</v>
      </c>
      <c r="D80" t="s">
        <v>238</v>
      </c>
      <c r="E80" t="s">
        <v>10</v>
      </c>
      <c r="F80" t="s">
        <v>11</v>
      </c>
      <c r="H80">
        <v>1</v>
      </c>
      <c r="I80">
        <f t="shared" si="5"/>
        <v>11</v>
      </c>
      <c r="J80" s="2">
        <f t="shared" si="6"/>
        <v>0.9</v>
      </c>
      <c r="K80">
        <f t="shared" si="7"/>
        <v>12.222222222222221</v>
      </c>
      <c r="L80" t="str">
        <f t="shared" si="8"/>
        <v>Funded</v>
      </c>
      <c r="M80">
        <f t="shared" si="9"/>
        <v>2.5032557884561966</v>
      </c>
    </row>
    <row r="81" spans="1:13" x14ac:dyDescent="0.25">
      <c r="A81" t="s">
        <v>239</v>
      </c>
      <c r="B81" t="s">
        <v>240</v>
      </c>
      <c r="C81" t="s">
        <v>241</v>
      </c>
      <c r="D81" t="s">
        <v>242</v>
      </c>
      <c r="E81" t="s">
        <v>10</v>
      </c>
      <c r="F81" t="s">
        <v>11</v>
      </c>
      <c r="H81">
        <v>1</v>
      </c>
      <c r="I81">
        <f t="shared" si="5"/>
        <v>10</v>
      </c>
      <c r="J81" s="2">
        <f t="shared" si="6"/>
        <v>0.628</v>
      </c>
      <c r="K81">
        <f t="shared" si="7"/>
        <v>15.923566878980891</v>
      </c>
      <c r="L81" t="str">
        <f t="shared" si="8"/>
        <v>Funded</v>
      </c>
      <c r="M81">
        <f t="shared" si="9"/>
        <v>2.7678002055079842</v>
      </c>
    </row>
    <row r="82" spans="1:13" x14ac:dyDescent="0.25">
      <c r="A82" t="s">
        <v>243</v>
      </c>
      <c r="B82" t="s">
        <v>240</v>
      </c>
      <c r="C82" t="s">
        <v>244</v>
      </c>
      <c r="D82" t="s">
        <v>245</v>
      </c>
      <c r="E82" t="s">
        <v>10</v>
      </c>
      <c r="F82" t="s">
        <v>11</v>
      </c>
      <c r="H82">
        <v>1</v>
      </c>
      <c r="I82">
        <f t="shared" si="5"/>
        <v>10</v>
      </c>
      <c r="J82" s="2">
        <f t="shared" si="6"/>
        <v>0.89600000000000002</v>
      </c>
      <c r="K82">
        <f t="shared" si="7"/>
        <v>11.160714285714285</v>
      </c>
      <c r="L82" t="str">
        <f t="shared" si="8"/>
        <v>Funded</v>
      </c>
      <c r="M82">
        <f t="shared" si="9"/>
        <v>2.4123999590012524</v>
      </c>
    </row>
    <row r="83" spans="1:13" x14ac:dyDescent="0.25">
      <c r="A83" t="s">
        <v>246</v>
      </c>
      <c r="B83" t="s">
        <v>240</v>
      </c>
      <c r="C83" t="s">
        <v>247</v>
      </c>
      <c r="D83" t="s">
        <v>248</v>
      </c>
      <c r="E83" t="s">
        <v>10</v>
      </c>
      <c r="F83" t="s">
        <v>11</v>
      </c>
      <c r="H83">
        <v>1</v>
      </c>
      <c r="I83">
        <f t="shared" si="5"/>
        <v>10</v>
      </c>
      <c r="J83" s="2">
        <f t="shared" si="6"/>
        <v>0.56399999999999995</v>
      </c>
      <c r="K83">
        <f t="shared" si="7"/>
        <v>17.730496453900709</v>
      </c>
      <c r="L83" t="str">
        <f t="shared" si="8"/>
        <v>Funded</v>
      </c>
      <c r="M83">
        <f t="shared" si="9"/>
        <v>2.8752861204781239</v>
      </c>
    </row>
    <row r="84" spans="1:13" x14ac:dyDescent="0.25">
      <c r="A84" t="s">
        <v>249</v>
      </c>
      <c r="B84" t="s">
        <v>240</v>
      </c>
      <c r="C84" t="s">
        <v>250</v>
      </c>
      <c r="D84" t="s">
        <v>251</v>
      </c>
      <c r="E84" t="s">
        <v>108</v>
      </c>
      <c r="F84" t="s">
        <v>109</v>
      </c>
      <c r="H84">
        <v>1</v>
      </c>
      <c r="I84">
        <f t="shared" si="5"/>
        <v>10</v>
      </c>
      <c r="J84" s="2">
        <f t="shared" si="6"/>
        <v>0.18</v>
      </c>
      <c r="K84">
        <f t="shared" si="7"/>
        <v>55.555555555555557</v>
      </c>
      <c r="L84" t="str">
        <f t="shared" si="8"/>
        <v>Funded</v>
      </c>
      <c r="M84">
        <f t="shared" si="9"/>
        <v>4.0173835210859723</v>
      </c>
    </row>
    <row r="85" spans="1:13" x14ac:dyDescent="0.25">
      <c r="A85" t="s">
        <v>252</v>
      </c>
      <c r="B85" t="s">
        <v>240</v>
      </c>
      <c r="C85" t="s">
        <v>253</v>
      </c>
      <c r="D85" t="s">
        <v>254</v>
      </c>
      <c r="E85" t="s">
        <v>10</v>
      </c>
      <c r="F85" t="s">
        <v>11</v>
      </c>
      <c r="H85">
        <v>1</v>
      </c>
      <c r="I85">
        <f t="shared" si="5"/>
        <v>10</v>
      </c>
      <c r="J85" s="2">
        <f t="shared" si="6"/>
        <v>0.63500000000000001</v>
      </c>
      <c r="K85">
        <f t="shared" si="7"/>
        <v>15.748031496062993</v>
      </c>
      <c r="L85" t="str">
        <f t="shared" si="8"/>
        <v>Funded</v>
      </c>
      <c r="M85">
        <f t="shared" si="9"/>
        <v>2.756715373083491</v>
      </c>
    </row>
    <row r="86" spans="1:13" x14ac:dyDescent="0.25">
      <c r="A86" t="s">
        <v>255</v>
      </c>
      <c r="B86" t="s">
        <v>240</v>
      </c>
      <c r="C86" t="s">
        <v>256</v>
      </c>
      <c r="D86" t="s">
        <v>257</v>
      </c>
      <c r="E86" t="s">
        <v>10</v>
      </c>
      <c r="F86" t="s">
        <v>11</v>
      </c>
      <c r="H86">
        <v>1</v>
      </c>
      <c r="I86">
        <f t="shared" si="5"/>
        <v>10</v>
      </c>
      <c r="J86" s="2">
        <f t="shared" si="6"/>
        <v>0.48399999999999999</v>
      </c>
      <c r="K86">
        <f t="shared" si="7"/>
        <v>20.66115702479339</v>
      </c>
      <c r="L86" t="str">
        <f t="shared" si="8"/>
        <v>Funded</v>
      </c>
      <c r="M86">
        <f t="shared" si="9"/>
        <v>3.028255465259551</v>
      </c>
    </row>
    <row r="87" spans="1:13" x14ac:dyDescent="0.25">
      <c r="A87" t="s">
        <v>258</v>
      </c>
      <c r="B87" t="s">
        <v>240</v>
      </c>
      <c r="C87" t="s">
        <v>81</v>
      </c>
      <c r="D87" t="s">
        <v>259</v>
      </c>
      <c r="E87" t="s">
        <v>10</v>
      </c>
      <c r="F87" t="s">
        <v>11</v>
      </c>
      <c r="H87">
        <v>1</v>
      </c>
      <c r="I87">
        <f t="shared" si="5"/>
        <v>10</v>
      </c>
      <c r="J87" s="2">
        <f t="shared" si="6"/>
        <v>3</v>
      </c>
      <c r="K87">
        <f t="shared" si="7"/>
        <v>3.3333333333333335</v>
      </c>
      <c r="L87" t="str">
        <f t="shared" si="8"/>
        <v>Funded</v>
      </c>
      <c r="M87">
        <f t="shared" si="9"/>
        <v>1.2039728043259361</v>
      </c>
    </row>
    <row r="88" spans="1:13" x14ac:dyDescent="0.25">
      <c r="A88" t="s">
        <v>260</v>
      </c>
      <c r="B88" t="s">
        <v>240</v>
      </c>
      <c r="C88" s="1">
        <v>0</v>
      </c>
      <c r="D88" t="s">
        <v>261</v>
      </c>
      <c r="E88" t="s">
        <v>10</v>
      </c>
      <c r="F88" t="s">
        <v>11</v>
      </c>
      <c r="H88">
        <v>1</v>
      </c>
      <c r="I88">
        <f t="shared" si="5"/>
        <v>10</v>
      </c>
      <c r="J88" s="2">
        <f t="shared" si="6"/>
        <v>0</v>
      </c>
      <c r="K88" t="str">
        <f t="shared" si="7"/>
        <v/>
      </c>
      <c r="L88" t="str">
        <f t="shared" si="8"/>
        <v>Bootstrapped</v>
      </c>
      <c r="M88" t="str">
        <f t="shared" si="9"/>
        <v/>
      </c>
    </row>
    <row r="89" spans="1:13" x14ac:dyDescent="0.25">
      <c r="A89" t="s">
        <v>262</v>
      </c>
      <c r="B89" t="s">
        <v>240</v>
      </c>
      <c r="C89" t="s">
        <v>81</v>
      </c>
      <c r="D89" t="s">
        <v>263</v>
      </c>
      <c r="E89" t="s">
        <v>10</v>
      </c>
      <c r="F89" t="s">
        <v>21</v>
      </c>
      <c r="H89">
        <v>1</v>
      </c>
      <c r="I89">
        <f t="shared" si="5"/>
        <v>10</v>
      </c>
      <c r="J89" s="2">
        <f t="shared" si="6"/>
        <v>3</v>
      </c>
      <c r="K89">
        <f t="shared" si="7"/>
        <v>3.3333333333333335</v>
      </c>
      <c r="L89" t="str">
        <f t="shared" si="8"/>
        <v>Funded</v>
      </c>
      <c r="M89">
        <f t="shared" si="9"/>
        <v>1.2039728043259361</v>
      </c>
    </row>
    <row r="90" spans="1:13" x14ac:dyDescent="0.25">
      <c r="A90" t="s">
        <v>264</v>
      </c>
      <c r="B90" t="s">
        <v>240</v>
      </c>
      <c r="C90" t="s">
        <v>53</v>
      </c>
      <c r="D90" t="s">
        <v>265</v>
      </c>
      <c r="E90" t="s">
        <v>10</v>
      </c>
      <c r="F90" t="s">
        <v>21</v>
      </c>
      <c r="H90">
        <v>1</v>
      </c>
      <c r="I90">
        <f t="shared" si="5"/>
        <v>10</v>
      </c>
      <c r="J90" s="2">
        <f t="shared" si="6"/>
        <v>4</v>
      </c>
      <c r="K90">
        <f t="shared" si="7"/>
        <v>2.5</v>
      </c>
      <c r="L90" t="str">
        <f t="shared" si="8"/>
        <v>Funded</v>
      </c>
      <c r="M90">
        <f t="shared" si="9"/>
        <v>0.91629073187415511</v>
      </c>
    </row>
    <row r="91" spans="1:13" x14ac:dyDescent="0.25">
      <c r="A91" t="s">
        <v>266</v>
      </c>
      <c r="B91" t="s">
        <v>240</v>
      </c>
      <c r="C91" t="s">
        <v>267</v>
      </c>
      <c r="D91" t="s">
        <v>268</v>
      </c>
      <c r="E91" t="s">
        <v>10</v>
      </c>
      <c r="F91" t="s">
        <v>11</v>
      </c>
      <c r="H91">
        <v>1</v>
      </c>
      <c r="I91">
        <f t="shared" si="5"/>
        <v>10</v>
      </c>
      <c r="J91" s="2">
        <f t="shared" si="6"/>
        <v>0.497</v>
      </c>
      <c r="K91">
        <f t="shared" si="7"/>
        <v>20.120724346076457</v>
      </c>
      <c r="L91" t="str">
        <f t="shared" si="8"/>
        <v>Funded</v>
      </c>
      <c r="M91">
        <f t="shared" si="9"/>
        <v>3.0017503458795538</v>
      </c>
    </row>
    <row r="92" spans="1:13" x14ac:dyDescent="0.25">
      <c r="A92" t="s">
        <v>269</v>
      </c>
      <c r="B92" t="s">
        <v>240</v>
      </c>
      <c r="C92" t="s">
        <v>47</v>
      </c>
      <c r="D92" t="s">
        <v>270</v>
      </c>
      <c r="E92" t="s">
        <v>10</v>
      </c>
      <c r="F92" t="s">
        <v>11</v>
      </c>
      <c r="H92">
        <v>1</v>
      </c>
      <c r="I92">
        <f t="shared" si="5"/>
        <v>10</v>
      </c>
      <c r="J92" s="2">
        <f t="shared" si="6"/>
        <v>2</v>
      </c>
      <c r="K92">
        <f t="shared" si="7"/>
        <v>5</v>
      </c>
      <c r="L92" t="str">
        <f t="shared" si="8"/>
        <v>Funded</v>
      </c>
      <c r="M92">
        <f t="shared" si="9"/>
        <v>1.6094379124341003</v>
      </c>
    </row>
    <row r="93" spans="1:13" x14ac:dyDescent="0.25">
      <c r="A93" t="s">
        <v>271</v>
      </c>
      <c r="B93" t="s">
        <v>240</v>
      </c>
      <c r="C93" t="s">
        <v>47</v>
      </c>
      <c r="D93" t="s">
        <v>272</v>
      </c>
      <c r="E93" t="s">
        <v>10</v>
      </c>
      <c r="F93" t="s">
        <v>21</v>
      </c>
      <c r="H93">
        <v>1</v>
      </c>
      <c r="I93">
        <f t="shared" si="5"/>
        <v>10</v>
      </c>
      <c r="J93" s="2">
        <f t="shared" si="6"/>
        <v>2</v>
      </c>
      <c r="K93">
        <f t="shared" si="7"/>
        <v>5</v>
      </c>
      <c r="L93" t="str">
        <f t="shared" si="8"/>
        <v>Funded</v>
      </c>
      <c r="M93">
        <f t="shared" si="9"/>
        <v>1.6094379124341003</v>
      </c>
    </row>
    <row r="94" spans="1:13" x14ac:dyDescent="0.25">
      <c r="A94" t="s">
        <v>274</v>
      </c>
      <c r="B94" t="s">
        <v>240</v>
      </c>
      <c r="C94" t="s">
        <v>81</v>
      </c>
      <c r="D94" t="s">
        <v>161</v>
      </c>
      <c r="E94" t="s">
        <v>10</v>
      </c>
      <c r="F94" t="s">
        <v>21</v>
      </c>
      <c r="H94">
        <v>1</v>
      </c>
      <c r="I94">
        <f t="shared" si="5"/>
        <v>10</v>
      </c>
      <c r="J94" s="2">
        <f t="shared" si="6"/>
        <v>3</v>
      </c>
      <c r="K94">
        <f t="shared" si="7"/>
        <v>3.3333333333333335</v>
      </c>
      <c r="L94" t="str">
        <f t="shared" si="8"/>
        <v>Funded</v>
      </c>
      <c r="M94">
        <f t="shared" si="9"/>
        <v>1.2039728043259361</v>
      </c>
    </row>
    <row r="95" spans="1:13" x14ac:dyDescent="0.25">
      <c r="A95" t="s">
        <v>276</v>
      </c>
      <c r="B95" t="s">
        <v>240</v>
      </c>
      <c r="C95" t="s">
        <v>277</v>
      </c>
      <c r="D95" t="s">
        <v>159</v>
      </c>
      <c r="E95" t="s">
        <v>10</v>
      </c>
      <c r="F95" t="s">
        <v>21</v>
      </c>
      <c r="H95">
        <v>1</v>
      </c>
      <c r="I95">
        <f t="shared" si="5"/>
        <v>10</v>
      </c>
      <c r="J95" s="2">
        <f t="shared" si="6"/>
        <v>0.38800000000000001</v>
      </c>
      <c r="K95">
        <f t="shared" si="7"/>
        <v>25.773195876288661</v>
      </c>
      <c r="L95" t="str">
        <f t="shared" si="8"/>
        <v>Funded</v>
      </c>
      <c r="M95">
        <f t="shared" si="9"/>
        <v>3.2493350323529095</v>
      </c>
    </row>
    <row r="96" spans="1:13" x14ac:dyDescent="0.25">
      <c r="A96" t="s">
        <v>278</v>
      </c>
      <c r="B96" t="s">
        <v>240</v>
      </c>
      <c r="C96" t="s">
        <v>125</v>
      </c>
      <c r="D96" t="s">
        <v>82</v>
      </c>
      <c r="E96" t="s">
        <v>10</v>
      </c>
      <c r="F96" t="s">
        <v>11</v>
      </c>
      <c r="H96">
        <v>1</v>
      </c>
      <c r="I96">
        <f t="shared" si="5"/>
        <v>10</v>
      </c>
      <c r="J96" s="2">
        <f t="shared" si="6"/>
        <v>1</v>
      </c>
      <c r="K96">
        <f t="shared" si="7"/>
        <v>10</v>
      </c>
      <c r="L96" t="str">
        <f t="shared" si="8"/>
        <v>Funded</v>
      </c>
      <c r="M96">
        <f t="shared" si="9"/>
        <v>2.3025850929940459</v>
      </c>
    </row>
    <row r="97" spans="1:13" x14ac:dyDescent="0.25">
      <c r="A97" t="s">
        <v>279</v>
      </c>
      <c r="B97" t="s">
        <v>240</v>
      </c>
      <c r="C97" t="s">
        <v>280</v>
      </c>
      <c r="D97" t="s">
        <v>281</v>
      </c>
      <c r="E97" t="s">
        <v>10</v>
      </c>
      <c r="F97" t="s">
        <v>11</v>
      </c>
      <c r="H97">
        <v>1</v>
      </c>
      <c r="I97">
        <f t="shared" si="5"/>
        <v>10</v>
      </c>
      <c r="J97" s="2">
        <f t="shared" si="6"/>
        <v>0.746</v>
      </c>
      <c r="K97">
        <f t="shared" si="7"/>
        <v>13.404825737265416</v>
      </c>
      <c r="L97" t="str">
        <f t="shared" si="8"/>
        <v>Funded</v>
      </c>
      <c r="M97">
        <f t="shared" si="9"/>
        <v>2.5956147717724218</v>
      </c>
    </row>
    <row r="98" spans="1:13" x14ac:dyDescent="0.25">
      <c r="A98" t="s">
        <v>282</v>
      </c>
      <c r="B98" t="s">
        <v>14</v>
      </c>
      <c r="C98" t="s">
        <v>283</v>
      </c>
      <c r="D98" t="s">
        <v>284</v>
      </c>
      <c r="E98" t="s">
        <v>10</v>
      </c>
      <c r="F98" t="s">
        <v>11</v>
      </c>
      <c r="H98">
        <v>1</v>
      </c>
      <c r="I98">
        <f t="shared" si="5"/>
        <v>9</v>
      </c>
      <c r="J98" s="2">
        <f t="shared" si="6"/>
        <v>0.86299999999999999</v>
      </c>
      <c r="K98">
        <f t="shared" si="7"/>
        <v>10.428736964078794</v>
      </c>
      <c r="L98" t="str">
        <f t="shared" si="8"/>
        <v>Funded</v>
      </c>
      <c r="M98">
        <f t="shared" si="9"/>
        <v>2.3445651652349286</v>
      </c>
    </row>
    <row r="99" spans="1:13" x14ac:dyDescent="0.25">
      <c r="A99" t="s">
        <v>285</v>
      </c>
      <c r="B99" t="s">
        <v>14</v>
      </c>
      <c r="C99" t="s">
        <v>286</v>
      </c>
      <c r="D99" t="s">
        <v>287</v>
      </c>
      <c r="E99" t="s">
        <v>10</v>
      </c>
      <c r="F99" t="s">
        <v>21</v>
      </c>
      <c r="H99">
        <v>1</v>
      </c>
      <c r="I99">
        <f t="shared" si="5"/>
        <v>9</v>
      </c>
      <c r="J99" s="2">
        <f t="shared" si="6"/>
        <v>0.98899999999999999</v>
      </c>
      <c r="K99">
        <f t="shared" si="7"/>
        <v>9.1001011122345812</v>
      </c>
      <c r="L99" t="str">
        <f t="shared" si="8"/>
        <v>Funded</v>
      </c>
      <c r="M99">
        <f t="shared" si="9"/>
        <v>2.2082855246956443</v>
      </c>
    </row>
    <row r="100" spans="1:13" x14ac:dyDescent="0.25">
      <c r="A100" t="s">
        <v>288</v>
      </c>
      <c r="B100" t="s">
        <v>14</v>
      </c>
      <c r="C100" t="s">
        <v>47</v>
      </c>
      <c r="D100" t="s">
        <v>289</v>
      </c>
      <c r="E100" t="s">
        <v>10</v>
      </c>
      <c r="F100" t="s">
        <v>50</v>
      </c>
      <c r="H100">
        <v>1</v>
      </c>
      <c r="I100">
        <f t="shared" si="5"/>
        <v>9</v>
      </c>
      <c r="J100" s="2">
        <f t="shared" si="6"/>
        <v>2</v>
      </c>
      <c r="K100">
        <f t="shared" si="7"/>
        <v>4.5</v>
      </c>
      <c r="L100" t="str">
        <f t="shared" si="8"/>
        <v>Funded</v>
      </c>
      <c r="M100">
        <f t="shared" si="9"/>
        <v>1.5040773967762742</v>
      </c>
    </row>
    <row r="101" spans="1:13" x14ac:dyDescent="0.25">
      <c r="A101" t="s">
        <v>290</v>
      </c>
      <c r="B101" t="s">
        <v>14</v>
      </c>
      <c r="C101" t="s">
        <v>291</v>
      </c>
      <c r="D101" t="s">
        <v>292</v>
      </c>
      <c r="E101" t="s">
        <v>10</v>
      </c>
      <c r="F101" t="s">
        <v>11</v>
      </c>
      <c r="H101">
        <v>1</v>
      </c>
      <c r="I101">
        <f t="shared" si="5"/>
        <v>9</v>
      </c>
      <c r="J101" s="2">
        <f t="shared" si="6"/>
        <v>0.747</v>
      </c>
      <c r="K101">
        <f t="shared" si="7"/>
        <v>12.048192771084338</v>
      </c>
      <c r="L101" t="str">
        <f t="shared" si="8"/>
        <v>Funded</v>
      </c>
      <c r="M101">
        <f t="shared" si="9"/>
        <v>2.488914671185539</v>
      </c>
    </row>
    <row r="102" spans="1:13" x14ac:dyDescent="0.25">
      <c r="A102" t="s">
        <v>293</v>
      </c>
      <c r="B102" t="s">
        <v>14</v>
      </c>
      <c r="C102" t="s">
        <v>47</v>
      </c>
      <c r="D102" t="s">
        <v>254</v>
      </c>
      <c r="E102" t="s">
        <v>10</v>
      </c>
      <c r="F102" t="s">
        <v>21</v>
      </c>
      <c r="H102">
        <v>1</v>
      </c>
      <c r="I102">
        <f t="shared" si="5"/>
        <v>9</v>
      </c>
      <c r="J102" s="2">
        <f t="shared" si="6"/>
        <v>2</v>
      </c>
      <c r="K102">
        <f t="shared" si="7"/>
        <v>4.5</v>
      </c>
      <c r="L102" t="str">
        <f t="shared" si="8"/>
        <v>Funded</v>
      </c>
      <c r="M102">
        <f t="shared" si="9"/>
        <v>1.5040773967762742</v>
      </c>
    </row>
    <row r="103" spans="1:13" x14ac:dyDescent="0.25">
      <c r="A103" t="s">
        <v>295</v>
      </c>
      <c r="B103" t="s">
        <v>14</v>
      </c>
      <c r="C103" t="s">
        <v>81</v>
      </c>
      <c r="D103" t="s">
        <v>296</v>
      </c>
      <c r="E103" t="s">
        <v>10</v>
      </c>
      <c r="F103" t="s">
        <v>50</v>
      </c>
      <c r="H103">
        <v>1</v>
      </c>
      <c r="I103">
        <f t="shared" si="5"/>
        <v>9</v>
      </c>
      <c r="J103" s="2">
        <f t="shared" si="6"/>
        <v>3</v>
      </c>
      <c r="K103">
        <f t="shared" si="7"/>
        <v>3</v>
      </c>
      <c r="L103" t="str">
        <f t="shared" si="8"/>
        <v>Funded</v>
      </c>
      <c r="M103">
        <f t="shared" si="9"/>
        <v>1.0986122886681098</v>
      </c>
    </row>
    <row r="104" spans="1:13" x14ac:dyDescent="0.25">
      <c r="A104" t="s">
        <v>297</v>
      </c>
      <c r="B104" t="s">
        <v>14</v>
      </c>
      <c r="C104" t="s">
        <v>298</v>
      </c>
      <c r="D104" t="s">
        <v>299</v>
      </c>
      <c r="E104" t="s">
        <v>10</v>
      </c>
      <c r="F104" t="s">
        <v>21</v>
      </c>
      <c r="H104">
        <v>1</v>
      </c>
      <c r="I104">
        <f t="shared" si="5"/>
        <v>9</v>
      </c>
      <c r="J104" s="2">
        <f t="shared" si="6"/>
        <v>0.59399999999999997</v>
      </c>
      <c r="K104">
        <f t="shared" si="7"/>
        <v>15.151515151515152</v>
      </c>
      <c r="L104" t="str">
        <f t="shared" si="8"/>
        <v>Funded</v>
      </c>
      <c r="M104">
        <f t="shared" si="9"/>
        <v>2.7181005369557116</v>
      </c>
    </row>
    <row r="105" spans="1:13" x14ac:dyDescent="0.25">
      <c r="A105" t="s">
        <v>300</v>
      </c>
      <c r="B105" t="s">
        <v>14</v>
      </c>
      <c r="C105" t="s">
        <v>47</v>
      </c>
      <c r="D105" t="s">
        <v>107</v>
      </c>
      <c r="E105" t="s">
        <v>10</v>
      </c>
      <c r="F105" t="s">
        <v>11</v>
      </c>
      <c r="H105">
        <v>1</v>
      </c>
      <c r="I105">
        <f t="shared" si="5"/>
        <v>9</v>
      </c>
      <c r="J105" s="2">
        <f t="shared" si="6"/>
        <v>2</v>
      </c>
      <c r="K105">
        <f t="shared" si="7"/>
        <v>4.5</v>
      </c>
      <c r="L105" t="str">
        <f t="shared" si="8"/>
        <v>Funded</v>
      </c>
      <c r="M105">
        <f t="shared" si="9"/>
        <v>1.5040773967762742</v>
      </c>
    </row>
    <row r="106" spans="1:13" x14ac:dyDescent="0.25">
      <c r="A106" t="s">
        <v>301</v>
      </c>
      <c r="B106" t="s">
        <v>14</v>
      </c>
      <c r="C106" t="s">
        <v>47</v>
      </c>
      <c r="D106" t="s">
        <v>302</v>
      </c>
      <c r="E106" t="s">
        <v>10</v>
      </c>
      <c r="F106" t="s">
        <v>11</v>
      </c>
      <c r="H106">
        <v>1</v>
      </c>
      <c r="I106">
        <f t="shared" si="5"/>
        <v>9</v>
      </c>
      <c r="J106" s="2">
        <f t="shared" si="6"/>
        <v>2</v>
      </c>
      <c r="K106">
        <f t="shared" si="7"/>
        <v>4.5</v>
      </c>
      <c r="L106" t="str">
        <f t="shared" si="8"/>
        <v>Funded</v>
      </c>
      <c r="M106">
        <f t="shared" si="9"/>
        <v>1.5040773967762742</v>
      </c>
    </row>
    <row r="107" spans="1:13" x14ac:dyDescent="0.25">
      <c r="A107" t="s">
        <v>303</v>
      </c>
      <c r="B107" t="s">
        <v>14</v>
      </c>
      <c r="C107" t="s">
        <v>304</v>
      </c>
      <c r="D107" t="s">
        <v>148</v>
      </c>
      <c r="E107" t="s">
        <v>10</v>
      </c>
      <c r="F107" t="s">
        <v>11</v>
      </c>
      <c r="H107">
        <v>1</v>
      </c>
      <c r="I107">
        <f t="shared" si="5"/>
        <v>9</v>
      </c>
      <c r="J107" s="2">
        <f t="shared" si="6"/>
        <v>0.77</v>
      </c>
      <c r="K107">
        <f t="shared" si="7"/>
        <v>11.688311688311687</v>
      </c>
      <c r="L107" t="str">
        <f t="shared" si="8"/>
        <v>Funded</v>
      </c>
      <c r="M107">
        <f t="shared" si="9"/>
        <v>2.4585893414706268</v>
      </c>
    </row>
    <row r="108" spans="1:13" x14ac:dyDescent="0.25">
      <c r="A108" t="s">
        <v>305</v>
      </c>
      <c r="B108" t="s">
        <v>14</v>
      </c>
      <c r="C108" t="s">
        <v>306</v>
      </c>
      <c r="E108" t="s">
        <v>10</v>
      </c>
      <c r="F108" t="s">
        <v>21</v>
      </c>
      <c r="H108">
        <v>1</v>
      </c>
      <c r="I108">
        <f t="shared" si="5"/>
        <v>9</v>
      </c>
      <c r="J108" s="2">
        <f t="shared" si="6"/>
        <v>0.48599999999999999</v>
      </c>
      <c r="K108">
        <f t="shared" si="7"/>
        <v>18.518518518518519</v>
      </c>
      <c r="L108" t="str">
        <f t="shared" si="8"/>
        <v>Funded</v>
      </c>
      <c r="M108">
        <f t="shared" si="9"/>
        <v>2.9187712324178627</v>
      </c>
    </row>
    <row r="109" spans="1:13" x14ac:dyDescent="0.25">
      <c r="A109" t="s">
        <v>307</v>
      </c>
      <c r="B109" t="s">
        <v>14</v>
      </c>
      <c r="C109" t="s">
        <v>125</v>
      </c>
      <c r="D109" t="s">
        <v>308</v>
      </c>
      <c r="E109" t="s">
        <v>10</v>
      </c>
      <c r="F109" t="s">
        <v>21</v>
      </c>
      <c r="H109">
        <v>1</v>
      </c>
      <c r="I109">
        <f t="shared" si="5"/>
        <v>9</v>
      </c>
      <c r="J109" s="2">
        <f t="shared" si="6"/>
        <v>1</v>
      </c>
      <c r="K109">
        <f t="shared" si="7"/>
        <v>9</v>
      </c>
      <c r="L109" t="str">
        <f t="shared" si="8"/>
        <v>Funded</v>
      </c>
      <c r="M109">
        <f t="shared" si="9"/>
        <v>2.1972245773362196</v>
      </c>
    </row>
    <row r="110" spans="1:13" x14ac:dyDescent="0.25">
      <c r="A110" t="s">
        <v>124</v>
      </c>
      <c r="B110" t="s">
        <v>14</v>
      </c>
      <c r="C110" t="s">
        <v>125</v>
      </c>
      <c r="D110" t="s">
        <v>309</v>
      </c>
      <c r="E110" t="s">
        <v>10</v>
      </c>
      <c r="F110" t="s">
        <v>50</v>
      </c>
      <c r="H110">
        <v>1</v>
      </c>
      <c r="I110">
        <f t="shared" si="5"/>
        <v>9</v>
      </c>
      <c r="J110" s="2">
        <f t="shared" si="6"/>
        <v>1</v>
      </c>
      <c r="K110">
        <f t="shared" si="7"/>
        <v>9</v>
      </c>
      <c r="L110" t="str">
        <f t="shared" si="8"/>
        <v>Funded</v>
      </c>
      <c r="M110">
        <f t="shared" si="9"/>
        <v>2.1972245773362196</v>
      </c>
    </row>
    <row r="111" spans="1:13" x14ac:dyDescent="0.25">
      <c r="A111" t="s">
        <v>310</v>
      </c>
      <c r="B111" t="s">
        <v>14</v>
      </c>
      <c r="C111" t="s">
        <v>47</v>
      </c>
      <c r="D111" t="s">
        <v>311</v>
      </c>
      <c r="E111" t="s">
        <v>10</v>
      </c>
      <c r="F111" t="s">
        <v>50</v>
      </c>
      <c r="H111">
        <v>1</v>
      </c>
      <c r="I111">
        <f t="shared" si="5"/>
        <v>9</v>
      </c>
      <c r="J111" s="2">
        <f t="shared" si="6"/>
        <v>2</v>
      </c>
      <c r="K111">
        <f t="shared" si="7"/>
        <v>4.5</v>
      </c>
      <c r="L111" t="str">
        <f t="shared" si="8"/>
        <v>Funded</v>
      </c>
      <c r="M111">
        <f t="shared" si="9"/>
        <v>1.5040773967762742</v>
      </c>
    </row>
    <row r="112" spans="1:13" x14ac:dyDescent="0.25">
      <c r="A112" t="s">
        <v>312</v>
      </c>
      <c r="B112" t="s">
        <v>14</v>
      </c>
      <c r="C112" t="s">
        <v>53</v>
      </c>
      <c r="D112" t="s">
        <v>313</v>
      </c>
      <c r="E112" t="s">
        <v>10</v>
      </c>
      <c r="F112" t="s">
        <v>11</v>
      </c>
      <c r="H112">
        <v>1</v>
      </c>
      <c r="I112">
        <f t="shared" si="5"/>
        <v>9</v>
      </c>
      <c r="J112" s="2">
        <f t="shared" si="6"/>
        <v>4</v>
      </c>
      <c r="K112">
        <f t="shared" si="7"/>
        <v>2.25</v>
      </c>
      <c r="L112" t="str">
        <f t="shared" si="8"/>
        <v>Funded</v>
      </c>
      <c r="M112">
        <f t="shared" si="9"/>
        <v>0.81093021621632877</v>
      </c>
    </row>
    <row r="113" spans="1:13" x14ac:dyDescent="0.25">
      <c r="A113" t="s">
        <v>314</v>
      </c>
      <c r="B113" t="s">
        <v>14</v>
      </c>
      <c r="C113" t="s">
        <v>315</v>
      </c>
      <c r="D113" t="s">
        <v>316</v>
      </c>
      <c r="E113" t="s">
        <v>10</v>
      </c>
      <c r="F113" t="s">
        <v>50</v>
      </c>
      <c r="H113">
        <v>1</v>
      </c>
      <c r="I113">
        <f t="shared" si="5"/>
        <v>9</v>
      </c>
      <c r="J113" s="2">
        <f t="shared" si="6"/>
        <v>0.72399999999999998</v>
      </c>
      <c r="K113">
        <f t="shared" si="7"/>
        <v>12.430939226519337</v>
      </c>
      <c r="L113" t="str">
        <f t="shared" si="8"/>
        <v>Funded</v>
      </c>
      <c r="M113">
        <f t="shared" si="9"/>
        <v>2.52018846393264</v>
      </c>
    </row>
    <row r="114" spans="1:13" x14ac:dyDescent="0.25">
      <c r="A114" t="s">
        <v>317</v>
      </c>
      <c r="B114" t="s">
        <v>18</v>
      </c>
      <c r="C114" t="s">
        <v>47</v>
      </c>
      <c r="D114" t="s">
        <v>318</v>
      </c>
      <c r="E114" t="s">
        <v>10</v>
      </c>
      <c r="F114" t="s">
        <v>50</v>
      </c>
      <c r="H114">
        <v>1</v>
      </c>
      <c r="I114">
        <f t="shared" si="5"/>
        <v>8</v>
      </c>
      <c r="J114" s="2">
        <f t="shared" si="6"/>
        <v>2</v>
      </c>
      <c r="K114">
        <f t="shared" si="7"/>
        <v>4</v>
      </c>
      <c r="L114" t="str">
        <f t="shared" si="8"/>
        <v>Funded</v>
      </c>
      <c r="M114">
        <f t="shared" si="9"/>
        <v>1.3862943611198906</v>
      </c>
    </row>
    <row r="115" spans="1:13" x14ac:dyDescent="0.25">
      <c r="A115" t="s">
        <v>320</v>
      </c>
      <c r="B115" t="s">
        <v>18</v>
      </c>
      <c r="C115" t="s">
        <v>321</v>
      </c>
      <c r="D115" t="s">
        <v>322</v>
      </c>
      <c r="E115" t="s">
        <v>10</v>
      </c>
      <c r="F115" t="s">
        <v>11</v>
      </c>
      <c r="H115">
        <v>1</v>
      </c>
      <c r="I115">
        <f t="shared" si="5"/>
        <v>8</v>
      </c>
      <c r="J115" s="2">
        <f t="shared" si="6"/>
        <v>0.54900000000000004</v>
      </c>
      <c r="K115">
        <f t="shared" si="7"/>
        <v>14.571948998178506</v>
      </c>
      <c r="L115" t="str">
        <f t="shared" si="8"/>
        <v>Funded</v>
      </c>
      <c r="M115">
        <f t="shared" si="9"/>
        <v>2.6790983791524425</v>
      </c>
    </row>
    <row r="116" spans="1:13" x14ac:dyDescent="0.25">
      <c r="A116" t="s">
        <v>323</v>
      </c>
      <c r="B116" t="s">
        <v>18</v>
      </c>
      <c r="C116" t="s">
        <v>324</v>
      </c>
      <c r="D116" t="s">
        <v>325</v>
      </c>
      <c r="E116" t="s">
        <v>10</v>
      </c>
      <c r="F116" t="s">
        <v>21</v>
      </c>
      <c r="H116">
        <v>1</v>
      </c>
      <c r="I116">
        <f t="shared" si="5"/>
        <v>8</v>
      </c>
      <c r="J116" s="2">
        <f t="shared" si="6"/>
        <v>0.75</v>
      </c>
      <c r="K116">
        <f t="shared" si="7"/>
        <v>10.666666666666666</v>
      </c>
      <c r="L116" t="str">
        <f t="shared" si="8"/>
        <v>Funded</v>
      </c>
      <c r="M116">
        <f t="shared" si="9"/>
        <v>2.367123614131617</v>
      </c>
    </row>
    <row r="117" spans="1:13" x14ac:dyDescent="0.25">
      <c r="A117" t="s">
        <v>327</v>
      </c>
      <c r="B117" t="s">
        <v>18</v>
      </c>
      <c r="C117" t="s">
        <v>328</v>
      </c>
      <c r="D117" t="s">
        <v>177</v>
      </c>
      <c r="E117" t="s">
        <v>10</v>
      </c>
      <c r="F117" t="s">
        <v>50</v>
      </c>
      <c r="H117">
        <v>1</v>
      </c>
      <c r="I117">
        <f t="shared" si="5"/>
        <v>8</v>
      </c>
      <c r="J117" s="2">
        <f t="shared" si="6"/>
        <v>0.51200000000000001</v>
      </c>
      <c r="K117">
        <f t="shared" si="7"/>
        <v>15.625</v>
      </c>
      <c r="L117" t="str">
        <f t="shared" si="8"/>
        <v>Funded</v>
      </c>
      <c r="M117">
        <f t="shared" si="9"/>
        <v>2.7488721956224653</v>
      </c>
    </row>
    <row r="118" spans="1:13" x14ac:dyDescent="0.25">
      <c r="A118" t="s">
        <v>330</v>
      </c>
      <c r="B118" t="s">
        <v>18</v>
      </c>
      <c r="C118" t="s">
        <v>125</v>
      </c>
      <c r="D118" t="s">
        <v>331</v>
      </c>
      <c r="E118" t="s">
        <v>10</v>
      </c>
      <c r="F118" t="s">
        <v>11</v>
      </c>
      <c r="H118">
        <v>1</v>
      </c>
      <c r="I118">
        <f t="shared" si="5"/>
        <v>8</v>
      </c>
      <c r="J118" s="2">
        <f t="shared" si="6"/>
        <v>1</v>
      </c>
      <c r="K118">
        <f t="shared" si="7"/>
        <v>8</v>
      </c>
      <c r="L118" t="str">
        <f t="shared" si="8"/>
        <v>Funded</v>
      </c>
      <c r="M118">
        <f t="shared" si="9"/>
        <v>2.0794415416798357</v>
      </c>
    </row>
    <row r="119" spans="1:13" x14ac:dyDescent="0.25">
      <c r="A119" t="s">
        <v>332</v>
      </c>
      <c r="B119" t="s">
        <v>18</v>
      </c>
      <c r="C119" t="s">
        <v>333</v>
      </c>
      <c r="D119" t="s">
        <v>130</v>
      </c>
      <c r="E119" t="s">
        <v>10</v>
      </c>
      <c r="F119" t="s">
        <v>21</v>
      </c>
      <c r="H119">
        <v>1</v>
      </c>
      <c r="I119">
        <f t="shared" si="5"/>
        <v>8</v>
      </c>
      <c r="J119" s="2">
        <f t="shared" si="6"/>
        <v>0.105</v>
      </c>
      <c r="K119">
        <f t="shared" si="7"/>
        <v>76.19047619047619</v>
      </c>
      <c r="L119" t="str">
        <f t="shared" si="8"/>
        <v>Funded</v>
      </c>
      <c r="M119">
        <f t="shared" si="9"/>
        <v>4.3332364705044499</v>
      </c>
    </row>
    <row r="120" spans="1:13" x14ac:dyDescent="0.25">
      <c r="A120" t="s">
        <v>334</v>
      </c>
      <c r="B120" t="s">
        <v>18</v>
      </c>
      <c r="C120" t="s">
        <v>47</v>
      </c>
      <c r="D120" t="s">
        <v>335</v>
      </c>
      <c r="E120" t="s">
        <v>10</v>
      </c>
      <c r="F120" t="s">
        <v>11</v>
      </c>
      <c r="H120">
        <v>1</v>
      </c>
      <c r="I120">
        <f t="shared" si="5"/>
        <v>8</v>
      </c>
      <c r="J120" s="2">
        <f t="shared" si="6"/>
        <v>2</v>
      </c>
      <c r="K120">
        <f t="shared" si="7"/>
        <v>4</v>
      </c>
      <c r="L120" t="str">
        <f t="shared" si="8"/>
        <v>Funded</v>
      </c>
      <c r="M120">
        <f t="shared" si="9"/>
        <v>1.3862943611198906</v>
      </c>
    </row>
    <row r="121" spans="1:13" x14ac:dyDescent="0.25">
      <c r="A121" t="s">
        <v>336</v>
      </c>
      <c r="B121" t="s">
        <v>18</v>
      </c>
      <c r="C121" t="s">
        <v>125</v>
      </c>
      <c r="D121" t="s">
        <v>337</v>
      </c>
      <c r="E121" t="s">
        <v>10</v>
      </c>
      <c r="F121" t="s">
        <v>11</v>
      </c>
      <c r="H121">
        <v>1</v>
      </c>
      <c r="I121">
        <f t="shared" si="5"/>
        <v>8</v>
      </c>
      <c r="J121" s="2">
        <f t="shared" si="6"/>
        <v>1</v>
      </c>
      <c r="K121">
        <f t="shared" si="7"/>
        <v>8</v>
      </c>
      <c r="L121" t="str">
        <f t="shared" si="8"/>
        <v>Funded</v>
      </c>
      <c r="M121">
        <f t="shared" si="9"/>
        <v>2.0794415416798357</v>
      </c>
    </row>
    <row r="122" spans="1:13" x14ac:dyDescent="0.25">
      <c r="A122" t="s">
        <v>338</v>
      </c>
      <c r="B122" t="s">
        <v>18</v>
      </c>
      <c r="C122" t="s">
        <v>47</v>
      </c>
      <c r="D122" t="s">
        <v>339</v>
      </c>
      <c r="E122" t="s">
        <v>10</v>
      </c>
      <c r="F122" t="s">
        <v>50</v>
      </c>
      <c r="H122">
        <v>1</v>
      </c>
      <c r="I122">
        <f t="shared" si="5"/>
        <v>8</v>
      </c>
      <c r="J122" s="2">
        <f t="shared" si="6"/>
        <v>2</v>
      </c>
      <c r="K122">
        <f t="shared" si="7"/>
        <v>4</v>
      </c>
      <c r="L122" t="str">
        <f t="shared" si="8"/>
        <v>Funded</v>
      </c>
      <c r="M122">
        <f t="shared" si="9"/>
        <v>1.3862943611198906</v>
      </c>
    </row>
    <row r="123" spans="1:13" x14ac:dyDescent="0.25">
      <c r="A123" t="s">
        <v>340</v>
      </c>
      <c r="B123" t="s">
        <v>18</v>
      </c>
      <c r="C123" t="s">
        <v>125</v>
      </c>
      <c r="D123" t="s">
        <v>341</v>
      </c>
      <c r="E123" t="s">
        <v>10</v>
      </c>
      <c r="F123" t="s">
        <v>63</v>
      </c>
      <c r="H123">
        <v>1</v>
      </c>
      <c r="I123">
        <f t="shared" si="5"/>
        <v>8</v>
      </c>
      <c r="J123" s="2">
        <f t="shared" si="6"/>
        <v>1</v>
      </c>
      <c r="K123">
        <f t="shared" si="7"/>
        <v>8</v>
      </c>
      <c r="L123" t="str">
        <f t="shared" si="8"/>
        <v>Funded</v>
      </c>
      <c r="M123">
        <f t="shared" si="9"/>
        <v>2.0794415416798357</v>
      </c>
    </row>
    <row r="124" spans="1:13" x14ac:dyDescent="0.25">
      <c r="A124" t="s">
        <v>342</v>
      </c>
      <c r="B124" t="s">
        <v>18</v>
      </c>
      <c r="C124" t="s">
        <v>47</v>
      </c>
      <c r="D124" t="s">
        <v>343</v>
      </c>
      <c r="E124" t="s">
        <v>10</v>
      </c>
      <c r="F124" t="s">
        <v>11</v>
      </c>
      <c r="H124">
        <v>1</v>
      </c>
      <c r="I124">
        <f t="shared" si="5"/>
        <v>8</v>
      </c>
      <c r="J124" s="2">
        <f t="shared" si="6"/>
        <v>2</v>
      </c>
      <c r="K124">
        <f t="shared" si="7"/>
        <v>4</v>
      </c>
      <c r="L124" t="str">
        <f t="shared" si="8"/>
        <v>Funded</v>
      </c>
      <c r="M124">
        <f t="shared" si="9"/>
        <v>1.3862943611198906</v>
      </c>
    </row>
    <row r="125" spans="1:13" x14ac:dyDescent="0.25">
      <c r="A125" t="s">
        <v>344</v>
      </c>
      <c r="B125" t="s">
        <v>18</v>
      </c>
      <c r="C125" t="s">
        <v>345</v>
      </c>
      <c r="D125" t="s">
        <v>346</v>
      </c>
      <c r="E125" t="s">
        <v>10</v>
      </c>
      <c r="F125" t="s">
        <v>11</v>
      </c>
      <c r="H125">
        <v>1</v>
      </c>
      <c r="I125">
        <f t="shared" si="5"/>
        <v>8</v>
      </c>
      <c r="J125" s="2">
        <f t="shared" si="6"/>
        <v>0.47399999999999998</v>
      </c>
      <c r="K125">
        <f t="shared" si="7"/>
        <v>16.877637130801688</v>
      </c>
      <c r="L125" t="str">
        <f t="shared" si="8"/>
        <v>Funded</v>
      </c>
      <c r="M125">
        <f t="shared" si="9"/>
        <v>2.8259894989668966</v>
      </c>
    </row>
    <row r="126" spans="1:13" x14ac:dyDescent="0.25">
      <c r="A126" t="s">
        <v>347</v>
      </c>
      <c r="B126" t="s">
        <v>18</v>
      </c>
      <c r="C126" t="s">
        <v>348</v>
      </c>
      <c r="D126" t="s">
        <v>349</v>
      </c>
      <c r="E126" t="s">
        <v>10</v>
      </c>
      <c r="F126" t="s">
        <v>21</v>
      </c>
      <c r="H126">
        <v>1</v>
      </c>
      <c r="I126">
        <f t="shared" si="5"/>
        <v>8</v>
      </c>
      <c r="J126" s="2">
        <f t="shared" si="6"/>
        <v>0.26100000000000001</v>
      </c>
      <c r="K126">
        <f t="shared" si="7"/>
        <v>30.651340996168582</v>
      </c>
      <c r="L126" t="str">
        <f t="shared" si="8"/>
        <v>Funded</v>
      </c>
      <c r="M126">
        <f t="shared" si="9"/>
        <v>3.4226764133392797</v>
      </c>
    </row>
    <row r="127" spans="1:13" x14ac:dyDescent="0.25">
      <c r="A127" t="s">
        <v>351</v>
      </c>
      <c r="B127" t="s">
        <v>18</v>
      </c>
      <c r="C127" t="s">
        <v>125</v>
      </c>
      <c r="D127" t="s">
        <v>15</v>
      </c>
      <c r="E127" t="s">
        <v>10</v>
      </c>
      <c r="F127" t="s">
        <v>11</v>
      </c>
      <c r="H127">
        <v>1</v>
      </c>
      <c r="I127">
        <f t="shared" si="5"/>
        <v>8</v>
      </c>
      <c r="J127" s="2">
        <f t="shared" si="6"/>
        <v>1</v>
      </c>
      <c r="K127">
        <f t="shared" si="7"/>
        <v>8</v>
      </c>
      <c r="L127" t="str">
        <f t="shared" si="8"/>
        <v>Funded</v>
      </c>
      <c r="M127">
        <f t="shared" si="9"/>
        <v>2.0794415416798357</v>
      </c>
    </row>
    <row r="128" spans="1:13" x14ac:dyDescent="0.25">
      <c r="A128" t="s">
        <v>352</v>
      </c>
      <c r="B128" t="s">
        <v>18</v>
      </c>
      <c r="C128" t="s">
        <v>47</v>
      </c>
      <c r="D128" t="s">
        <v>353</v>
      </c>
      <c r="E128" t="s">
        <v>10</v>
      </c>
      <c r="F128" t="s">
        <v>11</v>
      </c>
      <c r="H128">
        <v>1</v>
      </c>
      <c r="I128">
        <f t="shared" si="5"/>
        <v>8</v>
      </c>
      <c r="J128" s="2">
        <f t="shared" si="6"/>
        <v>2</v>
      </c>
      <c r="K128">
        <f t="shared" si="7"/>
        <v>4</v>
      </c>
      <c r="L128" t="str">
        <f t="shared" si="8"/>
        <v>Funded</v>
      </c>
      <c r="M128">
        <f t="shared" si="9"/>
        <v>1.3862943611198906</v>
      </c>
    </row>
    <row r="129" spans="1:13" x14ac:dyDescent="0.25">
      <c r="A129" t="s">
        <v>354</v>
      </c>
      <c r="B129" t="s">
        <v>18</v>
      </c>
      <c r="C129" t="s">
        <v>355</v>
      </c>
      <c r="E129" t="s">
        <v>10</v>
      </c>
      <c r="F129" t="s">
        <v>21</v>
      </c>
      <c r="H129">
        <v>1</v>
      </c>
      <c r="I129">
        <f t="shared" si="5"/>
        <v>8</v>
      </c>
      <c r="J129" s="2">
        <f t="shared" si="6"/>
        <v>0.129</v>
      </c>
      <c r="K129">
        <f t="shared" si="7"/>
        <v>62.015503875968989</v>
      </c>
      <c r="L129" t="str">
        <f t="shared" si="8"/>
        <v>Funded</v>
      </c>
      <c r="M129">
        <f t="shared" si="9"/>
        <v>4.1273844163003011</v>
      </c>
    </row>
    <row r="130" spans="1:13" x14ac:dyDescent="0.25">
      <c r="A130" t="s">
        <v>356</v>
      </c>
      <c r="B130" t="s">
        <v>18</v>
      </c>
      <c r="C130" t="s">
        <v>125</v>
      </c>
      <c r="D130" t="s">
        <v>357</v>
      </c>
      <c r="E130" t="s">
        <v>10</v>
      </c>
      <c r="F130" t="s">
        <v>21</v>
      </c>
      <c r="H130">
        <v>1</v>
      </c>
      <c r="I130">
        <f t="shared" si="5"/>
        <v>8</v>
      </c>
      <c r="J130" s="2">
        <f t="shared" si="6"/>
        <v>1</v>
      </c>
      <c r="K130">
        <f t="shared" si="7"/>
        <v>8</v>
      </c>
      <c r="L130" t="str">
        <f t="shared" si="8"/>
        <v>Funded</v>
      </c>
      <c r="M130">
        <f t="shared" si="9"/>
        <v>2.0794415416798357</v>
      </c>
    </row>
    <row r="131" spans="1:13" x14ac:dyDescent="0.25">
      <c r="A131" t="s">
        <v>358</v>
      </c>
      <c r="B131" t="s">
        <v>18</v>
      </c>
      <c r="C131" t="s">
        <v>47</v>
      </c>
      <c r="E131" t="s">
        <v>10</v>
      </c>
      <c r="F131" t="s">
        <v>21</v>
      </c>
      <c r="H131">
        <v>1</v>
      </c>
      <c r="I131">
        <f t="shared" ref="I131:I194" si="10">IF(B131="","",
VALUE(SUBSTITUTE(SUBSTITUTE(B131,"$",""),"B","")))</f>
        <v>8</v>
      </c>
      <c r="J131" s="2">
        <f t="shared" ref="J131:J194" si="11">IF(C131="","",
IF(C131="$0",0,
IF(RIGHT(C131,1)="B",
VALUE(SUBSTITUTE(SUBSTITUTE(C131,"$",""),"B","")),
IF(RIGHT(C131,1)="M",
VALUE(SUBSTITUTE(SUBSTITUTE(C131,"$",""),"M",""))/1000,
IF(RIGHT(C131,1)="K",
VALUE(SUBSTITUTE(SUBSTITUTE(C131,"$",""),"K",""))/1000000,
VALUE(SUBSTITUTE(C131,"$",""))
)))))</f>
        <v>2</v>
      </c>
      <c r="K131">
        <f t="shared" ref="K131:K194" si="12">IF(J131&gt;0,I131/J131,"")</f>
        <v>4</v>
      </c>
      <c r="L131" t="str">
        <f t="shared" ref="L131:L194" si="13">IF(J131=0,"Bootstrapped","Funded")</f>
        <v>Funded</v>
      </c>
      <c r="M131">
        <f t="shared" ref="M131:M194" si="14">IF(AND(I131&gt;0,J131&gt;0),LN(I131/J131),"")</f>
        <v>1.3862943611198906</v>
      </c>
    </row>
    <row r="132" spans="1:13" x14ac:dyDescent="0.25">
      <c r="A132" t="s">
        <v>359</v>
      </c>
      <c r="B132" t="s">
        <v>18</v>
      </c>
      <c r="C132" s="1">
        <v>0</v>
      </c>
      <c r="E132" t="s">
        <v>10</v>
      </c>
      <c r="F132" t="s">
        <v>50</v>
      </c>
      <c r="H132">
        <v>1</v>
      </c>
      <c r="I132">
        <f t="shared" si="10"/>
        <v>8</v>
      </c>
      <c r="J132" s="2">
        <f t="shared" si="11"/>
        <v>0</v>
      </c>
      <c r="K132" t="str">
        <f t="shared" si="12"/>
        <v/>
      </c>
      <c r="L132" t="str">
        <f t="shared" si="13"/>
        <v>Bootstrapped</v>
      </c>
      <c r="M132" t="str">
        <f t="shared" si="14"/>
        <v/>
      </c>
    </row>
    <row r="133" spans="1:13" x14ac:dyDescent="0.25">
      <c r="A133" t="s">
        <v>361</v>
      </c>
      <c r="B133" t="s">
        <v>18</v>
      </c>
      <c r="C133" t="s">
        <v>362</v>
      </c>
      <c r="E133" t="s">
        <v>10</v>
      </c>
      <c r="F133" t="s">
        <v>21</v>
      </c>
      <c r="H133">
        <v>1</v>
      </c>
      <c r="I133">
        <f t="shared" si="10"/>
        <v>8</v>
      </c>
      <c r="J133" s="2">
        <f t="shared" si="11"/>
        <v>0.69399999999999995</v>
      </c>
      <c r="K133">
        <f t="shared" si="12"/>
        <v>11.527377521613834</v>
      </c>
      <c r="L133" t="str">
        <f t="shared" si="13"/>
        <v>Funded</v>
      </c>
      <c r="M133">
        <f t="shared" si="14"/>
        <v>2.4447248601551688</v>
      </c>
    </row>
    <row r="134" spans="1:13" x14ac:dyDescent="0.25">
      <c r="A134" t="s">
        <v>363</v>
      </c>
      <c r="B134" t="s">
        <v>18</v>
      </c>
      <c r="C134" t="s">
        <v>364</v>
      </c>
      <c r="D134" t="s">
        <v>148</v>
      </c>
      <c r="E134" t="s">
        <v>10</v>
      </c>
      <c r="F134" t="s">
        <v>11</v>
      </c>
      <c r="H134">
        <v>1</v>
      </c>
      <c r="I134">
        <f t="shared" si="10"/>
        <v>8</v>
      </c>
      <c r="J134" s="2">
        <f t="shared" si="11"/>
        <v>0.61299999999999999</v>
      </c>
      <c r="K134">
        <f t="shared" si="12"/>
        <v>13.050570962479609</v>
      </c>
      <c r="L134" t="str">
        <f t="shared" si="13"/>
        <v>Funded</v>
      </c>
      <c r="M134">
        <f t="shared" si="14"/>
        <v>2.5688318847257618</v>
      </c>
    </row>
    <row r="135" spans="1:13" x14ac:dyDescent="0.25">
      <c r="A135" t="s">
        <v>366</v>
      </c>
      <c r="B135" t="s">
        <v>18</v>
      </c>
      <c r="C135" t="s">
        <v>47</v>
      </c>
      <c r="D135" t="s">
        <v>66</v>
      </c>
      <c r="E135" t="s">
        <v>10</v>
      </c>
      <c r="F135" t="s">
        <v>11</v>
      </c>
      <c r="H135">
        <v>1</v>
      </c>
      <c r="I135">
        <f t="shared" si="10"/>
        <v>8</v>
      </c>
      <c r="J135" s="2">
        <f t="shared" si="11"/>
        <v>2</v>
      </c>
      <c r="K135">
        <f t="shared" si="12"/>
        <v>4</v>
      </c>
      <c r="L135" t="str">
        <f t="shared" si="13"/>
        <v>Funded</v>
      </c>
      <c r="M135">
        <f t="shared" si="14"/>
        <v>1.3862943611198906</v>
      </c>
    </row>
    <row r="136" spans="1:13" x14ac:dyDescent="0.25">
      <c r="A136" t="s">
        <v>367</v>
      </c>
      <c r="B136" t="s">
        <v>18</v>
      </c>
      <c r="C136" t="s">
        <v>47</v>
      </c>
      <c r="D136" t="s">
        <v>368</v>
      </c>
      <c r="E136" t="s">
        <v>10</v>
      </c>
      <c r="F136" t="s">
        <v>11</v>
      </c>
      <c r="H136">
        <v>1</v>
      </c>
      <c r="I136">
        <f t="shared" si="10"/>
        <v>8</v>
      </c>
      <c r="J136" s="2">
        <f t="shared" si="11"/>
        <v>2</v>
      </c>
      <c r="K136">
        <f t="shared" si="12"/>
        <v>4</v>
      </c>
      <c r="L136" t="str">
        <f t="shared" si="13"/>
        <v>Funded</v>
      </c>
      <c r="M136">
        <f t="shared" si="14"/>
        <v>1.3862943611198906</v>
      </c>
    </row>
    <row r="137" spans="1:13" x14ac:dyDescent="0.25">
      <c r="A137" t="s">
        <v>369</v>
      </c>
      <c r="B137" t="s">
        <v>18</v>
      </c>
      <c r="C137" t="s">
        <v>370</v>
      </c>
      <c r="D137" t="s">
        <v>15</v>
      </c>
      <c r="E137" t="s">
        <v>10</v>
      </c>
      <c r="F137" t="s">
        <v>11</v>
      </c>
      <c r="H137">
        <v>1</v>
      </c>
      <c r="I137">
        <f t="shared" si="10"/>
        <v>8</v>
      </c>
      <c r="J137" s="2">
        <f t="shared" si="11"/>
        <v>0.65600000000000003</v>
      </c>
      <c r="K137">
        <f t="shared" si="12"/>
        <v>12.195121951219512</v>
      </c>
      <c r="L137" t="str">
        <f t="shared" si="13"/>
        <v>Funded</v>
      </c>
      <c r="M137">
        <f t="shared" si="14"/>
        <v>2.5010360317178839</v>
      </c>
    </row>
    <row r="138" spans="1:13" x14ac:dyDescent="0.25">
      <c r="A138" t="s">
        <v>371</v>
      </c>
      <c r="B138" t="s">
        <v>18</v>
      </c>
      <c r="C138" t="s">
        <v>372</v>
      </c>
      <c r="D138" t="s">
        <v>373</v>
      </c>
      <c r="E138" t="s">
        <v>10</v>
      </c>
      <c r="F138" t="s">
        <v>11</v>
      </c>
      <c r="H138">
        <v>1</v>
      </c>
      <c r="I138">
        <f t="shared" si="10"/>
        <v>8</v>
      </c>
      <c r="J138" s="2">
        <f t="shared" si="11"/>
        <v>0.78500000000000003</v>
      </c>
      <c r="K138">
        <f t="shared" si="12"/>
        <v>10.19108280254777</v>
      </c>
      <c r="L138" t="str">
        <f t="shared" si="13"/>
        <v>Funded</v>
      </c>
      <c r="M138">
        <f t="shared" si="14"/>
        <v>2.3215131028795644</v>
      </c>
    </row>
    <row r="139" spans="1:13" x14ac:dyDescent="0.25">
      <c r="A139" t="s">
        <v>374</v>
      </c>
      <c r="B139" t="s">
        <v>114</v>
      </c>
      <c r="C139" t="s">
        <v>375</v>
      </c>
      <c r="D139" t="s">
        <v>376</v>
      </c>
      <c r="E139" t="s">
        <v>10</v>
      </c>
      <c r="F139" t="s">
        <v>11</v>
      </c>
      <c r="H139">
        <v>1</v>
      </c>
      <c r="I139">
        <f t="shared" si="10"/>
        <v>7</v>
      </c>
      <c r="J139" s="2">
        <f t="shared" si="11"/>
        <v>0.752</v>
      </c>
      <c r="K139">
        <f t="shared" si="12"/>
        <v>9.3085106382978715</v>
      </c>
      <c r="L139" t="str">
        <f t="shared" si="13"/>
        <v>Funded</v>
      </c>
      <c r="M139">
        <f t="shared" si="14"/>
        <v>2.2309291040876102</v>
      </c>
    </row>
    <row r="140" spans="1:13" x14ac:dyDescent="0.25">
      <c r="A140" t="s">
        <v>377</v>
      </c>
      <c r="B140" t="s">
        <v>114</v>
      </c>
      <c r="C140" t="s">
        <v>125</v>
      </c>
      <c r="D140" t="s">
        <v>378</v>
      </c>
      <c r="E140" t="s">
        <v>10</v>
      </c>
      <c r="F140" t="s">
        <v>11</v>
      </c>
      <c r="H140">
        <v>1</v>
      </c>
      <c r="I140">
        <f t="shared" si="10"/>
        <v>7</v>
      </c>
      <c r="J140" s="2">
        <f t="shared" si="11"/>
        <v>1</v>
      </c>
      <c r="K140">
        <f t="shared" si="12"/>
        <v>7</v>
      </c>
      <c r="L140" t="str">
        <f t="shared" si="13"/>
        <v>Funded</v>
      </c>
      <c r="M140">
        <f t="shared" si="14"/>
        <v>1.9459101490553132</v>
      </c>
    </row>
    <row r="141" spans="1:13" x14ac:dyDescent="0.25">
      <c r="A141" t="s">
        <v>379</v>
      </c>
      <c r="B141" t="s">
        <v>114</v>
      </c>
      <c r="C141" t="s">
        <v>125</v>
      </c>
      <c r="D141" t="s">
        <v>380</v>
      </c>
      <c r="E141" t="s">
        <v>10</v>
      </c>
      <c r="F141" t="s">
        <v>11</v>
      </c>
      <c r="H141">
        <v>1</v>
      </c>
      <c r="I141">
        <f t="shared" si="10"/>
        <v>7</v>
      </c>
      <c r="J141" s="2">
        <f t="shared" si="11"/>
        <v>1</v>
      </c>
      <c r="K141">
        <f t="shared" si="12"/>
        <v>7</v>
      </c>
      <c r="L141" t="str">
        <f t="shared" si="13"/>
        <v>Funded</v>
      </c>
      <c r="M141">
        <f t="shared" si="14"/>
        <v>1.9459101490553132</v>
      </c>
    </row>
    <row r="142" spans="1:13" x14ac:dyDescent="0.25">
      <c r="A142" t="s">
        <v>381</v>
      </c>
      <c r="B142" t="s">
        <v>114</v>
      </c>
      <c r="C142" t="s">
        <v>382</v>
      </c>
      <c r="D142" t="s">
        <v>383</v>
      </c>
      <c r="E142" t="s">
        <v>10</v>
      </c>
      <c r="F142" t="s">
        <v>21</v>
      </c>
      <c r="H142">
        <v>1</v>
      </c>
      <c r="I142">
        <f t="shared" si="10"/>
        <v>7</v>
      </c>
      <c r="J142" s="2">
        <f t="shared" si="11"/>
        <v>0.65200000000000002</v>
      </c>
      <c r="K142">
        <f t="shared" si="12"/>
        <v>10.736196319018404</v>
      </c>
      <c r="L142" t="str">
        <f t="shared" si="13"/>
        <v>Funded</v>
      </c>
      <c r="M142">
        <f t="shared" si="14"/>
        <v>2.3736208661107971</v>
      </c>
    </row>
    <row r="143" spans="1:13" x14ac:dyDescent="0.25">
      <c r="A143" t="s">
        <v>385</v>
      </c>
      <c r="B143" t="s">
        <v>114</v>
      </c>
      <c r="C143" t="s">
        <v>386</v>
      </c>
      <c r="D143" t="s">
        <v>331</v>
      </c>
      <c r="E143" t="s">
        <v>10</v>
      </c>
      <c r="F143" t="s">
        <v>11</v>
      </c>
      <c r="H143">
        <v>1</v>
      </c>
      <c r="I143">
        <f t="shared" si="10"/>
        <v>7</v>
      </c>
      <c r="J143" s="2">
        <f t="shared" si="11"/>
        <v>0.58299999999999996</v>
      </c>
      <c r="K143">
        <f t="shared" si="12"/>
        <v>12.006861063464838</v>
      </c>
      <c r="L143" t="str">
        <f t="shared" si="13"/>
        <v>Funded</v>
      </c>
      <c r="M143">
        <f t="shared" si="14"/>
        <v>2.4854782416869581</v>
      </c>
    </row>
    <row r="144" spans="1:13" x14ac:dyDescent="0.25">
      <c r="A144" t="s">
        <v>387</v>
      </c>
      <c r="B144" t="s">
        <v>114</v>
      </c>
      <c r="C144" t="s">
        <v>388</v>
      </c>
      <c r="D144" t="s">
        <v>389</v>
      </c>
      <c r="E144" t="s">
        <v>10</v>
      </c>
      <c r="F144" t="s">
        <v>11</v>
      </c>
      <c r="H144">
        <v>1</v>
      </c>
      <c r="I144">
        <f t="shared" si="10"/>
        <v>7</v>
      </c>
      <c r="J144" s="2">
        <f t="shared" si="11"/>
        <v>0.76800000000000002</v>
      </c>
      <c r="K144">
        <f t="shared" si="12"/>
        <v>9.1145833333333339</v>
      </c>
      <c r="L144" t="str">
        <f t="shared" si="13"/>
        <v>Funded</v>
      </c>
      <c r="M144">
        <f t="shared" si="14"/>
        <v>2.2098756948897784</v>
      </c>
    </row>
    <row r="145" spans="1:13" x14ac:dyDescent="0.25">
      <c r="A145" t="s">
        <v>390</v>
      </c>
      <c r="B145" t="s">
        <v>114</v>
      </c>
      <c r="C145" t="s">
        <v>125</v>
      </c>
      <c r="D145" t="s">
        <v>391</v>
      </c>
      <c r="E145" t="s">
        <v>10</v>
      </c>
      <c r="F145" t="s">
        <v>11</v>
      </c>
      <c r="H145">
        <v>1</v>
      </c>
      <c r="I145">
        <f t="shared" si="10"/>
        <v>7</v>
      </c>
      <c r="J145" s="2">
        <f t="shared" si="11"/>
        <v>1</v>
      </c>
      <c r="K145">
        <f t="shared" si="12"/>
        <v>7</v>
      </c>
      <c r="L145" t="str">
        <f t="shared" si="13"/>
        <v>Funded</v>
      </c>
      <c r="M145">
        <f t="shared" si="14"/>
        <v>1.9459101490553132</v>
      </c>
    </row>
    <row r="146" spans="1:13" x14ac:dyDescent="0.25">
      <c r="A146" t="s">
        <v>392</v>
      </c>
      <c r="B146" t="s">
        <v>114</v>
      </c>
      <c r="C146" t="s">
        <v>393</v>
      </c>
      <c r="D146" t="s">
        <v>394</v>
      </c>
      <c r="E146" t="s">
        <v>10</v>
      </c>
      <c r="F146" t="s">
        <v>50</v>
      </c>
      <c r="H146">
        <v>1</v>
      </c>
      <c r="I146">
        <f t="shared" si="10"/>
        <v>7</v>
      </c>
      <c r="J146" s="2">
        <f t="shared" si="11"/>
        <v>0.6</v>
      </c>
      <c r="K146">
        <f t="shared" si="12"/>
        <v>11.666666666666668</v>
      </c>
      <c r="L146" t="str">
        <f t="shared" si="13"/>
        <v>Funded</v>
      </c>
      <c r="M146">
        <f t="shared" si="14"/>
        <v>2.456735772821304</v>
      </c>
    </row>
    <row r="147" spans="1:13" x14ac:dyDescent="0.25">
      <c r="A147" t="s">
        <v>395</v>
      </c>
      <c r="B147" t="s">
        <v>114</v>
      </c>
      <c r="C147" t="s">
        <v>396</v>
      </c>
      <c r="D147" t="s">
        <v>248</v>
      </c>
      <c r="E147" t="s">
        <v>10</v>
      </c>
      <c r="F147" t="s">
        <v>11</v>
      </c>
      <c r="H147">
        <v>1</v>
      </c>
      <c r="I147">
        <f t="shared" si="10"/>
        <v>7</v>
      </c>
      <c r="J147" s="2">
        <f t="shared" si="11"/>
        <v>0.66</v>
      </c>
      <c r="K147">
        <f t="shared" si="12"/>
        <v>10.606060606060606</v>
      </c>
      <c r="L147" t="str">
        <f t="shared" si="13"/>
        <v>Funded</v>
      </c>
      <c r="M147">
        <f t="shared" si="14"/>
        <v>2.3614255930169792</v>
      </c>
    </row>
    <row r="148" spans="1:13" x14ac:dyDescent="0.25">
      <c r="A148" t="s">
        <v>397</v>
      </c>
      <c r="B148" t="s">
        <v>114</v>
      </c>
      <c r="C148" t="s">
        <v>125</v>
      </c>
      <c r="D148" t="s">
        <v>398</v>
      </c>
      <c r="E148" t="s">
        <v>10</v>
      </c>
      <c r="F148" t="s">
        <v>11</v>
      </c>
      <c r="H148">
        <v>1</v>
      </c>
      <c r="I148">
        <f t="shared" si="10"/>
        <v>7</v>
      </c>
      <c r="J148" s="2">
        <f t="shared" si="11"/>
        <v>1</v>
      </c>
      <c r="K148">
        <f t="shared" si="12"/>
        <v>7</v>
      </c>
      <c r="L148" t="str">
        <f t="shared" si="13"/>
        <v>Funded</v>
      </c>
      <c r="M148">
        <f t="shared" si="14"/>
        <v>1.9459101490553132</v>
      </c>
    </row>
    <row r="149" spans="1:13" x14ac:dyDescent="0.25">
      <c r="A149" t="s">
        <v>399</v>
      </c>
      <c r="B149" t="s">
        <v>114</v>
      </c>
      <c r="C149" t="s">
        <v>125</v>
      </c>
      <c r="D149" t="s">
        <v>400</v>
      </c>
      <c r="E149" t="s">
        <v>10</v>
      </c>
      <c r="F149" t="s">
        <v>21</v>
      </c>
      <c r="H149">
        <v>1</v>
      </c>
      <c r="I149">
        <f t="shared" si="10"/>
        <v>7</v>
      </c>
      <c r="J149" s="2">
        <f t="shared" si="11"/>
        <v>1</v>
      </c>
      <c r="K149">
        <f t="shared" si="12"/>
        <v>7</v>
      </c>
      <c r="L149" t="str">
        <f t="shared" si="13"/>
        <v>Funded</v>
      </c>
      <c r="M149">
        <f t="shared" si="14"/>
        <v>1.9459101490553132</v>
      </c>
    </row>
    <row r="150" spans="1:13" x14ac:dyDescent="0.25">
      <c r="A150" t="s">
        <v>401</v>
      </c>
      <c r="B150" t="s">
        <v>114</v>
      </c>
      <c r="C150" t="s">
        <v>125</v>
      </c>
      <c r="E150" t="s">
        <v>10</v>
      </c>
      <c r="F150" t="s">
        <v>50</v>
      </c>
      <c r="H150">
        <v>1</v>
      </c>
      <c r="I150">
        <f t="shared" si="10"/>
        <v>7</v>
      </c>
      <c r="J150" s="2">
        <f t="shared" si="11"/>
        <v>1</v>
      </c>
      <c r="K150">
        <f t="shared" si="12"/>
        <v>7</v>
      </c>
      <c r="L150" t="str">
        <f t="shared" si="13"/>
        <v>Funded</v>
      </c>
      <c r="M150">
        <f t="shared" si="14"/>
        <v>1.9459101490553132</v>
      </c>
    </row>
    <row r="151" spans="1:13" x14ac:dyDescent="0.25">
      <c r="A151" t="s">
        <v>402</v>
      </c>
      <c r="B151" t="s">
        <v>114</v>
      </c>
      <c r="C151" t="s">
        <v>283</v>
      </c>
      <c r="D151" t="s">
        <v>148</v>
      </c>
      <c r="E151" t="s">
        <v>10</v>
      </c>
      <c r="F151" t="s">
        <v>11</v>
      </c>
      <c r="H151">
        <v>1</v>
      </c>
      <c r="I151">
        <f t="shared" si="10"/>
        <v>7</v>
      </c>
      <c r="J151" s="2">
        <f t="shared" si="11"/>
        <v>0.86299999999999999</v>
      </c>
      <c r="K151">
        <f t="shared" si="12"/>
        <v>8.1112398609501746</v>
      </c>
      <c r="L151" t="str">
        <f t="shared" si="13"/>
        <v>Funded</v>
      </c>
      <c r="M151">
        <f t="shared" si="14"/>
        <v>2.0932507369540225</v>
      </c>
    </row>
    <row r="152" spans="1:13" x14ac:dyDescent="0.25">
      <c r="A152" t="s">
        <v>403</v>
      </c>
      <c r="B152" t="s">
        <v>114</v>
      </c>
      <c r="C152" t="s">
        <v>47</v>
      </c>
      <c r="D152" t="s">
        <v>404</v>
      </c>
      <c r="E152" t="s">
        <v>10</v>
      </c>
      <c r="F152" t="s">
        <v>11</v>
      </c>
      <c r="H152">
        <v>1</v>
      </c>
      <c r="I152">
        <f t="shared" si="10"/>
        <v>7</v>
      </c>
      <c r="J152" s="2">
        <f t="shared" si="11"/>
        <v>2</v>
      </c>
      <c r="K152">
        <f t="shared" si="12"/>
        <v>3.5</v>
      </c>
      <c r="L152" t="str">
        <f t="shared" si="13"/>
        <v>Funded</v>
      </c>
      <c r="M152">
        <f t="shared" si="14"/>
        <v>1.2527629684953681</v>
      </c>
    </row>
    <row r="153" spans="1:13" x14ac:dyDescent="0.25">
      <c r="A153" t="s">
        <v>405</v>
      </c>
      <c r="B153" t="s">
        <v>114</v>
      </c>
      <c r="C153" t="s">
        <v>406</v>
      </c>
      <c r="D153" t="s">
        <v>407</v>
      </c>
      <c r="E153" t="s">
        <v>10</v>
      </c>
      <c r="F153" t="s">
        <v>11</v>
      </c>
      <c r="H153">
        <v>1</v>
      </c>
      <c r="I153">
        <f t="shared" si="10"/>
        <v>7</v>
      </c>
      <c r="J153" s="2">
        <f t="shared" si="11"/>
        <v>0.81</v>
      </c>
      <c r="K153">
        <f t="shared" si="12"/>
        <v>8.6419753086419746</v>
      </c>
      <c r="L153" t="str">
        <f t="shared" si="13"/>
        <v>Funded</v>
      </c>
      <c r="M153">
        <f t="shared" si="14"/>
        <v>2.1566311803709657</v>
      </c>
    </row>
    <row r="154" spans="1:13" x14ac:dyDescent="0.25">
      <c r="A154" t="s">
        <v>408</v>
      </c>
      <c r="B154" t="s">
        <v>114</v>
      </c>
      <c r="C154" t="s">
        <v>47</v>
      </c>
      <c r="D154" t="s">
        <v>409</v>
      </c>
      <c r="E154" t="s">
        <v>10</v>
      </c>
      <c r="F154" t="s">
        <v>11</v>
      </c>
      <c r="H154">
        <v>1</v>
      </c>
      <c r="I154">
        <f t="shared" si="10"/>
        <v>7</v>
      </c>
      <c r="J154" s="2">
        <f t="shared" si="11"/>
        <v>2</v>
      </c>
      <c r="K154">
        <f t="shared" si="12"/>
        <v>3.5</v>
      </c>
      <c r="L154" t="str">
        <f t="shared" si="13"/>
        <v>Funded</v>
      </c>
      <c r="M154">
        <f t="shared" si="14"/>
        <v>1.2527629684953681</v>
      </c>
    </row>
    <row r="155" spans="1:13" x14ac:dyDescent="0.25">
      <c r="A155" t="s">
        <v>410</v>
      </c>
      <c r="B155" t="s">
        <v>114</v>
      </c>
      <c r="C155" t="s">
        <v>47</v>
      </c>
      <c r="D155" t="s">
        <v>411</v>
      </c>
      <c r="E155" t="s">
        <v>10</v>
      </c>
      <c r="F155" t="s">
        <v>11</v>
      </c>
      <c r="H155">
        <v>1</v>
      </c>
      <c r="I155">
        <f t="shared" si="10"/>
        <v>7</v>
      </c>
      <c r="J155" s="2">
        <f t="shared" si="11"/>
        <v>2</v>
      </c>
      <c r="K155">
        <f t="shared" si="12"/>
        <v>3.5</v>
      </c>
      <c r="L155" t="str">
        <f t="shared" si="13"/>
        <v>Funded</v>
      </c>
      <c r="M155">
        <f t="shared" si="14"/>
        <v>1.2527629684953681</v>
      </c>
    </row>
    <row r="156" spans="1:13" x14ac:dyDescent="0.25">
      <c r="A156" t="s">
        <v>412</v>
      </c>
      <c r="B156" t="s">
        <v>114</v>
      </c>
      <c r="C156" t="s">
        <v>125</v>
      </c>
      <c r="D156" t="s">
        <v>413</v>
      </c>
      <c r="E156" t="s">
        <v>10</v>
      </c>
      <c r="F156" t="s">
        <v>11</v>
      </c>
      <c r="H156">
        <v>1</v>
      </c>
      <c r="I156">
        <f t="shared" si="10"/>
        <v>7</v>
      </c>
      <c r="J156" s="2">
        <f t="shared" si="11"/>
        <v>1</v>
      </c>
      <c r="K156">
        <f t="shared" si="12"/>
        <v>7</v>
      </c>
      <c r="L156" t="str">
        <f t="shared" si="13"/>
        <v>Funded</v>
      </c>
      <c r="M156">
        <f t="shared" si="14"/>
        <v>1.9459101490553132</v>
      </c>
    </row>
    <row r="157" spans="1:13" x14ac:dyDescent="0.25">
      <c r="A157" t="s">
        <v>414</v>
      </c>
      <c r="B157" t="s">
        <v>114</v>
      </c>
      <c r="C157" t="s">
        <v>47</v>
      </c>
      <c r="D157" t="s">
        <v>415</v>
      </c>
      <c r="E157" t="s">
        <v>10</v>
      </c>
      <c r="F157" t="s">
        <v>11</v>
      </c>
      <c r="H157">
        <v>1</v>
      </c>
      <c r="I157">
        <f t="shared" si="10"/>
        <v>7</v>
      </c>
      <c r="J157" s="2">
        <f t="shared" si="11"/>
        <v>2</v>
      </c>
      <c r="K157">
        <f t="shared" si="12"/>
        <v>3.5</v>
      </c>
      <c r="L157" t="str">
        <f t="shared" si="13"/>
        <v>Funded</v>
      </c>
      <c r="M157">
        <f t="shared" si="14"/>
        <v>1.2527629684953681</v>
      </c>
    </row>
    <row r="158" spans="1:13" x14ac:dyDescent="0.25">
      <c r="A158" t="s">
        <v>416</v>
      </c>
      <c r="B158" t="s">
        <v>114</v>
      </c>
      <c r="C158" t="s">
        <v>417</v>
      </c>
      <c r="D158" t="s">
        <v>418</v>
      </c>
      <c r="E158" t="s">
        <v>10</v>
      </c>
      <c r="F158" t="s">
        <v>11</v>
      </c>
      <c r="H158">
        <v>1</v>
      </c>
      <c r="I158">
        <f t="shared" si="10"/>
        <v>7</v>
      </c>
      <c r="J158" s="2">
        <f t="shared" si="11"/>
        <v>0.90800000000000003</v>
      </c>
      <c r="K158">
        <f t="shared" si="12"/>
        <v>7.7092511013215859</v>
      </c>
      <c r="L158" t="str">
        <f t="shared" si="13"/>
        <v>Funded</v>
      </c>
      <c r="M158">
        <f t="shared" si="14"/>
        <v>2.042421049436157</v>
      </c>
    </row>
    <row r="159" spans="1:13" x14ac:dyDescent="0.25">
      <c r="A159" t="s">
        <v>419</v>
      </c>
      <c r="B159" t="s">
        <v>114</v>
      </c>
      <c r="C159" t="s">
        <v>47</v>
      </c>
      <c r="D159" t="s">
        <v>420</v>
      </c>
      <c r="E159" t="s">
        <v>10</v>
      </c>
      <c r="F159" t="s">
        <v>21</v>
      </c>
      <c r="H159">
        <v>1</v>
      </c>
      <c r="I159">
        <f t="shared" si="10"/>
        <v>7</v>
      </c>
      <c r="J159" s="2">
        <f t="shared" si="11"/>
        <v>2</v>
      </c>
      <c r="K159">
        <f t="shared" si="12"/>
        <v>3.5</v>
      </c>
      <c r="L159" t="str">
        <f t="shared" si="13"/>
        <v>Funded</v>
      </c>
      <c r="M159">
        <f t="shared" si="14"/>
        <v>1.2527629684953681</v>
      </c>
    </row>
    <row r="160" spans="1:13" x14ac:dyDescent="0.25">
      <c r="A160" t="s">
        <v>421</v>
      </c>
      <c r="B160" t="s">
        <v>114</v>
      </c>
      <c r="C160" t="s">
        <v>125</v>
      </c>
      <c r="D160" t="s">
        <v>422</v>
      </c>
      <c r="E160" t="s">
        <v>10</v>
      </c>
      <c r="F160" t="s">
        <v>21</v>
      </c>
      <c r="H160">
        <v>1</v>
      </c>
      <c r="I160">
        <f t="shared" si="10"/>
        <v>7</v>
      </c>
      <c r="J160" s="2">
        <f t="shared" si="11"/>
        <v>1</v>
      </c>
      <c r="K160">
        <f t="shared" si="12"/>
        <v>7</v>
      </c>
      <c r="L160" t="str">
        <f t="shared" si="13"/>
        <v>Funded</v>
      </c>
      <c r="M160">
        <f t="shared" si="14"/>
        <v>1.9459101490553132</v>
      </c>
    </row>
    <row r="161" spans="1:13" x14ac:dyDescent="0.25">
      <c r="A161" t="s">
        <v>423</v>
      </c>
      <c r="B161" t="s">
        <v>114</v>
      </c>
      <c r="C161" t="s">
        <v>47</v>
      </c>
      <c r="D161" t="s">
        <v>424</v>
      </c>
      <c r="E161" t="s">
        <v>10</v>
      </c>
      <c r="F161" t="s">
        <v>11</v>
      </c>
      <c r="H161">
        <v>1</v>
      </c>
      <c r="I161">
        <f t="shared" si="10"/>
        <v>7</v>
      </c>
      <c r="J161" s="2">
        <f t="shared" si="11"/>
        <v>2</v>
      </c>
      <c r="K161">
        <f t="shared" si="12"/>
        <v>3.5</v>
      </c>
      <c r="L161" t="str">
        <f t="shared" si="13"/>
        <v>Funded</v>
      </c>
      <c r="M161">
        <f t="shared" si="14"/>
        <v>1.2527629684953681</v>
      </c>
    </row>
    <row r="162" spans="1:13" x14ac:dyDescent="0.25">
      <c r="A162" t="s">
        <v>425</v>
      </c>
      <c r="B162" t="s">
        <v>114</v>
      </c>
      <c r="C162" t="s">
        <v>426</v>
      </c>
      <c r="D162" t="s">
        <v>137</v>
      </c>
      <c r="E162" t="s">
        <v>10</v>
      </c>
      <c r="F162" t="s">
        <v>11</v>
      </c>
      <c r="H162">
        <v>1</v>
      </c>
      <c r="I162">
        <f t="shared" si="10"/>
        <v>7</v>
      </c>
      <c r="J162" s="2">
        <f t="shared" si="11"/>
        <v>0.92</v>
      </c>
      <c r="K162">
        <f t="shared" si="12"/>
        <v>7.6086956521739131</v>
      </c>
      <c r="L162" t="str">
        <f t="shared" si="13"/>
        <v>Funded</v>
      </c>
      <c r="M162">
        <f t="shared" si="14"/>
        <v>2.0292917579943643</v>
      </c>
    </row>
    <row r="163" spans="1:13" x14ac:dyDescent="0.25">
      <c r="A163" t="s">
        <v>427</v>
      </c>
      <c r="B163" t="s">
        <v>114</v>
      </c>
      <c r="C163" t="s">
        <v>428</v>
      </c>
      <c r="D163" t="s">
        <v>429</v>
      </c>
      <c r="E163" t="s">
        <v>10</v>
      </c>
      <c r="F163" t="s">
        <v>11</v>
      </c>
      <c r="H163">
        <v>1</v>
      </c>
      <c r="I163">
        <f t="shared" si="10"/>
        <v>7</v>
      </c>
      <c r="J163" s="2">
        <f t="shared" si="11"/>
        <v>0.85299999999999998</v>
      </c>
      <c r="K163">
        <f t="shared" si="12"/>
        <v>8.2063305978898011</v>
      </c>
      <c r="L163" t="str">
        <f t="shared" si="13"/>
        <v>Funded</v>
      </c>
      <c r="M163">
        <f t="shared" si="14"/>
        <v>2.1049058805457714</v>
      </c>
    </row>
    <row r="164" spans="1:13" x14ac:dyDescent="0.25">
      <c r="A164" t="s">
        <v>430</v>
      </c>
      <c r="B164" t="s">
        <v>114</v>
      </c>
      <c r="C164" t="s">
        <v>125</v>
      </c>
      <c r="D164" t="s">
        <v>431</v>
      </c>
      <c r="E164" t="s">
        <v>10</v>
      </c>
      <c r="F164" t="s">
        <v>21</v>
      </c>
      <c r="H164">
        <v>1</v>
      </c>
      <c r="I164">
        <f t="shared" si="10"/>
        <v>7</v>
      </c>
      <c r="J164" s="2">
        <f t="shared" si="11"/>
        <v>1</v>
      </c>
      <c r="K164">
        <f t="shared" si="12"/>
        <v>7</v>
      </c>
      <c r="L164" t="str">
        <f t="shared" si="13"/>
        <v>Funded</v>
      </c>
      <c r="M164">
        <f t="shared" si="14"/>
        <v>1.9459101490553132</v>
      </c>
    </row>
    <row r="165" spans="1:13" x14ac:dyDescent="0.25">
      <c r="A165" t="s">
        <v>432</v>
      </c>
      <c r="B165" t="s">
        <v>114</v>
      </c>
      <c r="C165" t="s">
        <v>53</v>
      </c>
      <c r="D165" t="s">
        <v>433</v>
      </c>
      <c r="E165" t="s">
        <v>10</v>
      </c>
      <c r="F165" t="s">
        <v>21</v>
      </c>
      <c r="H165">
        <v>1</v>
      </c>
      <c r="I165">
        <f t="shared" si="10"/>
        <v>7</v>
      </c>
      <c r="J165" s="2">
        <f t="shared" si="11"/>
        <v>4</v>
      </c>
      <c r="K165">
        <f t="shared" si="12"/>
        <v>1.75</v>
      </c>
      <c r="L165" t="str">
        <f t="shared" si="13"/>
        <v>Funded</v>
      </c>
      <c r="M165">
        <f t="shared" si="14"/>
        <v>0.55961578793542266</v>
      </c>
    </row>
    <row r="166" spans="1:13" x14ac:dyDescent="0.25">
      <c r="A166" t="s">
        <v>434</v>
      </c>
      <c r="B166" t="s">
        <v>114</v>
      </c>
      <c r="C166" t="s">
        <v>47</v>
      </c>
      <c r="D166" t="s">
        <v>254</v>
      </c>
      <c r="E166" t="s">
        <v>10</v>
      </c>
      <c r="F166" t="s">
        <v>21</v>
      </c>
      <c r="H166">
        <v>1</v>
      </c>
      <c r="I166">
        <f t="shared" si="10"/>
        <v>7</v>
      </c>
      <c r="J166" s="2">
        <f t="shared" si="11"/>
        <v>2</v>
      </c>
      <c r="K166">
        <f t="shared" si="12"/>
        <v>3.5</v>
      </c>
      <c r="L166" t="str">
        <f t="shared" si="13"/>
        <v>Funded</v>
      </c>
      <c r="M166">
        <f t="shared" si="14"/>
        <v>1.2527629684953681</v>
      </c>
    </row>
    <row r="167" spans="1:13" x14ac:dyDescent="0.25">
      <c r="A167" t="s">
        <v>435</v>
      </c>
      <c r="B167" t="s">
        <v>114</v>
      </c>
      <c r="C167" t="s">
        <v>436</v>
      </c>
      <c r="D167" t="s">
        <v>437</v>
      </c>
      <c r="E167" t="s">
        <v>10</v>
      </c>
      <c r="F167" t="s">
        <v>50</v>
      </c>
      <c r="H167">
        <v>1</v>
      </c>
      <c r="I167">
        <f t="shared" si="10"/>
        <v>7</v>
      </c>
      <c r="J167" s="2">
        <f t="shared" si="11"/>
        <v>0.55200000000000005</v>
      </c>
      <c r="K167">
        <f t="shared" si="12"/>
        <v>12.681159420289854</v>
      </c>
      <c r="L167" t="str">
        <f t="shared" si="13"/>
        <v>Funded</v>
      </c>
      <c r="M167">
        <f t="shared" si="14"/>
        <v>2.5401173817603548</v>
      </c>
    </row>
    <row r="168" spans="1:13" x14ac:dyDescent="0.25">
      <c r="A168" t="s">
        <v>438</v>
      </c>
      <c r="B168" t="s">
        <v>114</v>
      </c>
      <c r="C168" t="s">
        <v>439</v>
      </c>
      <c r="D168" t="s">
        <v>440</v>
      </c>
      <c r="E168" t="s">
        <v>10</v>
      </c>
      <c r="F168" t="s">
        <v>21</v>
      </c>
      <c r="H168">
        <v>1</v>
      </c>
      <c r="I168">
        <f t="shared" si="10"/>
        <v>7</v>
      </c>
      <c r="J168" s="2">
        <f t="shared" si="11"/>
        <v>0.74199999999999999</v>
      </c>
      <c r="K168">
        <f t="shared" si="12"/>
        <v>9.433962264150944</v>
      </c>
      <c r="L168" t="str">
        <f t="shared" si="13"/>
        <v>Funded</v>
      </c>
      <c r="M168">
        <f t="shared" si="14"/>
        <v>2.2443161848700699</v>
      </c>
    </row>
    <row r="169" spans="1:13" x14ac:dyDescent="0.25">
      <c r="A169" t="s">
        <v>441</v>
      </c>
      <c r="B169" t="s">
        <v>114</v>
      </c>
      <c r="C169" t="s">
        <v>47</v>
      </c>
      <c r="D169" t="s">
        <v>442</v>
      </c>
      <c r="E169" t="s">
        <v>10</v>
      </c>
      <c r="F169" t="s">
        <v>21</v>
      </c>
      <c r="H169">
        <v>1</v>
      </c>
      <c r="I169">
        <f t="shared" si="10"/>
        <v>7</v>
      </c>
      <c r="J169" s="2">
        <f t="shared" si="11"/>
        <v>2</v>
      </c>
      <c r="K169">
        <f t="shared" si="12"/>
        <v>3.5</v>
      </c>
      <c r="L169" t="str">
        <f t="shared" si="13"/>
        <v>Funded</v>
      </c>
      <c r="M169">
        <f t="shared" si="14"/>
        <v>1.2527629684953681</v>
      </c>
    </row>
    <row r="170" spans="1:13" x14ac:dyDescent="0.25">
      <c r="A170" t="s">
        <v>443</v>
      </c>
      <c r="B170" t="s">
        <v>88</v>
      </c>
      <c r="C170" t="s">
        <v>444</v>
      </c>
      <c r="D170" t="s">
        <v>302</v>
      </c>
      <c r="E170" t="s">
        <v>10</v>
      </c>
      <c r="F170" t="s">
        <v>50</v>
      </c>
      <c r="H170">
        <v>1</v>
      </c>
      <c r="I170">
        <f t="shared" si="10"/>
        <v>6</v>
      </c>
      <c r="J170" s="2">
        <f t="shared" si="11"/>
        <v>0.92800000000000005</v>
      </c>
      <c r="K170">
        <f t="shared" si="12"/>
        <v>6.4655172413793096</v>
      </c>
      <c r="L170" t="str">
        <f t="shared" si="13"/>
        <v>Funded</v>
      </c>
      <c r="M170">
        <f t="shared" si="14"/>
        <v>1.8664830154239913</v>
      </c>
    </row>
    <row r="171" spans="1:13" x14ac:dyDescent="0.25">
      <c r="A171" t="s">
        <v>446</v>
      </c>
      <c r="B171" t="s">
        <v>88</v>
      </c>
      <c r="C171" t="s">
        <v>447</v>
      </c>
      <c r="D171" t="s">
        <v>448</v>
      </c>
      <c r="E171" t="s">
        <v>10</v>
      </c>
      <c r="F171" t="s">
        <v>50</v>
      </c>
      <c r="H171">
        <v>1</v>
      </c>
      <c r="I171">
        <f t="shared" si="10"/>
        <v>6</v>
      </c>
      <c r="J171" s="2">
        <f t="shared" si="11"/>
        <v>0.81499999999999995</v>
      </c>
      <c r="K171">
        <f t="shared" si="12"/>
        <v>7.3619631901840492</v>
      </c>
      <c r="L171" t="str">
        <f t="shared" si="13"/>
        <v>Funded</v>
      </c>
      <c r="M171">
        <f t="shared" si="14"/>
        <v>1.9963266349693294</v>
      </c>
    </row>
    <row r="172" spans="1:13" x14ac:dyDescent="0.25">
      <c r="A172" t="s">
        <v>449</v>
      </c>
      <c r="B172" t="s">
        <v>88</v>
      </c>
      <c r="C172" t="s">
        <v>81</v>
      </c>
      <c r="D172" t="s">
        <v>450</v>
      </c>
      <c r="E172" t="s">
        <v>10</v>
      </c>
      <c r="F172" t="s">
        <v>21</v>
      </c>
      <c r="H172">
        <v>1</v>
      </c>
      <c r="I172">
        <f t="shared" si="10"/>
        <v>6</v>
      </c>
      <c r="J172" s="2">
        <f t="shared" si="11"/>
        <v>3</v>
      </c>
      <c r="K172">
        <f t="shared" si="12"/>
        <v>2</v>
      </c>
      <c r="L172" t="str">
        <f t="shared" si="13"/>
        <v>Funded</v>
      </c>
      <c r="M172">
        <f t="shared" si="14"/>
        <v>0.69314718055994529</v>
      </c>
    </row>
    <row r="173" spans="1:13" x14ac:dyDescent="0.25">
      <c r="A173" t="s">
        <v>451</v>
      </c>
      <c r="B173" t="s">
        <v>88</v>
      </c>
      <c r="C173" t="s">
        <v>125</v>
      </c>
      <c r="D173" t="s">
        <v>452</v>
      </c>
      <c r="E173" t="s">
        <v>10</v>
      </c>
      <c r="F173" t="s">
        <v>11</v>
      </c>
      <c r="H173">
        <v>1</v>
      </c>
      <c r="I173">
        <f t="shared" si="10"/>
        <v>6</v>
      </c>
      <c r="J173" s="2">
        <f t="shared" si="11"/>
        <v>1</v>
      </c>
      <c r="K173">
        <f t="shared" si="12"/>
        <v>6</v>
      </c>
      <c r="L173" t="str">
        <f t="shared" si="13"/>
        <v>Funded</v>
      </c>
      <c r="M173">
        <f t="shared" si="14"/>
        <v>1.791759469228055</v>
      </c>
    </row>
    <row r="174" spans="1:13" x14ac:dyDescent="0.25">
      <c r="A174" t="s">
        <v>453</v>
      </c>
      <c r="B174" t="s">
        <v>88</v>
      </c>
      <c r="C174" t="s">
        <v>47</v>
      </c>
      <c r="D174" t="s">
        <v>454</v>
      </c>
      <c r="E174" t="s">
        <v>10</v>
      </c>
      <c r="F174" t="s">
        <v>21</v>
      </c>
      <c r="H174">
        <v>1</v>
      </c>
      <c r="I174">
        <f t="shared" si="10"/>
        <v>6</v>
      </c>
      <c r="J174" s="2">
        <f t="shared" si="11"/>
        <v>2</v>
      </c>
      <c r="K174">
        <f t="shared" si="12"/>
        <v>3</v>
      </c>
      <c r="L174" t="str">
        <f t="shared" si="13"/>
        <v>Funded</v>
      </c>
      <c r="M174">
        <f t="shared" si="14"/>
        <v>1.0986122886681098</v>
      </c>
    </row>
    <row r="175" spans="1:13" x14ac:dyDescent="0.25">
      <c r="A175" t="s">
        <v>455</v>
      </c>
      <c r="B175" t="s">
        <v>88</v>
      </c>
      <c r="C175" t="s">
        <v>456</v>
      </c>
      <c r="D175" t="s">
        <v>457</v>
      </c>
      <c r="E175" t="s">
        <v>10</v>
      </c>
      <c r="F175" t="s">
        <v>11</v>
      </c>
      <c r="H175">
        <v>1</v>
      </c>
      <c r="I175">
        <f t="shared" si="10"/>
        <v>6</v>
      </c>
      <c r="J175" s="2">
        <f t="shared" si="11"/>
        <v>0.41199999999999998</v>
      </c>
      <c r="K175">
        <f t="shared" si="12"/>
        <v>14.563106796116505</v>
      </c>
      <c r="L175" t="str">
        <f t="shared" si="13"/>
        <v>Funded</v>
      </c>
      <c r="M175">
        <f t="shared" si="14"/>
        <v>2.6784913988606656</v>
      </c>
    </row>
    <row r="176" spans="1:13" x14ac:dyDescent="0.25">
      <c r="A176" t="s">
        <v>458</v>
      </c>
      <c r="B176" t="s">
        <v>88</v>
      </c>
      <c r="C176" t="s">
        <v>47</v>
      </c>
      <c r="D176" t="s">
        <v>459</v>
      </c>
      <c r="E176" t="s">
        <v>10</v>
      </c>
      <c r="F176" t="s">
        <v>11</v>
      </c>
      <c r="H176">
        <v>1</v>
      </c>
      <c r="I176">
        <f t="shared" si="10"/>
        <v>6</v>
      </c>
      <c r="J176" s="2">
        <f t="shared" si="11"/>
        <v>2</v>
      </c>
      <c r="K176">
        <f t="shared" si="12"/>
        <v>3</v>
      </c>
      <c r="L176" t="str">
        <f t="shared" si="13"/>
        <v>Funded</v>
      </c>
      <c r="M176">
        <f t="shared" si="14"/>
        <v>1.0986122886681098</v>
      </c>
    </row>
    <row r="177" spans="1:13" x14ac:dyDescent="0.25">
      <c r="A177" t="s">
        <v>460</v>
      </c>
      <c r="B177" t="s">
        <v>88</v>
      </c>
      <c r="C177" t="s">
        <v>47</v>
      </c>
      <c r="D177" t="s">
        <v>461</v>
      </c>
      <c r="E177" t="s">
        <v>10</v>
      </c>
      <c r="F177" t="s">
        <v>21</v>
      </c>
      <c r="H177">
        <v>1</v>
      </c>
      <c r="I177">
        <f t="shared" si="10"/>
        <v>6</v>
      </c>
      <c r="J177" s="2">
        <f t="shared" si="11"/>
        <v>2</v>
      </c>
      <c r="K177">
        <f t="shared" si="12"/>
        <v>3</v>
      </c>
      <c r="L177" t="str">
        <f t="shared" si="13"/>
        <v>Funded</v>
      </c>
      <c r="M177">
        <f t="shared" si="14"/>
        <v>1.0986122886681098</v>
      </c>
    </row>
    <row r="178" spans="1:13" x14ac:dyDescent="0.25">
      <c r="A178" t="s">
        <v>462</v>
      </c>
      <c r="B178" t="s">
        <v>88</v>
      </c>
      <c r="C178" t="s">
        <v>125</v>
      </c>
      <c r="D178" t="s">
        <v>463</v>
      </c>
      <c r="E178" t="s">
        <v>10</v>
      </c>
      <c r="F178" t="s">
        <v>21</v>
      </c>
      <c r="H178">
        <v>1</v>
      </c>
      <c r="I178">
        <f t="shared" si="10"/>
        <v>6</v>
      </c>
      <c r="J178" s="2">
        <f t="shared" si="11"/>
        <v>1</v>
      </c>
      <c r="K178">
        <f t="shared" si="12"/>
        <v>6</v>
      </c>
      <c r="L178" t="str">
        <f t="shared" si="13"/>
        <v>Funded</v>
      </c>
      <c r="M178">
        <f t="shared" si="14"/>
        <v>1.791759469228055</v>
      </c>
    </row>
    <row r="179" spans="1:13" x14ac:dyDescent="0.25">
      <c r="A179" t="s">
        <v>464</v>
      </c>
      <c r="B179" t="s">
        <v>88</v>
      </c>
      <c r="C179" t="s">
        <v>47</v>
      </c>
      <c r="D179" t="s">
        <v>465</v>
      </c>
      <c r="E179" t="s">
        <v>10</v>
      </c>
      <c r="F179" t="s">
        <v>21</v>
      </c>
      <c r="H179">
        <v>1</v>
      </c>
      <c r="I179">
        <f t="shared" si="10"/>
        <v>6</v>
      </c>
      <c r="J179" s="2">
        <f t="shared" si="11"/>
        <v>2</v>
      </c>
      <c r="K179">
        <f t="shared" si="12"/>
        <v>3</v>
      </c>
      <c r="L179" t="str">
        <f t="shared" si="13"/>
        <v>Funded</v>
      </c>
      <c r="M179">
        <f t="shared" si="14"/>
        <v>1.0986122886681098</v>
      </c>
    </row>
    <row r="180" spans="1:13" x14ac:dyDescent="0.25">
      <c r="A180" t="s">
        <v>466</v>
      </c>
      <c r="B180" t="s">
        <v>88</v>
      </c>
      <c r="C180" t="s">
        <v>47</v>
      </c>
      <c r="D180" t="s">
        <v>66</v>
      </c>
      <c r="E180" t="s">
        <v>10</v>
      </c>
      <c r="F180" t="s">
        <v>11</v>
      </c>
      <c r="H180">
        <v>1</v>
      </c>
      <c r="I180">
        <f t="shared" si="10"/>
        <v>6</v>
      </c>
      <c r="J180" s="2">
        <f t="shared" si="11"/>
        <v>2</v>
      </c>
      <c r="K180">
        <f t="shared" si="12"/>
        <v>3</v>
      </c>
      <c r="L180" t="str">
        <f t="shared" si="13"/>
        <v>Funded</v>
      </c>
      <c r="M180">
        <f t="shared" si="14"/>
        <v>1.0986122886681098</v>
      </c>
    </row>
    <row r="181" spans="1:13" x14ac:dyDescent="0.25">
      <c r="A181" t="s">
        <v>467</v>
      </c>
      <c r="B181" t="s">
        <v>88</v>
      </c>
      <c r="C181" t="s">
        <v>468</v>
      </c>
      <c r="D181" t="s">
        <v>469</v>
      </c>
      <c r="E181" t="s">
        <v>10</v>
      </c>
      <c r="F181" t="s">
        <v>11</v>
      </c>
      <c r="H181">
        <v>1</v>
      </c>
      <c r="I181">
        <f t="shared" si="10"/>
        <v>6</v>
      </c>
      <c r="J181" s="2">
        <f t="shared" si="11"/>
        <v>0.82099999999999995</v>
      </c>
      <c r="K181">
        <f t="shared" si="12"/>
        <v>7.3081607795371504</v>
      </c>
      <c r="L181" t="str">
        <f t="shared" si="13"/>
        <v>Funded</v>
      </c>
      <c r="M181">
        <f t="shared" si="14"/>
        <v>1.988991638757764</v>
      </c>
    </row>
    <row r="182" spans="1:13" x14ac:dyDescent="0.25">
      <c r="A182" t="s">
        <v>470</v>
      </c>
      <c r="B182" t="s">
        <v>88</v>
      </c>
      <c r="C182" t="s">
        <v>471</v>
      </c>
      <c r="D182" t="s">
        <v>79</v>
      </c>
      <c r="E182" t="s">
        <v>10</v>
      </c>
      <c r="F182" t="s">
        <v>11</v>
      </c>
      <c r="H182">
        <v>1</v>
      </c>
      <c r="I182">
        <f t="shared" si="10"/>
        <v>6</v>
      </c>
      <c r="J182" s="2">
        <f t="shared" si="11"/>
        <v>0.80500000000000005</v>
      </c>
      <c r="K182">
        <f t="shared" si="12"/>
        <v>7.4534161490683228</v>
      </c>
      <c r="L182" t="str">
        <f t="shared" si="13"/>
        <v>Funded</v>
      </c>
      <c r="M182">
        <f t="shared" si="14"/>
        <v>2.0086724707916286</v>
      </c>
    </row>
    <row r="183" spans="1:13" x14ac:dyDescent="0.25">
      <c r="A183" t="s">
        <v>472</v>
      </c>
      <c r="B183" t="s">
        <v>88</v>
      </c>
      <c r="C183" t="s">
        <v>473</v>
      </c>
      <c r="D183" t="s">
        <v>474</v>
      </c>
      <c r="E183" t="s">
        <v>10</v>
      </c>
      <c r="F183" t="s">
        <v>21</v>
      </c>
      <c r="H183">
        <v>1</v>
      </c>
      <c r="I183">
        <f t="shared" si="10"/>
        <v>6</v>
      </c>
      <c r="J183" s="2">
        <f t="shared" si="11"/>
        <v>0.81100000000000005</v>
      </c>
      <c r="K183">
        <f t="shared" si="12"/>
        <v>7.3982737361282362</v>
      </c>
      <c r="L183" t="str">
        <f t="shared" si="13"/>
        <v>Funded</v>
      </c>
      <c r="M183">
        <f t="shared" si="14"/>
        <v>2.0012466940947791</v>
      </c>
    </row>
    <row r="184" spans="1:13" x14ac:dyDescent="0.25">
      <c r="A184" t="s">
        <v>475</v>
      </c>
      <c r="B184" t="s">
        <v>88</v>
      </c>
      <c r="C184" t="s">
        <v>47</v>
      </c>
      <c r="D184" t="s">
        <v>476</v>
      </c>
      <c r="E184" t="s">
        <v>10</v>
      </c>
      <c r="F184" t="s">
        <v>50</v>
      </c>
      <c r="H184">
        <v>1</v>
      </c>
      <c r="I184">
        <f t="shared" si="10"/>
        <v>6</v>
      </c>
      <c r="J184" s="2">
        <f t="shared" si="11"/>
        <v>2</v>
      </c>
      <c r="K184">
        <f t="shared" si="12"/>
        <v>3</v>
      </c>
      <c r="L184" t="str">
        <f t="shared" si="13"/>
        <v>Funded</v>
      </c>
      <c r="M184">
        <f t="shared" si="14"/>
        <v>1.0986122886681098</v>
      </c>
    </row>
    <row r="185" spans="1:13" x14ac:dyDescent="0.25">
      <c r="A185" t="s">
        <v>477</v>
      </c>
      <c r="B185" t="s">
        <v>88</v>
      </c>
      <c r="C185" t="s">
        <v>478</v>
      </c>
      <c r="D185" t="s">
        <v>156</v>
      </c>
      <c r="E185" t="s">
        <v>10</v>
      </c>
      <c r="F185" t="s">
        <v>11</v>
      </c>
      <c r="H185">
        <v>1</v>
      </c>
      <c r="I185">
        <f t="shared" si="10"/>
        <v>6</v>
      </c>
      <c r="J185" s="2">
        <f t="shared" si="11"/>
        <v>0.91</v>
      </c>
      <c r="K185">
        <f t="shared" si="12"/>
        <v>6.5934065934065931</v>
      </c>
      <c r="L185" t="str">
        <f t="shared" si="13"/>
        <v>Funded</v>
      </c>
      <c r="M185">
        <f t="shared" si="14"/>
        <v>1.8860701486992963</v>
      </c>
    </row>
    <row r="186" spans="1:13" x14ac:dyDescent="0.25">
      <c r="A186" t="s">
        <v>479</v>
      </c>
      <c r="B186" t="s">
        <v>88</v>
      </c>
      <c r="C186" t="s">
        <v>480</v>
      </c>
      <c r="D186" t="s">
        <v>476</v>
      </c>
      <c r="E186" t="s">
        <v>10</v>
      </c>
      <c r="F186" t="s">
        <v>11</v>
      </c>
      <c r="H186">
        <v>1</v>
      </c>
      <c r="I186">
        <f t="shared" si="10"/>
        <v>6</v>
      </c>
      <c r="J186" s="2">
        <f t="shared" si="11"/>
        <v>0.66400000000000003</v>
      </c>
      <c r="K186">
        <f t="shared" si="12"/>
        <v>9.0361445783132517</v>
      </c>
      <c r="L186" t="str">
        <f t="shared" si="13"/>
        <v>Funded</v>
      </c>
      <c r="M186">
        <f t="shared" si="14"/>
        <v>2.2012325987337582</v>
      </c>
    </row>
    <row r="187" spans="1:13" x14ac:dyDescent="0.25">
      <c r="A187" t="s">
        <v>481</v>
      </c>
      <c r="B187" t="s">
        <v>88</v>
      </c>
      <c r="C187" t="s">
        <v>482</v>
      </c>
      <c r="D187" t="s">
        <v>483</v>
      </c>
      <c r="E187" t="s">
        <v>10</v>
      </c>
      <c r="F187" t="s">
        <v>11</v>
      </c>
      <c r="H187">
        <v>1</v>
      </c>
      <c r="I187">
        <f t="shared" si="10"/>
        <v>6</v>
      </c>
      <c r="J187" s="2">
        <f t="shared" si="11"/>
        <v>0.95</v>
      </c>
      <c r="K187">
        <f t="shared" si="12"/>
        <v>6.3157894736842106</v>
      </c>
      <c r="L187" t="str">
        <f t="shared" si="13"/>
        <v>Funded</v>
      </c>
      <c r="M187">
        <f t="shared" si="14"/>
        <v>1.8430527636156055</v>
      </c>
    </row>
    <row r="188" spans="1:13" x14ac:dyDescent="0.25">
      <c r="A188" t="s">
        <v>484</v>
      </c>
      <c r="B188" t="s">
        <v>88</v>
      </c>
      <c r="C188" t="s">
        <v>485</v>
      </c>
      <c r="D188" t="s">
        <v>339</v>
      </c>
      <c r="E188" t="s">
        <v>10</v>
      </c>
      <c r="F188" t="s">
        <v>11</v>
      </c>
      <c r="H188">
        <v>1</v>
      </c>
      <c r="I188">
        <f t="shared" si="10"/>
        <v>6</v>
      </c>
      <c r="J188" s="2">
        <f t="shared" si="11"/>
        <v>0.89100000000000001</v>
      </c>
      <c r="K188">
        <f t="shared" si="12"/>
        <v>6.7340067340067336</v>
      </c>
      <c r="L188" t="str">
        <f t="shared" si="13"/>
        <v>Funded</v>
      </c>
      <c r="M188">
        <f t="shared" si="14"/>
        <v>1.9071703207393826</v>
      </c>
    </row>
    <row r="189" spans="1:13" x14ac:dyDescent="0.25">
      <c r="A189" t="s">
        <v>486</v>
      </c>
      <c r="B189" t="s">
        <v>88</v>
      </c>
      <c r="C189" t="s">
        <v>487</v>
      </c>
      <c r="D189" t="s">
        <v>488</v>
      </c>
      <c r="E189" t="s">
        <v>10</v>
      </c>
      <c r="F189" t="s">
        <v>11</v>
      </c>
      <c r="H189">
        <v>1</v>
      </c>
      <c r="I189">
        <f t="shared" si="10"/>
        <v>6</v>
      </c>
      <c r="J189" s="2">
        <f t="shared" si="11"/>
        <v>0.41499999999999998</v>
      </c>
      <c r="K189">
        <f t="shared" si="12"/>
        <v>14.457831325301205</v>
      </c>
      <c r="L189" t="str">
        <f t="shared" si="13"/>
        <v>Funded</v>
      </c>
      <c r="M189">
        <f t="shared" si="14"/>
        <v>2.6712362279794939</v>
      </c>
    </row>
    <row r="190" spans="1:13" x14ac:dyDescent="0.25">
      <c r="A190" t="s">
        <v>489</v>
      </c>
      <c r="B190" t="s">
        <v>88</v>
      </c>
      <c r="C190" t="s">
        <v>125</v>
      </c>
      <c r="D190" t="s">
        <v>490</v>
      </c>
      <c r="E190" t="s">
        <v>10</v>
      </c>
      <c r="F190" t="s">
        <v>50</v>
      </c>
      <c r="H190">
        <v>1</v>
      </c>
      <c r="I190">
        <f t="shared" si="10"/>
        <v>6</v>
      </c>
      <c r="J190" s="2">
        <f t="shared" si="11"/>
        <v>1</v>
      </c>
      <c r="K190">
        <f t="shared" si="12"/>
        <v>6</v>
      </c>
      <c r="L190" t="str">
        <f t="shared" si="13"/>
        <v>Funded</v>
      </c>
      <c r="M190">
        <f t="shared" si="14"/>
        <v>1.791759469228055</v>
      </c>
    </row>
    <row r="191" spans="1:13" x14ac:dyDescent="0.25">
      <c r="A191" t="s">
        <v>491</v>
      </c>
      <c r="B191" t="s">
        <v>88</v>
      </c>
      <c r="C191" t="s">
        <v>492</v>
      </c>
      <c r="D191" t="s">
        <v>493</v>
      </c>
      <c r="E191" t="s">
        <v>10</v>
      </c>
      <c r="F191" t="s">
        <v>50</v>
      </c>
      <c r="H191">
        <v>1</v>
      </c>
      <c r="I191">
        <f t="shared" si="10"/>
        <v>6</v>
      </c>
      <c r="J191" s="2">
        <f t="shared" si="11"/>
        <v>0.80300000000000005</v>
      </c>
      <c r="K191">
        <f t="shared" si="12"/>
        <v>7.4719800747198004</v>
      </c>
      <c r="L191" t="str">
        <f t="shared" si="13"/>
        <v>Funded</v>
      </c>
      <c r="M191">
        <f t="shared" si="14"/>
        <v>2.0111600342634302</v>
      </c>
    </row>
    <row r="192" spans="1:13" x14ac:dyDescent="0.25">
      <c r="A192" t="s">
        <v>494</v>
      </c>
      <c r="B192" t="s">
        <v>88</v>
      </c>
      <c r="C192" t="s">
        <v>495</v>
      </c>
      <c r="D192" t="s">
        <v>496</v>
      </c>
      <c r="E192" t="s">
        <v>10</v>
      </c>
      <c r="F192" t="s">
        <v>11</v>
      </c>
      <c r="H192">
        <v>1</v>
      </c>
      <c r="I192">
        <f t="shared" si="10"/>
        <v>6</v>
      </c>
      <c r="J192" s="2">
        <f t="shared" si="11"/>
        <v>0.433</v>
      </c>
      <c r="K192">
        <f t="shared" si="12"/>
        <v>13.856812933025404</v>
      </c>
      <c r="L192" t="str">
        <f t="shared" si="13"/>
        <v>Funded</v>
      </c>
      <c r="M192">
        <f t="shared" si="14"/>
        <v>2.6287770202077021</v>
      </c>
    </row>
    <row r="193" spans="1:13" x14ac:dyDescent="0.25">
      <c r="A193" t="s">
        <v>497</v>
      </c>
      <c r="B193" t="s">
        <v>88</v>
      </c>
      <c r="C193" t="s">
        <v>498</v>
      </c>
      <c r="D193" t="s">
        <v>15</v>
      </c>
      <c r="E193" t="s">
        <v>10</v>
      </c>
      <c r="F193" t="s">
        <v>11</v>
      </c>
      <c r="H193">
        <v>1</v>
      </c>
      <c r="I193">
        <f t="shared" si="10"/>
        <v>6</v>
      </c>
      <c r="J193" s="2">
        <f t="shared" si="11"/>
        <v>0.72799999999999998</v>
      </c>
      <c r="K193">
        <f t="shared" si="12"/>
        <v>8.2417582417582427</v>
      </c>
      <c r="L193" t="str">
        <f t="shared" si="13"/>
        <v>Funded</v>
      </c>
      <c r="M193">
        <f t="shared" si="14"/>
        <v>2.1092137000135063</v>
      </c>
    </row>
    <row r="194" spans="1:13" x14ac:dyDescent="0.25">
      <c r="A194" t="s">
        <v>499</v>
      </c>
      <c r="B194" t="s">
        <v>88</v>
      </c>
      <c r="C194" t="s">
        <v>125</v>
      </c>
      <c r="D194" t="s">
        <v>500</v>
      </c>
      <c r="E194" t="s">
        <v>10</v>
      </c>
      <c r="F194" t="s">
        <v>50</v>
      </c>
      <c r="H194">
        <v>1</v>
      </c>
      <c r="I194">
        <f t="shared" si="10"/>
        <v>6</v>
      </c>
      <c r="J194" s="2">
        <f t="shared" si="11"/>
        <v>1</v>
      </c>
      <c r="K194">
        <f t="shared" si="12"/>
        <v>6</v>
      </c>
      <c r="L194" t="str">
        <f t="shared" si="13"/>
        <v>Funded</v>
      </c>
      <c r="M194">
        <f t="shared" si="14"/>
        <v>1.791759469228055</v>
      </c>
    </row>
    <row r="195" spans="1:13" x14ac:dyDescent="0.25">
      <c r="A195" t="s">
        <v>501</v>
      </c>
      <c r="B195" t="s">
        <v>88</v>
      </c>
      <c r="C195" t="s">
        <v>125</v>
      </c>
      <c r="D195" t="s">
        <v>476</v>
      </c>
      <c r="E195" t="s">
        <v>10</v>
      </c>
      <c r="F195" t="s">
        <v>11</v>
      </c>
      <c r="H195">
        <v>1</v>
      </c>
      <c r="I195">
        <f t="shared" ref="I195:I258" si="15">IF(B195="","",
VALUE(SUBSTITUTE(SUBSTITUTE(B195,"$",""),"B","")))</f>
        <v>6</v>
      </c>
      <c r="J195" s="2">
        <f t="shared" ref="J195:J258" si="16">IF(C195="","",
IF(C195="$0",0,
IF(RIGHT(C195,1)="B",
VALUE(SUBSTITUTE(SUBSTITUTE(C195,"$",""),"B","")),
IF(RIGHT(C195,1)="M",
VALUE(SUBSTITUTE(SUBSTITUTE(C195,"$",""),"M",""))/1000,
IF(RIGHT(C195,1)="K",
VALUE(SUBSTITUTE(SUBSTITUTE(C195,"$",""),"K",""))/1000000,
VALUE(SUBSTITUTE(C195,"$",""))
)))))</f>
        <v>1</v>
      </c>
      <c r="K195">
        <f t="shared" ref="K195:K258" si="17">IF(J195&gt;0,I195/J195,"")</f>
        <v>6</v>
      </c>
      <c r="L195" t="str">
        <f t="shared" ref="L195:L258" si="18">IF(J195=0,"Bootstrapped","Funded")</f>
        <v>Funded</v>
      </c>
      <c r="M195">
        <f t="shared" ref="M195:M258" si="19">IF(AND(I195&gt;0,J195&gt;0),LN(I195/J195),"")</f>
        <v>1.791759469228055</v>
      </c>
    </row>
    <row r="196" spans="1:13" x14ac:dyDescent="0.25">
      <c r="A196" t="s">
        <v>502</v>
      </c>
      <c r="B196" t="s">
        <v>88</v>
      </c>
      <c r="C196" t="s">
        <v>81</v>
      </c>
      <c r="D196" t="s">
        <v>503</v>
      </c>
      <c r="E196" t="s">
        <v>10</v>
      </c>
      <c r="F196" t="s">
        <v>21</v>
      </c>
      <c r="H196">
        <v>1</v>
      </c>
      <c r="I196">
        <f t="shared" si="15"/>
        <v>6</v>
      </c>
      <c r="J196" s="2">
        <f t="shared" si="16"/>
        <v>3</v>
      </c>
      <c r="K196">
        <f t="shared" si="17"/>
        <v>2</v>
      </c>
      <c r="L196" t="str">
        <f t="shared" si="18"/>
        <v>Funded</v>
      </c>
      <c r="M196">
        <f t="shared" si="19"/>
        <v>0.69314718055994529</v>
      </c>
    </row>
    <row r="197" spans="1:13" x14ac:dyDescent="0.25">
      <c r="A197" t="s">
        <v>504</v>
      </c>
      <c r="B197" t="s">
        <v>88</v>
      </c>
      <c r="C197" t="s">
        <v>505</v>
      </c>
      <c r="D197" t="s">
        <v>506</v>
      </c>
      <c r="E197" t="s">
        <v>10</v>
      </c>
      <c r="F197" t="s">
        <v>50</v>
      </c>
      <c r="H197">
        <v>1</v>
      </c>
      <c r="I197">
        <f t="shared" si="15"/>
        <v>6</v>
      </c>
      <c r="J197" s="2">
        <f t="shared" si="16"/>
        <v>0.44800000000000001</v>
      </c>
      <c r="K197">
        <f t="shared" si="17"/>
        <v>13.392857142857142</v>
      </c>
      <c r="L197" t="str">
        <f t="shared" si="18"/>
        <v>Funded</v>
      </c>
      <c r="M197">
        <f t="shared" si="19"/>
        <v>2.5947215157952068</v>
      </c>
    </row>
    <row r="198" spans="1:13" x14ac:dyDescent="0.25">
      <c r="A198" t="s">
        <v>507</v>
      </c>
      <c r="B198" t="s">
        <v>88</v>
      </c>
      <c r="C198" t="s">
        <v>508</v>
      </c>
      <c r="D198" t="s">
        <v>509</v>
      </c>
      <c r="E198" t="s">
        <v>10</v>
      </c>
      <c r="F198" t="s">
        <v>21</v>
      </c>
      <c r="H198">
        <v>1</v>
      </c>
      <c r="I198">
        <f t="shared" si="15"/>
        <v>6</v>
      </c>
      <c r="J198" s="2">
        <f t="shared" si="16"/>
        <v>0.48199999999999998</v>
      </c>
      <c r="K198">
        <f t="shared" si="17"/>
        <v>12.448132780082988</v>
      </c>
      <c r="L198" t="str">
        <f t="shared" si="18"/>
        <v>Funded</v>
      </c>
      <c r="M198">
        <f t="shared" si="19"/>
        <v>2.5215706341595916</v>
      </c>
    </row>
    <row r="199" spans="1:13" x14ac:dyDescent="0.25">
      <c r="A199" t="s">
        <v>510</v>
      </c>
      <c r="B199" t="s">
        <v>88</v>
      </c>
      <c r="C199" t="s">
        <v>511</v>
      </c>
      <c r="D199" t="s">
        <v>254</v>
      </c>
      <c r="E199" t="s">
        <v>10</v>
      </c>
      <c r="F199" t="s">
        <v>11</v>
      </c>
      <c r="H199">
        <v>1</v>
      </c>
      <c r="I199">
        <f t="shared" si="15"/>
        <v>6</v>
      </c>
      <c r="J199" s="2">
        <f t="shared" si="16"/>
        <v>0.44500000000000001</v>
      </c>
      <c r="K199">
        <f t="shared" si="17"/>
        <v>13.48314606741573</v>
      </c>
      <c r="L199" t="str">
        <f t="shared" si="18"/>
        <v>Funded</v>
      </c>
      <c r="M199">
        <f t="shared" si="19"/>
        <v>2.6014404660439516</v>
      </c>
    </row>
    <row r="200" spans="1:13" x14ac:dyDescent="0.25">
      <c r="A200" t="s">
        <v>512</v>
      </c>
      <c r="B200" t="s">
        <v>88</v>
      </c>
      <c r="C200" t="s">
        <v>513</v>
      </c>
      <c r="D200" t="s">
        <v>514</v>
      </c>
      <c r="E200" t="s">
        <v>10</v>
      </c>
      <c r="F200" t="s">
        <v>11</v>
      </c>
      <c r="H200">
        <v>1</v>
      </c>
      <c r="I200">
        <f t="shared" si="15"/>
        <v>6</v>
      </c>
      <c r="J200" s="2">
        <f t="shared" si="16"/>
        <v>0.96399999999999997</v>
      </c>
      <c r="K200">
        <f t="shared" si="17"/>
        <v>6.2240663900414939</v>
      </c>
      <c r="L200" t="str">
        <f t="shared" si="18"/>
        <v>Funded</v>
      </c>
      <c r="M200">
        <f t="shared" si="19"/>
        <v>1.8284234535996464</v>
      </c>
    </row>
    <row r="201" spans="1:13" x14ac:dyDescent="0.25">
      <c r="A201" t="s">
        <v>515</v>
      </c>
      <c r="B201" t="s">
        <v>88</v>
      </c>
      <c r="C201" t="s">
        <v>516</v>
      </c>
      <c r="D201" t="s">
        <v>517</v>
      </c>
      <c r="E201" t="s">
        <v>10</v>
      </c>
      <c r="F201" t="s">
        <v>11</v>
      </c>
      <c r="H201">
        <v>1</v>
      </c>
      <c r="I201">
        <f t="shared" si="15"/>
        <v>6</v>
      </c>
      <c r="J201" s="2">
        <f t="shared" si="16"/>
        <v>0.56999999999999995</v>
      </c>
      <c r="K201">
        <f t="shared" si="17"/>
        <v>10.526315789473685</v>
      </c>
      <c r="L201" t="str">
        <f t="shared" si="18"/>
        <v>Funded</v>
      </c>
      <c r="M201">
        <f t="shared" si="19"/>
        <v>2.3538783873815965</v>
      </c>
    </row>
    <row r="202" spans="1:13" x14ac:dyDescent="0.25">
      <c r="A202" t="s">
        <v>518</v>
      </c>
      <c r="B202" t="s">
        <v>85</v>
      </c>
      <c r="C202" t="s">
        <v>125</v>
      </c>
      <c r="D202" t="s">
        <v>519</v>
      </c>
      <c r="E202" t="s">
        <v>10</v>
      </c>
      <c r="F202" t="s">
        <v>11</v>
      </c>
      <c r="H202">
        <v>1</v>
      </c>
      <c r="I202">
        <f t="shared" si="15"/>
        <v>5</v>
      </c>
      <c r="J202" s="2">
        <f t="shared" si="16"/>
        <v>1</v>
      </c>
      <c r="K202">
        <f t="shared" si="17"/>
        <v>5</v>
      </c>
      <c r="L202" t="str">
        <f t="shared" si="18"/>
        <v>Funded</v>
      </c>
      <c r="M202">
        <f t="shared" si="19"/>
        <v>1.6094379124341003</v>
      </c>
    </row>
    <row r="203" spans="1:13" x14ac:dyDescent="0.25">
      <c r="A203" t="s">
        <v>520</v>
      </c>
      <c r="B203" t="s">
        <v>85</v>
      </c>
      <c r="C203" t="s">
        <v>521</v>
      </c>
      <c r="D203" t="s">
        <v>506</v>
      </c>
      <c r="E203" t="s">
        <v>10</v>
      </c>
      <c r="F203" t="s">
        <v>50</v>
      </c>
      <c r="H203">
        <v>1</v>
      </c>
      <c r="I203">
        <f t="shared" si="15"/>
        <v>5</v>
      </c>
      <c r="J203" s="2">
        <f t="shared" si="16"/>
        <v>0.56200000000000006</v>
      </c>
      <c r="K203">
        <f t="shared" si="17"/>
        <v>8.8967971530249095</v>
      </c>
      <c r="L203" t="str">
        <f t="shared" si="18"/>
        <v>Funded</v>
      </c>
      <c r="M203">
        <f t="shared" si="19"/>
        <v>2.1856913415225461</v>
      </c>
    </row>
    <row r="204" spans="1:13" x14ac:dyDescent="0.25">
      <c r="A204" t="s">
        <v>523</v>
      </c>
      <c r="B204" t="s">
        <v>85</v>
      </c>
      <c r="C204" t="s">
        <v>47</v>
      </c>
      <c r="D204" t="s">
        <v>524</v>
      </c>
      <c r="E204" t="s">
        <v>10</v>
      </c>
      <c r="F204" t="s">
        <v>526</v>
      </c>
      <c r="H204">
        <v>1</v>
      </c>
      <c r="I204">
        <f t="shared" si="15"/>
        <v>5</v>
      </c>
      <c r="J204" s="2">
        <f t="shared" si="16"/>
        <v>2</v>
      </c>
      <c r="K204">
        <f t="shared" si="17"/>
        <v>2.5</v>
      </c>
      <c r="L204" t="str">
        <f t="shared" si="18"/>
        <v>Funded</v>
      </c>
      <c r="M204">
        <f t="shared" si="19"/>
        <v>0.91629073187415511</v>
      </c>
    </row>
    <row r="205" spans="1:13" x14ac:dyDescent="0.25">
      <c r="A205" t="s">
        <v>527</v>
      </c>
      <c r="B205" t="s">
        <v>85</v>
      </c>
      <c r="C205" t="s">
        <v>528</v>
      </c>
      <c r="D205" t="s">
        <v>177</v>
      </c>
      <c r="E205" t="s">
        <v>10</v>
      </c>
      <c r="F205" t="s">
        <v>11</v>
      </c>
      <c r="H205">
        <v>1</v>
      </c>
      <c r="I205">
        <f t="shared" si="15"/>
        <v>5</v>
      </c>
      <c r="J205" s="2">
        <f t="shared" si="16"/>
        <v>0.86</v>
      </c>
      <c r="K205">
        <f t="shared" si="17"/>
        <v>5.8139534883720927</v>
      </c>
      <c r="L205" t="str">
        <f t="shared" si="18"/>
        <v>Funded</v>
      </c>
      <c r="M205">
        <f t="shared" si="19"/>
        <v>1.7602608021686839</v>
      </c>
    </row>
    <row r="206" spans="1:13" x14ac:dyDescent="0.25">
      <c r="A206" t="s">
        <v>529</v>
      </c>
      <c r="B206" t="s">
        <v>85</v>
      </c>
      <c r="C206" t="s">
        <v>530</v>
      </c>
      <c r="D206" t="s">
        <v>531</v>
      </c>
      <c r="E206" t="s">
        <v>10</v>
      </c>
      <c r="F206" t="s">
        <v>11</v>
      </c>
      <c r="H206">
        <v>1</v>
      </c>
      <c r="I206">
        <f t="shared" si="15"/>
        <v>5</v>
      </c>
      <c r="J206" s="2">
        <f t="shared" si="16"/>
        <v>0.75800000000000001</v>
      </c>
      <c r="K206">
        <f t="shared" si="17"/>
        <v>6.5963060686015833</v>
      </c>
      <c r="L206" t="str">
        <f t="shared" si="18"/>
        <v>Funded</v>
      </c>
      <c r="M206">
        <f t="shared" si="19"/>
        <v>1.8865098057738658</v>
      </c>
    </row>
    <row r="207" spans="1:13" x14ac:dyDescent="0.25">
      <c r="A207" t="s">
        <v>532</v>
      </c>
      <c r="B207" t="s">
        <v>85</v>
      </c>
      <c r="C207" t="s">
        <v>125</v>
      </c>
      <c r="D207" t="s">
        <v>533</v>
      </c>
      <c r="E207" t="s">
        <v>10</v>
      </c>
      <c r="F207" t="s">
        <v>11</v>
      </c>
      <c r="H207">
        <v>1</v>
      </c>
      <c r="I207">
        <f t="shared" si="15"/>
        <v>5</v>
      </c>
      <c r="J207" s="2">
        <f t="shared" si="16"/>
        <v>1</v>
      </c>
      <c r="K207">
        <f t="shared" si="17"/>
        <v>5</v>
      </c>
      <c r="L207" t="str">
        <f t="shared" si="18"/>
        <v>Funded</v>
      </c>
      <c r="M207">
        <f t="shared" si="19"/>
        <v>1.6094379124341003</v>
      </c>
    </row>
    <row r="208" spans="1:13" x14ac:dyDescent="0.25">
      <c r="A208" t="s">
        <v>534</v>
      </c>
      <c r="B208" t="s">
        <v>85</v>
      </c>
      <c r="C208" t="s">
        <v>535</v>
      </c>
      <c r="D208" t="s">
        <v>536</v>
      </c>
      <c r="E208" t="s">
        <v>10</v>
      </c>
      <c r="F208" t="s">
        <v>50</v>
      </c>
      <c r="H208">
        <v>1</v>
      </c>
      <c r="I208">
        <f t="shared" si="15"/>
        <v>5</v>
      </c>
      <c r="J208" s="2">
        <f t="shared" si="16"/>
        <v>0.59699999999999998</v>
      </c>
      <c r="K208">
        <f t="shared" si="17"/>
        <v>8.3752093802345069</v>
      </c>
      <c r="L208" t="str">
        <f t="shared" si="18"/>
        <v>Funded</v>
      </c>
      <c r="M208">
        <f t="shared" si="19"/>
        <v>2.1252760780236355</v>
      </c>
    </row>
    <row r="209" spans="1:13" x14ac:dyDescent="0.25">
      <c r="A209" t="s">
        <v>537</v>
      </c>
      <c r="B209" t="s">
        <v>85</v>
      </c>
      <c r="C209" s="1">
        <v>0</v>
      </c>
      <c r="D209" t="s">
        <v>538</v>
      </c>
      <c r="E209" t="s">
        <v>10</v>
      </c>
      <c r="F209" t="s">
        <v>21</v>
      </c>
      <c r="H209">
        <v>1</v>
      </c>
      <c r="I209">
        <f t="shared" si="15"/>
        <v>5</v>
      </c>
      <c r="J209" s="2">
        <f t="shared" si="16"/>
        <v>0</v>
      </c>
      <c r="K209" t="str">
        <f t="shared" si="17"/>
        <v/>
      </c>
      <c r="L209" t="str">
        <f t="shared" si="18"/>
        <v>Bootstrapped</v>
      </c>
      <c r="M209" t="str">
        <f t="shared" si="19"/>
        <v/>
      </c>
    </row>
    <row r="210" spans="1:13" x14ac:dyDescent="0.25">
      <c r="A210" t="s">
        <v>539</v>
      </c>
      <c r="B210" t="s">
        <v>85</v>
      </c>
      <c r="C210" t="s">
        <v>47</v>
      </c>
      <c r="D210" t="s">
        <v>335</v>
      </c>
      <c r="E210" t="s">
        <v>10</v>
      </c>
      <c r="F210" t="s">
        <v>11</v>
      </c>
      <c r="H210">
        <v>1</v>
      </c>
      <c r="I210">
        <f t="shared" si="15"/>
        <v>5</v>
      </c>
      <c r="J210" s="2">
        <f t="shared" si="16"/>
        <v>2</v>
      </c>
      <c r="K210">
        <f t="shared" si="17"/>
        <v>2.5</v>
      </c>
      <c r="L210" t="str">
        <f t="shared" si="18"/>
        <v>Funded</v>
      </c>
      <c r="M210">
        <f t="shared" si="19"/>
        <v>0.91629073187415511</v>
      </c>
    </row>
    <row r="211" spans="1:13" x14ac:dyDescent="0.25">
      <c r="A211" t="s">
        <v>540</v>
      </c>
      <c r="B211" t="s">
        <v>85</v>
      </c>
      <c r="C211" t="s">
        <v>541</v>
      </c>
      <c r="D211" t="s">
        <v>542</v>
      </c>
      <c r="E211" t="s">
        <v>10</v>
      </c>
      <c r="F211" t="s">
        <v>11</v>
      </c>
      <c r="H211">
        <v>1</v>
      </c>
      <c r="I211">
        <f t="shared" si="15"/>
        <v>5</v>
      </c>
      <c r="J211" s="2">
        <f t="shared" si="16"/>
        <v>0.42599999999999999</v>
      </c>
      <c r="K211">
        <f t="shared" si="17"/>
        <v>11.737089201877934</v>
      </c>
      <c r="L211" t="str">
        <f t="shared" si="18"/>
        <v>Funded</v>
      </c>
      <c r="M211">
        <f t="shared" si="19"/>
        <v>2.4627538451468669</v>
      </c>
    </row>
    <row r="212" spans="1:13" x14ac:dyDescent="0.25">
      <c r="A212" t="s">
        <v>543</v>
      </c>
      <c r="B212" t="s">
        <v>85</v>
      </c>
      <c r="C212" t="s">
        <v>544</v>
      </c>
      <c r="D212" t="s">
        <v>545</v>
      </c>
      <c r="E212" t="s">
        <v>10</v>
      </c>
      <c r="F212" t="s">
        <v>109</v>
      </c>
      <c r="H212">
        <v>1</v>
      </c>
      <c r="I212">
        <f t="shared" si="15"/>
        <v>5</v>
      </c>
      <c r="J212" s="2">
        <f t="shared" si="16"/>
        <v>0.19900000000000001</v>
      </c>
      <c r="K212">
        <f t="shared" si="17"/>
        <v>25.125628140703515</v>
      </c>
      <c r="L212" t="str">
        <f t="shared" si="18"/>
        <v>Funded</v>
      </c>
      <c r="M212">
        <f t="shared" si="19"/>
        <v>3.2238883666917451</v>
      </c>
    </row>
    <row r="213" spans="1:13" x14ac:dyDescent="0.25">
      <c r="A213" t="s">
        <v>547</v>
      </c>
      <c r="B213" t="s">
        <v>85</v>
      </c>
      <c r="C213" t="s">
        <v>125</v>
      </c>
      <c r="D213" t="s">
        <v>548</v>
      </c>
      <c r="E213" t="s">
        <v>10</v>
      </c>
      <c r="F213" t="s">
        <v>11</v>
      </c>
      <c r="H213">
        <v>1</v>
      </c>
      <c r="I213">
        <f t="shared" si="15"/>
        <v>5</v>
      </c>
      <c r="J213" s="2">
        <f t="shared" si="16"/>
        <v>1</v>
      </c>
      <c r="K213">
        <f t="shared" si="17"/>
        <v>5</v>
      </c>
      <c r="L213" t="str">
        <f t="shared" si="18"/>
        <v>Funded</v>
      </c>
      <c r="M213">
        <f t="shared" si="19"/>
        <v>1.6094379124341003</v>
      </c>
    </row>
    <row r="214" spans="1:13" x14ac:dyDescent="0.25">
      <c r="A214" t="s">
        <v>549</v>
      </c>
      <c r="B214" t="s">
        <v>85</v>
      </c>
      <c r="C214" t="s">
        <v>550</v>
      </c>
      <c r="D214" t="s">
        <v>389</v>
      </c>
      <c r="E214" t="s">
        <v>10</v>
      </c>
      <c r="F214" t="s">
        <v>11</v>
      </c>
      <c r="H214">
        <v>1</v>
      </c>
      <c r="I214">
        <f t="shared" si="15"/>
        <v>5</v>
      </c>
      <c r="J214" s="2">
        <f t="shared" si="16"/>
        <v>0.53400000000000003</v>
      </c>
      <c r="K214">
        <f t="shared" si="17"/>
        <v>9.3632958801498116</v>
      </c>
      <c r="L214" t="str">
        <f t="shared" si="18"/>
        <v>Funded</v>
      </c>
      <c r="M214">
        <f t="shared" si="19"/>
        <v>2.2367973524560423</v>
      </c>
    </row>
    <row r="215" spans="1:13" x14ac:dyDescent="0.25">
      <c r="A215" t="s">
        <v>551</v>
      </c>
      <c r="B215" t="s">
        <v>85</v>
      </c>
      <c r="C215" t="s">
        <v>552</v>
      </c>
      <c r="D215" t="s">
        <v>553</v>
      </c>
      <c r="E215" t="s">
        <v>10</v>
      </c>
      <c r="F215" t="s">
        <v>526</v>
      </c>
      <c r="H215">
        <v>1</v>
      </c>
      <c r="I215">
        <f t="shared" si="15"/>
        <v>5</v>
      </c>
      <c r="J215" s="2">
        <f t="shared" si="16"/>
        <v>0.755</v>
      </c>
      <c r="K215">
        <f t="shared" si="17"/>
        <v>6.6225165562913908</v>
      </c>
      <c r="L215" t="str">
        <f t="shared" si="18"/>
        <v>Funded</v>
      </c>
      <c r="M215">
        <f t="shared" si="19"/>
        <v>1.8904754421672127</v>
      </c>
    </row>
    <row r="216" spans="1:13" x14ac:dyDescent="0.25">
      <c r="A216" t="s">
        <v>555</v>
      </c>
      <c r="B216" t="s">
        <v>85</v>
      </c>
      <c r="C216" t="s">
        <v>556</v>
      </c>
      <c r="E216" t="s">
        <v>10</v>
      </c>
      <c r="F216" t="s">
        <v>11</v>
      </c>
      <c r="H216">
        <v>1</v>
      </c>
      <c r="I216">
        <f t="shared" si="15"/>
        <v>5</v>
      </c>
      <c r="J216" s="2">
        <f t="shared" si="16"/>
        <v>0.35</v>
      </c>
      <c r="K216">
        <f t="shared" si="17"/>
        <v>14.285714285714286</v>
      </c>
      <c r="L216" t="str">
        <f t="shared" si="18"/>
        <v>Funded</v>
      </c>
      <c r="M216">
        <f t="shared" si="19"/>
        <v>2.6592600369327779</v>
      </c>
    </row>
    <row r="217" spans="1:13" x14ac:dyDescent="0.25">
      <c r="A217" t="s">
        <v>557</v>
      </c>
      <c r="B217" t="s">
        <v>85</v>
      </c>
      <c r="C217" t="s">
        <v>558</v>
      </c>
      <c r="D217" t="s">
        <v>559</v>
      </c>
      <c r="E217" t="s">
        <v>10</v>
      </c>
      <c r="F217" t="s">
        <v>21</v>
      </c>
      <c r="H217">
        <v>1</v>
      </c>
      <c r="I217">
        <f t="shared" si="15"/>
        <v>5</v>
      </c>
      <c r="J217" s="2">
        <f t="shared" si="16"/>
        <v>0.503</v>
      </c>
      <c r="K217">
        <f t="shared" si="17"/>
        <v>9.9403578528827037</v>
      </c>
      <c r="L217" t="str">
        <f t="shared" si="18"/>
        <v>Funded</v>
      </c>
      <c r="M217">
        <f t="shared" si="19"/>
        <v>2.2966030213164981</v>
      </c>
    </row>
    <row r="218" spans="1:13" x14ac:dyDescent="0.25">
      <c r="A218" t="s">
        <v>560</v>
      </c>
      <c r="B218" t="s">
        <v>85</v>
      </c>
      <c r="C218" t="s">
        <v>47</v>
      </c>
      <c r="D218" t="s">
        <v>561</v>
      </c>
      <c r="E218" t="s">
        <v>10</v>
      </c>
      <c r="F218" t="s">
        <v>526</v>
      </c>
      <c r="H218">
        <v>1</v>
      </c>
      <c r="I218">
        <f t="shared" si="15"/>
        <v>5</v>
      </c>
      <c r="J218" s="2">
        <f t="shared" si="16"/>
        <v>2</v>
      </c>
      <c r="K218">
        <f t="shared" si="17"/>
        <v>2.5</v>
      </c>
      <c r="L218" t="str">
        <f t="shared" si="18"/>
        <v>Funded</v>
      </c>
      <c r="M218">
        <f t="shared" si="19"/>
        <v>0.91629073187415511</v>
      </c>
    </row>
    <row r="219" spans="1:13" x14ac:dyDescent="0.25">
      <c r="A219" t="s">
        <v>562</v>
      </c>
      <c r="B219" t="s">
        <v>85</v>
      </c>
      <c r="C219" t="s">
        <v>47</v>
      </c>
      <c r="D219" t="s">
        <v>563</v>
      </c>
      <c r="E219" t="s">
        <v>10</v>
      </c>
      <c r="F219" t="s">
        <v>21</v>
      </c>
      <c r="H219">
        <v>1</v>
      </c>
      <c r="I219">
        <f t="shared" si="15"/>
        <v>5</v>
      </c>
      <c r="J219" s="2">
        <f t="shared" si="16"/>
        <v>2</v>
      </c>
      <c r="K219">
        <f t="shared" si="17"/>
        <v>2.5</v>
      </c>
      <c r="L219" t="str">
        <f t="shared" si="18"/>
        <v>Funded</v>
      </c>
      <c r="M219">
        <f t="shared" si="19"/>
        <v>0.91629073187415511</v>
      </c>
    </row>
    <row r="220" spans="1:13" x14ac:dyDescent="0.25">
      <c r="A220" t="s">
        <v>564</v>
      </c>
      <c r="B220" t="s">
        <v>85</v>
      </c>
      <c r="C220" t="s">
        <v>565</v>
      </c>
      <c r="D220" t="s">
        <v>566</v>
      </c>
      <c r="E220" t="s">
        <v>10</v>
      </c>
      <c r="F220" t="s">
        <v>11</v>
      </c>
      <c r="H220">
        <v>1</v>
      </c>
      <c r="I220">
        <f t="shared" si="15"/>
        <v>5</v>
      </c>
      <c r="J220" s="2">
        <f t="shared" si="16"/>
        <v>0.69499999999999995</v>
      </c>
      <c r="K220">
        <f t="shared" si="17"/>
        <v>7.1942446043165473</v>
      </c>
      <c r="L220" t="str">
        <f t="shared" si="18"/>
        <v>Funded</v>
      </c>
      <c r="M220">
        <f t="shared" si="19"/>
        <v>1.9732813458514453</v>
      </c>
    </row>
    <row r="221" spans="1:13" x14ac:dyDescent="0.25">
      <c r="A221" t="s">
        <v>567</v>
      </c>
      <c r="B221" t="s">
        <v>85</v>
      </c>
      <c r="C221" t="s">
        <v>280</v>
      </c>
      <c r="D221" t="s">
        <v>568</v>
      </c>
      <c r="E221" t="s">
        <v>10</v>
      </c>
      <c r="F221" t="s">
        <v>21</v>
      </c>
      <c r="H221">
        <v>1</v>
      </c>
      <c r="I221">
        <f t="shared" si="15"/>
        <v>5</v>
      </c>
      <c r="J221" s="2">
        <f t="shared" si="16"/>
        <v>0.746</v>
      </c>
      <c r="K221">
        <f t="shared" si="17"/>
        <v>6.7024128686327078</v>
      </c>
      <c r="L221" t="str">
        <f t="shared" si="18"/>
        <v>Funded</v>
      </c>
      <c r="M221">
        <f t="shared" si="19"/>
        <v>1.9024675912124767</v>
      </c>
    </row>
    <row r="222" spans="1:13" x14ac:dyDescent="0.25">
      <c r="A222" t="s">
        <v>569</v>
      </c>
      <c r="B222" t="s">
        <v>85</v>
      </c>
      <c r="C222" t="s">
        <v>47</v>
      </c>
      <c r="D222" t="s">
        <v>570</v>
      </c>
      <c r="E222" t="s">
        <v>10</v>
      </c>
      <c r="F222" t="s">
        <v>21</v>
      </c>
      <c r="H222">
        <v>1</v>
      </c>
      <c r="I222">
        <f t="shared" si="15"/>
        <v>5</v>
      </c>
      <c r="J222" s="2">
        <f t="shared" si="16"/>
        <v>2</v>
      </c>
      <c r="K222">
        <f t="shared" si="17"/>
        <v>2.5</v>
      </c>
      <c r="L222" t="str">
        <f t="shared" si="18"/>
        <v>Funded</v>
      </c>
      <c r="M222">
        <f t="shared" si="19"/>
        <v>0.91629073187415511</v>
      </c>
    </row>
    <row r="223" spans="1:13" x14ac:dyDescent="0.25">
      <c r="A223" t="s">
        <v>571</v>
      </c>
      <c r="B223" t="s">
        <v>85</v>
      </c>
      <c r="C223" s="1">
        <v>0</v>
      </c>
      <c r="E223" t="s">
        <v>10</v>
      </c>
      <c r="F223" t="s">
        <v>21</v>
      </c>
      <c r="H223">
        <v>1</v>
      </c>
      <c r="I223">
        <f t="shared" si="15"/>
        <v>5</v>
      </c>
      <c r="J223" s="2">
        <f t="shared" si="16"/>
        <v>0</v>
      </c>
      <c r="K223" t="str">
        <f t="shared" si="17"/>
        <v/>
      </c>
      <c r="L223" t="str">
        <f t="shared" si="18"/>
        <v>Bootstrapped</v>
      </c>
      <c r="M223" t="str">
        <f t="shared" si="19"/>
        <v/>
      </c>
    </row>
    <row r="224" spans="1:13" x14ac:dyDescent="0.25">
      <c r="A224" t="s">
        <v>572</v>
      </c>
      <c r="B224" t="s">
        <v>85</v>
      </c>
      <c r="C224" t="s">
        <v>573</v>
      </c>
      <c r="D224" t="s">
        <v>130</v>
      </c>
      <c r="E224" t="s">
        <v>10</v>
      </c>
      <c r="F224" t="s">
        <v>50</v>
      </c>
      <c r="H224">
        <v>1</v>
      </c>
      <c r="I224">
        <f t="shared" si="15"/>
        <v>5</v>
      </c>
      <c r="J224" s="2">
        <f t="shared" si="16"/>
        <v>0.88200000000000001</v>
      </c>
      <c r="K224">
        <f t="shared" si="17"/>
        <v>5.6689342403628116</v>
      </c>
      <c r="L224" t="str">
        <f t="shared" si="18"/>
        <v>Funded</v>
      </c>
      <c r="M224">
        <f t="shared" si="19"/>
        <v>1.7350011354094461</v>
      </c>
    </row>
    <row r="225" spans="1:13" x14ac:dyDescent="0.25">
      <c r="A225" t="s">
        <v>574</v>
      </c>
      <c r="B225" t="s">
        <v>85</v>
      </c>
      <c r="C225" t="s">
        <v>575</v>
      </c>
      <c r="D225" t="s">
        <v>576</v>
      </c>
      <c r="E225" t="s">
        <v>10</v>
      </c>
      <c r="F225" t="s">
        <v>21</v>
      </c>
      <c r="H225">
        <v>1</v>
      </c>
      <c r="I225">
        <f t="shared" si="15"/>
        <v>5</v>
      </c>
      <c r="J225" s="2">
        <f t="shared" si="16"/>
        <v>0.183</v>
      </c>
      <c r="K225">
        <f t="shared" si="17"/>
        <v>27.3224043715847</v>
      </c>
      <c r="L225" t="str">
        <f t="shared" si="18"/>
        <v>Funded</v>
      </c>
      <c r="M225">
        <f t="shared" si="19"/>
        <v>3.3077070385748164</v>
      </c>
    </row>
    <row r="226" spans="1:13" x14ac:dyDescent="0.25">
      <c r="A226" t="s">
        <v>577</v>
      </c>
      <c r="B226" t="s">
        <v>85</v>
      </c>
      <c r="C226" t="s">
        <v>125</v>
      </c>
      <c r="D226" t="s">
        <v>578</v>
      </c>
      <c r="E226" t="s">
        <v>10</v>
      </c>
      <c r="F226" t="s">
        <v>21</v>
      </c>
      <c r="H226">
        <v>1</v>
      </c>
      <c r="I226">
        <f t="shared" si="15"/>
        <v>5</v>
      </c>
      <c r="J226" s="2">
        <f t="shared" si="16"/>
        <v>1</v>
      </c>
      <c r="K226">
        <f t="shared" si="17"/>
        <v>5</v>
      </c>
      <c r="L226" t="str">
        <f t="shared" si="18"/>
        <v>Funded</v>
      </c>
      <c r="M226">
        <f t="shared" si="19"/>
        <v>1.6094379124341003</v>
      </c>
    </row>
    <row r="227" spans="1:13" x14ac:dyDescent="0.25">
      <c r="A227" t="s">
        <v>579</v>
      </c>
      <c r="B227" t="s">
        <v>85</v>
      </c>
      <c r="C227" t="s">
        <v>580</v>
      </c>
      <c r="D227" t="s">
        <v>581</v>
      </c>
      <c r="E227" t="s">
        <v>10</v>
      </c>
      <c r="F227" t="s">
        <v>21</v>
      </c>
      <c r="H227">
        <v>1</v>
      </c>
      <c r="I227">
        <f t="shared" si="15"/>
        <v>5</v>
      </c>
      <c r="J227" s="2">
        <f t="shared" si="16"/>
        <v>0.49199999999999999</v>
      </c>
      <c r="K227">
        <f t="shared" si="17"/>
        <v>10.16260162601626</v>
      </c>
      <c r="L227" t="str">
        <f t="shared" si="18"/>
        <v>Funded</v>
      </c>
      <c r="M227">
        <f t="shared" si="19"/>
        <v>2.3187144749239295</v>
      </c>
    </row>
    <row r="228" spans="1:13" x14ac:dyDescent="0.25">
      <c r="A228" t="s">
        <v>582</v>
      </c>
      <c r="B228" t="s">
        <v>85</v>
      </c>
      <c r="C228" t="s">
        <v>583</v>
      </c>
      <c r="D228" t="s">
        <v>316</v>
      </c>
      <c r="E228" t="s">
        <v>10</v>
      </c>
      <c r="F228" t="s">
        <v>11</v>
      </c>
      <c r="H228">
        <v>1</v>
      </c>
      <c r="I228">
        <f t="shared" si="15"/>
        <v>5</v>
      </c>
      <c r="J228" s="2">
        <f t="shared" si="16"/>
        <v>0.63300000000000001</v>
      </c>
      <c r="K228">
        <f t="shared" si="17"/>
        <v>7.8988941548183256</v>
      </c>
      <c r="L228" t="str">
        <f t="shared" si="18"/>
        <v>Funded</v>
      </c>
      <c r="M228">
        <f t="shared" si="19"/>
        <v>2.0667227692720611</v>
      </c>
    </row>
    <row r="229" spans="1:13" x14ac:dyDescent="0.25">
      <c r="A229" t="s">
        <v>584</v>
      </c>
      <c r="B229" t="s">
        <v>85</v>
      </c>
      <c r="C229" t="s">
        <v>585</v>
      </c>
      <c r="D229" t="s">
        <v>586</v>
      </c>
      <c r="E229" t="s">
        <v>10</v>
      </c>
      <c r="F229" t="s">
        <v>11</v>
      </c>
      <c r="H229">
        <v>1</v>
      </c>
      <c r="I229">
        <f t="shared" si="15"/>
        <v>5</v>
      </c>
      <c r="J229" s="2">
        <f t="shared" si="16"/>
        <v>0.23</v>
      </c>
      <c r="K229">
        <f t="shared" si="17"/>
        <v>21.739130434782609</v>
      </c>
      <c r="L229" t="str">
        <f t="shared" si="18"/>
        <v>Funded</v>
      </c>
      <c r="M229">
        <f t="shared" si="19"/>
        <v>3.0791138824930422</v>
      </c>
    </row>
    <row r="230" spans="1:13" x14ac:dyDescent="0.25">
      <c r="A230" t="s">
        <v>587</v>
      </c>
      <c r="B230" t="s">
        <v>85</v>
      </c>
      <c r="C230" t="s">
        <v>47</v>
      </c>
      <c r="D230" t="s">
        <v>588</v>
      </c>
      <c r="E230" t="s">
        <v>10</v>
      </c>
      <c r="F230" t="s">
        <v>21</v>
      </c>
      <c r="H230">
        <v>1</v>
      </c>
      <c r="I230">
        <f t="shared" si="15"/>
        <v>5</v>
      </c>
      <c r="J230" s="2">
        <f t="shared" si="16"/>
        <v>2</v>
      </c>
      <c r="K230">
        <f t="shared" si="17"/>
        <v>2.5</v>
      </c>
      <c r="L230" t="str">
        <f t="shared" si="18"/>
        <v>Funded</v>
      </c>
      <c r="M230">
        <f t="shared" si="19"/>
        <v>0.91629073187415511</v>
      </c>
    </row>
    <row r="231" spans="1:13" x14ac:dyDescent="0.25">
      <c r="A231" t="s">
        <v>589</v>
      </c>
      <c r="B231" t="s">
        <v>85</v>
      </c>
      <c r="C231" t="s">
        <v>372</v>
      </c>
      <c r="D231" t="s">
        <v>590</v>
      </c>
      <c r="E231" t="s">
        <v>10</v>
      </c>
      <c r="F231" t="s">
        <v>11</v>
      </c>
      <c r="H231">
        <v>1</v>
      </c>
      <c r="I231">
        <f t="shared" si="15"/>
        <v>5</v>
      </c>
      <c r="J231" s="2">
        <f t="shared" si="16"/>
        <v>0.78500000000000003</v>
      </c>
      <c r="K231">
        <f t="shared" si="17"/>
        <v>6.3694267515923562</v>
      </c>
      <c r="L231" t="str">
        <f t="shared" si="18"/>
        <v>Funded</v>
      </c>
      <c r="M231">
        <f t="shared" si="19"/>
        <v>1.8515094736338289</v>
      </c>
    </row>
    <row r="232" spans="1:13" x14ac:dyDescent="0.25">
      <c r="A232" t="s">
        <v>591</v>
      </c>
      <c r="B232" t="s">
        <v>85</v>
      </c>
      <c r="C232" t="s">
        <v>592</v>
      </c>
      <c r="D232" t="s">
        <v>593</v>
      </c>
      <c r="E232" t="s">
        <v>10</v>
      </c>
      <c r="F232" t="s">
        <v>11</v>
      </c>
      <c r="H232">
        <v>1</v>
      </c>
      <c r="I232">
        <f t="shared" si="15"/>
        <v>5</v>
      </c>
      <c r="J232" s="2">
        <f t="shared" si="16"/>
        <v>0.96299999999999997</v>
      </c>
      <c r="K232">
        <f t="shared" si="17"/>
        <v>5.1921079958463139</v>
      </c>
      <c r="L232" t="str">
        <f t="shared" si="18"/>
        <v>Funded</v>
      </c>
      <c r="M232">
        <f t="shared" si="19"/>
        <v>1.647139779618112</v>
      </c>
    </row>
    <row r="233" spans="1:13" x14ac:dyDescent="0.25">
      <c r="A233" t="s">
        <v>594</v>
      </c>
      <c r="B233" t="s">
        <v>85</v>
      </c>
      <c r="C233" t="s">
        <v>47</v>
      </c>
      <c r="D233" t="s">
        <v>595</v>
      </c>
      <c r="E233" t="s">
        <v>10</v>
      </c>
      <c r="F233" t="s">
        <v>50</v>
      </c>
      <c r="H233">
        <v>1</v>
      </c>
      <c r="I233">
        <f t="shared" si="15"/>
        <v>5</v>
      </c>
      <c r="J233" s="2">
        <f t="shared" si="16"/>
        <v>2</v>
      </c>
      <c r="K233">
        <f t="shared" si="17"/>
        <v>2.5</v>
      </c>
      <c r="L233" t="str">
        <f t="shared" si="18"/>
        <v>Funded</v>
      </c>
      <c r="M233">
        <f t="shared" si="19"/>
        <v>0.91629073187415511</v>
      </c>
    </row>
    <row r="234" spans="1:13" x14ac:dyDescent="0.25">
      <c r="A234" t="s">
        <v>596</v>
      </c>
      <c r="B234" t="s">
        <v>85</v>
      </c>
      <c r="C234" t="s">
        <v>47</v>
      </c>
      <c r="D234" t="s">
        <v>597</v>
      </c>
      <c r="E234" t="s">
        <v>10</v>
      </c>
      <c r="F234" t="s">
        <v>11</v>
      </c>
      <c r="H234">
        <v>1</v>
      </c>
      <c r="I234">
        <f t="shared" si="15"/>
        <v>5</v>
      </c>
      <c r="J234" s="2">
        <f t="shared" si="16"/>
        <v>2</v>
      </c>
      <c r="K234">
        <f t="shared" si="17"/>
        <v>2.5</v>
      </c>
      <c r="L234" t="str">
        <f t="shared" si="18"/>
        <v>Funded</v>
      </c>
      <c r="M234">
        <f t="shared" si="19"/>
        <v>0.91629073187415511</v>
      </c>
    </row>
    <row r="235" spans="1:13" x14ac:dyDescent="0.25">
      <c r="A235" t="s">
        <v>598</v>
      </c>
      <c r="B235" t="s">
        <v>85</v>
      </c>
      <c r="C235" t="s">
        <v>599</v>
      </c>
      <c r="D235" t="s">
        <v>600</v>
      </c>
      <c r="E235" t="s">
        <v>10</v>
      </c>
      <c r="F235" t="s">
        <v>11</v>
      </c>
      <c r="H235">
        <v>1</v>
      </c>
      <c r="I235">
        <f t="shared" si="15"/>
        <v>5</v>
      </c>
      <c r="J235" s="2">
        <f t="shared" si="16"/>
        <v>0.76200000000000001</v>
      </c>
      <c r="K235">
        <f t="shared" si="17"/>
        <v>6.5616797900262469</v>
      </c>
      <c r="L235" t="str">
        <f t="shared" si="18"/>
        <v>Funded</v>
      </c>
      <c r="M235">
        <f t="shared" si="19"/>
        <v>1.8812466357295912</v>
      </c>
    </row>
    <row r="236" spans="1:13" x14ac:dyDescent="0.25">
      <c r="A236" t="s">
        <v>601</v>
      </c>
      <c r="B236" t="s">
        <v>85</v>
      </c>
      <c r="C236" t="s">
        <v>602</v>
      </c>
      <c r="D236" t="s">
        <v>603</v>
      </c>
      <c r="E236" t="s">
        <v>10</v>
      </c>
      <c r="F236" t="s">
        <v>21</v>
      </c>
      <c r="H236">
        <v>1</v>
      </c>
      <c r="I236">
        <f t="shared" si="15"/>
        <v>5</v>
      </c>
      <c r="J236" s="2">
        <f t="shared" si="16"/>
        <v>0.47499999999999998</v>
      </c>
      <c r="K236">
        <f t="shared" si="17"/>
        <v>10.526315789473685</v>
      </c>
      <c r="L236" t="str">
        <f t="shared" si="18"/>
        <v>Funded</v>
      </c>
      <c r="M236">
        <f t="shared" si="19"/>
        <v>2.3538783873815965</v>
      </c>
    </row>
    <row r="237" spans="1:13" x14ac:dyDescent="0.25">
      <c r="A237" t="s">
        <v>605</v>
      </c>
      <c r="B237" t="s">
        <v>85</v>
      </c>
      <c r="C237" t="s">
        <v>47</v>
      </c>
      <c r="D237" t="s">
        <v>409</v>
      </c>
      <c r="E237" t="s">
        <v>10</v>
      </c>
      <c r="F237" t="s">
        <v>11</v>
      </c>
      <c r="H237">
        <v>1</v>
      </c>
      <c r="I237">
        <f t="shared" si="15"/>
        <v>5</v>
      </c>
      <c r="J237" s="2">
        <f t="shared" si="16"/>
        <v>2</v>
      </c>
      <c r="K237">
        <f t="shared" si="17"/>
        <v>2.5</v>
      </c>
      <c r="L237" t="str">
        <f t="shared" si="18"/>
        <v>Funded</v>
      </c>
      <c r="M237">
        <f t="shared" si="19"/>
        <v>0.91629073187415511</v>
      </c>
    </row>
    <row r="238" spans="1:13" x14ac:dyDescent="0.25">
      <c r="A238" t="s">
        <v>606</v>
      </c>
      <c r="B238" t="s">
        <v>85</v>
      </c>
      <c r="C238" t="s">
        <v>607</v>
      </c>
      <c r="D238" t="s">
        <v>15</v>
      </c>
      <c r="E238" t="s">
        <v>10</v>
      </c>
      <c r="F238" t="s">
        <v>11</v>
      </c>
      <c r="H238">
        <v>1</v>
      </c>
      <c r="I238">
        <f t="shared" si="15"/>
        <v>5</v>
      </c>
      <c r="J238" s="2">
        <f t="shared" si="16"/>
        <v>0.65</v>
      </c>
      <c r="K238">
        <f t="shared" si="17"/>
        <v>7.6923076923076916</v>
      </c>
      <c r="L238" t="str">
        <f t="shared" si="18"/>
        <v>Funded</v>
      </c>
      <c r="M238">
        <f t="shared" si="19"/>
        <v>2.0402208285265546</v>
      </c>
    </row>
    <row r="239" spans="1:13" x14ac:dyDescent="0.25">
      <c r="A239" t="s">
        <v>608</v>
      </c>
      <c r="B239" t="s">
        <v>85</v>
      </c>
      <c r="C239" t="s">
        <v>406</v>
      </c>
      <c r="D239" t="s">
        <v>148</v>
      </c>
      <c r="E239" t="s">
        <v>10</v>
      </c>
      <c r="F239" t="s">
        <v>11</v>
      </c>
      <c r="H239">
        <v>1</v>
      </c>
      <c r="I239">
        <f t="shared" si="15"/>
        <v>5</v>
      </c>
      <c r="J239" s="2">
        <f t="shared" si="16"/>
        <v>0.81</v>
      </c>
      <c r="K239">
        <f t="shared" si="17"/>
        <v>6.1728395061728394</v>
      </c>
      <c r="L239" t="str">
        <f t="shared" si="18"/>
        <v>Funded</v>
      </c>
      <c r="M239">
        <f t="shared" si="19"/>
        <v>1.820158943749753</v>
      </c>
    </row>
    <row r="240" spans="1:13" x14ac:dyDescent="0.25">
      <c r="A240" t="s">
        <v>609</v>
      </c>
      <c r="B240" t="s">
        <v>85</v>
      </c>
      <c r="C240" t="s">
        <v>610</v>
      </c>
      <c r="D240" t="s">
        <v>611</v>
      </c>
      <c r="E240" t="s">
        <v>10</v>
      </c>
      <c r="F240" t="s">
        <v>11</v>
      </c>
      <c r="H240">
        <v>1</v>
      </c>
      <c r="I240">
        <f t="shared" si="15"/>
        <v>5</v>
      </c>
      <c r="J240" s="2">
        <f t="shared" si="16"/>
        <v>0.625</v>
      </c>
      <c r="K240">
        <f t="shared" si="17"/>
        <v>8</v>
      </c>
      <c r="L240" t="str">
        <f t="shared" si="18"/>
        <v>Funded</v>
      </c>
      <c r="M240">
        <f t="shared" si="19"/>
        <v>2.0794415416798357</v>
      </c>
    </row>
    <row r="241" spans="1:13" x14ac:dyDescent="0.25">
      <c r="A241" t="s">
        <v>612</v>
      </c>
      <c r="B241" t="s">
        <v>85</v>
      </c>
      <c r="C241" t="s">
        <v>613</v>
      </c>
      <c r="D241" t="s">
        <v>302</v>
      </c>
      <c r="E241" t="s">
        <v>10</v>
      </c>
      <c r="F241" t="s">
        <v>11</v>
      </c>
      <c r="H241">
        <v>1</v>
      </c>
      <c r="I241">
        <f t="shared" si="15"/>
        <v>5</v>
      </c>
      <c r="J241" s="2">
        <f t="shared" si="16"/>
        <v>0.31</v>
      </c>
      <c r="K241">
        <f t="shared" si="17"/>
        <v>16.129032258064516</v>
      </c>
      <c r="L241" t="str">
        <f t="shared" si="18"/>
        <v>Funded</v>
      </c>
      <c r="M241">
        <f t="shared" si="19"/>
        <v>2.7806208939370456</v>
      </c>
    </row>
    <row r="242" spans="1:13" x14ac:dyDescent="0.25">
      <c r="A242" t="s">
        <v>614</v>
      </c>
      <c r="B242" t="s">
        <v>85</v>
      </c>
      <c r="C242" t="s">
        <v>615</v>
      </c>
      <c r="D242" t="s">
        <v>616</v>
      </c>
      <c r="E242" t="s">
        <v>10</v>
      </c>
      <c r="F242" t="s">
        <v>11</v>
      </c>
      <c r="H242">
        <v>1</v>
      </c>
      <c r="I242">
        <f t="shared" si="15"/>
        <v>5</v>
      </c>
      <c r="J242" s="2">
        <f t="shared" si="16"/>
        <v>0.58499999999999996</v>
      </c>
      <c r="K242">
        <f t="shared" si="17"/>
        <v>8.5470085470085468</v>
      </c>
      <c r="L242" t="str">
        <f t="shared" si="18"/>
        <v>Funded</v>
      </c>
      <c r="M242">
        <f t="shared" si="19"/>
        <v>2.145581344184381</v>
      </c>
    </row>
    <row r="243" spans="1:13" x14ac:dyDescent="0.25">
      <c r="A243" t="s">
        <v>617</v>
      </c>
      <c r="B243" t="s">
        <v>85</v>
      </c>
      <c r="C243" t="s">
        <v>607</v>
      </c>
      <c r="D243" t="s">
        <v>618</v>
      </c>
      <c r="E243" t="s">
        <v>10</v>
      </c>
      <c r="F243" t="s">
        <v>11</v>
      </c>
      <c r="H243">
        <v>1</v>
      </c>
      <c r="I243">
        <f t="shared" si="15"/>
        <v>5</v>
      </c>
      <c r="J243" s="2">
        <f t="shared" si="16"/>
        <v>0.65</v>
      </c>
      <c r="K243">
        <f t="shared" si="17"/>
        <v>7.6923076923076916</v>
      </c>
      <c r="L243" t="str">
        <f t="shared" si="18"/>
        <v>Funded</v>
      </c>
      <c r="M243">
        <f t="shared" si="19"/>
        <v>2.0402208285265546</v>
      </c>
    </row>
    <row r="244" spans="1:13" x14ac:dyDescent="0.25">
      <c r="A244" t="s">
        <v>619</v>
      </c>
      <c r="B244" t="s">
        <v>85</v>
      </c>
      <c r="C244" t="s">
        <v>620</v>
      </c>
      <c r="D244" t="s">
        <v>621</v>
      </c>
      <c r="E244" t="s">
        <v>10</v>
      </c>
      <c r="F244" t="s">
        <v>11</v>
      </c>
      <c r="H244">
        <v>1</v>
      </c>
      <c r="I244">
        <f t="shared" si="15"/>
        <v>5</v>
      </c>
      <c r="J244" s="2">
        <f t="shared" si="16"/>
        <v>0.53900000000000003</v>
      </c>
      <c r="K244">
        <f t="shared" si="17"/>
        <v>9.2764378478664185</v>
      </c>
      <c r="L244" t="str">
        <f t="shared" si="18"/>
        <v>Funded</v>
      </c>
      <c r="M244">
        <f t="shared" si="19"/>
        <v>2.2274776205072402</v>
      </c>
    </row>
    <row r="245" spans="1:13" x14ac:dyDescent="0.25">
      <c r="A245" t="s">
        <v>622</v>
      </c>
      <c r="B245" t="s">
        <v>85</v>
      </c>
      <c r="C245" t="s">
        <v>623</v>
      </c>
      <c r="D245" t="s">
        <v>624</v>
      </c>
      <c r="E245" t="s">
        <v>10</v>
      </c>
      <c r="F245" t="s">
        <v>11</v>
      </c>
      <c r="H245">
        <v>1</v>
      </c>
      <c r="I245">
        <f t="shared" si="15"/>
        <v>5</v>
      </c>
      <c r="J245" s="2">
        <f t="shared" si="16"/>
        <v>0.5</v>
      </c>
      <c r="K245">
        <f t="shared" si="17"/>
        <v>10</v>
      </c>
      <c r="L245" t="str">
        <f t="shared" si="18"/>
        <v>Funded</v>
      </c>
      <c r="M245">
        <f t="shared" si="19"/>
        <v>2.3025850929940459</v>
      </c>
    </row>
    <row r="246" spans="1:13" x14ac:dyDescent="0.25">
      <c r="A246" t="s">
        <v>625</v>
      </c>
      <c r="B246" t="s">
        <v>85</v>
      </c>
      <c r="C246" t="s">
        <v>47</v>
      </c>
      <c r="D246" t="s">
        <v>626</v>
      </c>
      <c r="E246" t="s">
        <v>10</v>
      </c>
      <c r="F246" t="s">
        <v>21</v>
      </c>
      <c r="H246">
        <v>1</v>
      </c>
      <c r="I246">
        <f t="shared" si="15"/>
        <v>5</v>
      </c>
      <c r="J246" s="2">
        <f t="shared" si="16"/>
        <v>2</v>
      </c>
      <c r="K246">
        <f t="shared" si="17"/>
        <v>2.5</v>
      </c>
      <c r="L246" t="str">
        <f t="shared" si="18"/>
        <v>Funded</v>
      </c>
      <c r="M246">
        <f t="shared" si="19"/>
        <v>0.91629073187415511</v>
      </c>
    </row>
    <row r="247" spans="1:13" x14ac:dyDescent="0.25">
      <c r="A247" t="s">
        <v>627</v>
      </c>
      <c r="B247" t="s">
        <v>85</v>
      </c>
      <c r="C247" t="s">
        <v>628</v>
      </c>
      <c r="D247" t="s">
        <v>629</v>
      </c>
      <c r="E247" t="s">
        <v>10</v>
      </c>
      <c r="F247" t="s">
        <v>50</v>
      </c>
      <c r="H247">
        <v>1</v>
      </c>
      <c r="I247">
        <f t="shared" si="15"/>
        <v>5</v>
      </c>
      <c r="J247" s="2">
        <f t="shared" si="16"/>
        <v>0.17</v>
      </c>
      <c r="K247">
        <f t="shared" si="17"/>
        <v>29.411764705882351</v>
      </c>
      <c r="L247" t="str">
        <f t="shared" si="18"/>
        <v>Funded</v>
      </c>
      <c r="M247">
        <f t="shared" si="19"/>
        <v>3.3813947543659757</v>
      </c>
    </row>
    <row r="248" spans="1:13" x14ac:dyDescent="0.25">
      <c r="A248" t="s">
        <v>630</v>
      </c>
      <c r="B248" t="s">
        <v>85</v>
      </c>
      <c r="C248" t="s">
        <v>631</v>
      </c>
      <c r="D248" t="s">
        <v>254</v>
      </c>
      <c r="E248" t="s">
        <v>10</v>
      </c>
      <c r="F248" t="s">
        <v>11</v>
      </c>
      <c r="H248">
        <v>1</v>
      </c>
      <c r="I248">
        <f t="shared" si="15"/>
        <v>5</v>
      </c>
      <c r="J248" s="2">
        <f t="shared" si="16"/>
        <v>0.48699999999999999</v>
      </c>
      <c r="K248">
        <f t="shared" si="17"/>
        <v>10.266940451745381</v>
      </c>
      <c r="L248" t="str">
        <f t="shared" si="18"/>
        <v>Funded</v>
      </c>
      <c r="M248">
        <f t="shared" si="19"/>
        <v>2.3289290683336477</v>
      </c>
    </row>
    <row r="249" spans="1:13" x14ac:dyDescent="0.25">
      <c r="A249" t="s">
        <v>632</v>
      </c>
      <c r="B249" t="s">
        <v>85</v>
      </c>
      <c r="C249" t="s">
        <v>125</v>
      </c>
      <c r="D249" t="s">
        <v>633</v>
      </c>
      <c r="E249" t="s">
        <v>10</v>
      </c>
      <c r="F249" t="s">
        <v>21</v>
      </c>
      <c r="H249">
        <v>1</v>
      </c>
      <c r="I249">
        <f t="shared" si="15"/>
        <v>5</v>
      </c>
      <c r="J249" s="2">
        <f t="shared" si="16"/>
        <v>1</v>
      </c>
      <c r="K249">
        <f t="shared" si="17"/>
        <v>5</v>
      </c>
      <c r="L249" t="str">
        <f t="shared" si="18"/>
        <v>Funded</v>
      </c>
      <c r="M249">
        <f t="shared" si="19"/>
        <v>1.6094379124341003</v>
      </c>
    </row>
    <row r="250" spans="1:13" x14ac:dyDescent="0.25">
      <c r="A250" t="s">
        <v>634</v>
      </c>
      <c r="B250" t="s">
        <v>85</v>
      </c>
      <c r="C250" t="s">
        <v>635</v>
      </c>
      <c r="D250" t="s">
        <v>636</v>
      </c>
      <c r="E250" t="s">
        <v>10</v>
      </c>
      <c r="F250" t="s">
        <v>11</v>
      </c>
      <c r="H250">
        <v>1</v>
      </c>
      <c r="I250">
        <f t="shared" si="15"/>
        <v>5</v>
      </c>
      <c r="J250" s="2">
        <f t="shared" si="16"/>
        <v>0.47899999999999998</v>
      </c>
      <c r="K250">
        <f t="shared" si="17"/>
        <v>10.438413361169102</v>
      </c>
      <c r="L250" t="str">
        <f t="shared" si="18"/>
        <v>Funded</v>
      </c>
      <c r="M250">
        <f t="shared" si="19"/>
        <v>2.3454925940053224</v>
      </c>
    </row>
    <row r="251" spans="1:13" x14ac:dyDescent="0.25">
      <c r="A251" t="s">
        <v>637</v>
      </c>
      <c r="B251" t="s">
        <v>85</v>
      </c>
      <c r="C251" t="s">
        <v>125</v>
      </c>
      <c r="D251" t="s">
        <v>638</v>
      </c>
      <c r="E251" t="s">
        <v>10</v>
      </c>
      <c r="F251" t="s">
        <v>21</v>
      </c>
      <c r="H251">
        <v>1</v>
      </c>
      <c r="I251">
        <f t="shared" si="15"/>
        <v>5</v>
      </c>
      <c r="J251" s="2">
        <f t="shared" si="16"/>
        <v>1</v>
      </c>
      <c r="K251">
        <f t="shared" si="17"/>
        <v>5</v>
      </c>
      <c r="L251" t="str">
        <f t="shared" si="18"/>
        <v>Funded</v>
      </c>
      <c r="M251">
        <f t="shared" si="19"/>
        <v>1.6094379124341003</v>
      </c>
    </row>
    <row r="252" spans="1:13" x14ac:dyDescent="0.25">
      <c r="A252" t="s">
        <v>639</v>
      </c>
      <c r="B252" t="s">
        <v>85</v>
      </c>
      <c r="C252" t="s">
        <v>640</v>
      </c>
      <c r="D252" t="s">
        <v>641</v>
      </c>
      <c r="E252" t="s">
        <v>10</v>
      </c>
      <c r="F252" t="s">
        <v>50</v>
      </c>
      <c r="H252">
        <v>1</v>
      </c>
      <c r="I252">
        <f t="shared" si="15"/>
        <v>5</v>
      </c>
      <c r="J252" s="2">
        <f t="shared" si="16"/>
        <v>0.71</v>
      </c>
      <c r="K252">
        <f t="shared" si="17"/>
        <v>7.042253521126761</v>
      </c>
      <c r="L252" t="str">
        <f t="shared" si="18"/>
        <v>Funded</v>
      </c>
      <c r="M252">
        <f t="shared" si="19"/>
        <v>1.9519282213808764</v>
      </c>
    </row>
    <row r="253" spans="1:13" x14ac:dyDescent="0.25">
      <c r="A253" t="s">
        <v>642</v>
      </c>
      <c r="B253" t="s">
        <v>85</v>
      </c>
      <c r="C253" t="s">
        <v>516</v>
      </c>
      <c r="D253" t="s">
        <v>643</v>
      </c>
      <c r="E253" t="s">
        <v>10</v>
      </c>
      <c r="F253" t="s">
        <v>11</v>
      </c>
      <c r="H253">
        <v>1</v>
      </c>
      <c r="I253">
        <f t="shared" si="15"/>
        <v>5</v>
      </c>
      <c r="J253" s="2">
        <f t="shared" si="16"/>
        <v>0.56999999999999995</v>
      </c>
      <c r="K253">
        <f t="shared" si="17"/>
        <v>8.7719298245614041</v>
      </c>
      <c r="L253" t="str">
        <f t="shared" si="18"/>
        <v>Funded</v>
      </c>
      <c r="M253">
        <f t="shared" si="19"/>
        <v>2.1715568305876416</v>
      </c>
    </row>
    <row r="254" spans="1:13" x14ac:dyDescent="0.25">
      <c r="A254" t="s">
        <v>644</v>
      </c>
      <c r="B254" t="s">
        <v>85</v>
      </c>
      <c r="C254" t="s">
        <v>645</v>
      </c>
      <c r="E254" t="s">
        <v>10</v>
      </c>
      <c r="F254" t="s">
        <v>11</v>
      </c>
      <c r="H254">
        <v>1</v>
      </c>
      <c r="I254">
        <f t="shared" si="15"/>
        <v>5</v>
      </c>
      <c r="J254" s="2">
        <f t="shared" si="16"/>
        <v>0.2</v>
      </c>
      <c r="K254">
        <f t="shared" si="17"/>
        <v>25</v>
      </c>
      <c r="L254" t="str">
        <f t="shared" si="18"/>
        <v>Funded</v>
      </c>
      <c r="M254">
        <f t="shared" si="19"/>
        <v>3.2188758248682006</v>
      </c>
    </row>
    <row r="255" spans="1:13" x14ac:dyDescent="0.25">
      <c r="A255" t="s">
        <v>646</v>
      </c>
      <c r="B255" t="s">
        <v>85</v>
      </c>
      <c r="C255" t="s">
        <v>647</v>
      </c>
      <c r="D255" t="s">
        <v>148</v>
      </c>
      <c r="E255" t="s">
        <v>10</v>
      </c>
      <c r="F255" t="s">
        <v>50</v>
      </c>
      <c r="H255">
        <v>1</v>
      </c>
      <c r="I255">
        <f t="shared" si="15"/>
        <v>5</v>
      </c>
      <c r="J255" s="2">
        <f t="shared" si="16"/>
        <v>0.42799999999999999</v>
      </c>
      <c r="K255">
        <f t="shared" si="17"/>
        <v>11.682242990654206</v>
      </c>
      <c r="L255" t="str">
        <f t="shared" si="18"/>
        <v>Funded</v>
      </c>
      <c r="M255">
        <f t="shared" si="19"/>
        <v>2.4580699958344407</v>
      </c>
    </row>
    <row r="256" spans="1:13" x14ac:dyDescent="0.25">
      <c r="A256" t="s">
        <v>649</v>
      </c>
      <c r="B256" t="s">
        <v>85</v>
      </c>
      <c r="C256" t="s">
        <v>650</v>
      </c>
      <c r="D256" t="s">
        <v>651</v>
      </c>
      <c r="E256" t="s">
        <v>10</v>
      </c>
      <c r="F256" t="s">
        <v>50</v>
      </c>
      <c r="H256">
        <v>1</v>
      </c>
      <c r="I256">
        <f t="shared" si="15"/>
        <v>5</v>
      </c>
      <c r="J256" s="2">
        <f t="shared" si="16"/>
        <v>0.45700000000000002</v>
      </c>
      <c r="K256">
        <f t="shared" si="17"/>
        <v>10.940919037199125</v>
      </c>
      <c r="L256" t="str">
        <f t="shared" si="18"/>
        <v>Funded</v>
      </c>
      <c r="M256">
        <f t="shared" si="19"/>
        <v>2.3925098005220327</v>
      </c>
    </row>
    <row r="257" spans="1:13" x14ac:dyDescent="0.25">
      <c r="A257" t="s">
        <v>653</v>
      </c>
      <c r="B257" t="s">
        <v>85</v>
      </c>
      <c r="C257" t="s">
        <v>654</v>
      </c>
      <c r="D257" t="s">
        <v>655</v>
      </c>
      <c r="E257" t="s">
        <v>10</v>
      </c>
      <c r="F257" t="s">
        <v>11</v>
      </c>
      <c r="H257">
        <v>1</v>
      </c>
      <c r="I257">
        <f t="shared" si="15"/>
        <v>5</v>
      </c>
      <c r="J257" s="2">
        <f t="shared" si="16"/>
        <v>0.74</v>
      </c>
      <c r="K257">
        <f t="shared" si="17"/>
        <v>6.756756756756757</v>
      </c>
      <c r="L257" t="str">
        <f t="shared" si="18"/>
        <v>Funded</v>
      </c>
      <c r="M257">
        <f t="shared" si="19"/>
        <v>1.9105430052180221</v>
      </c>
    </row>
    <row r="258" spans="1:13" x14ac:dyDescent="0.25">
      <c r="A258" t="s">
        <v>656</v>
      </c>
      <c r="B258" t="s">
        <v>85</v>
      </c>
      <c r="C258" t="s">
        <v>508</v>
      </c>
      <c r="D258" t="s">
        <v>657</v>
      </c>
      <c r="E258" t="s">
        <v>10</v>
      </c>
      <c r="F258" t="s">
        <v>11</v>
      </c>
      <c r="H258">
        <v>1</v>
      </c>
      <c r="I258">
        <f t="shared" si="15"/>
        <v>5</v>
      </c>
      <c r="J258" s="2">
        <f t="shared" si="16"/>
        <v>0.48199999999999998</v>
      </c>
      <c r="K258">
        <f t="shared" si="17"/>
        <v>10.37344398340249</v>
      </c>
      <c r="L258" t="str">
        <f t="shared" si="18"/>
        <v>Funded</v>
      </c>
      <c r="M258">
        <f t="shared" si="19"/>
        <v>2.3392490773656371</v>
      </c>
    </row>
    <row r="259" spans="1:13" x14ac:dyDescent="0.25">
      <c r="A259" t="s">
        <v>658</v>
      </c>
      <c r="B259" t="s">
        <v>85</v>
      </c>
      <c r="C259" t="s">
        <v>659</v>
      </c>
      <c r="D259" t="s">
        <v>660</v>
      </c>
      <c r="E259" t="s">
        <v>10</v>
      </c>
      <c r="F259" t="s">
        <v>50</v>
      </c>
      <c r="H259">
        <v>1</v>
      </c>
      <c r="I259">
        <f t="shared" ref="I259:I322" si="20">IF(B259="","",
VALUE(SUBSTITUTE(SUBSTITUTE(B259,"$",""),"B","")))</f>
        <v>5</v>
      </c>
      <c r="J259" s="2">
        <f t="shared" ref="J259:J322" si="21">IF(C259="","",
IF(C259="$0",0,
IF(RIGHT(C259,1)="B",
VALUE(SUBSTITUTE(SUBSTITUTE(C259,"$",""),"B","")),
IF(RIGHT(C259,1)="M",
VALUE(SUBSTITUTE(SUBSTITUTE(C259,"$",""),"M",""))/1000,
IF(RIGHT(C259,1)="K",
VALUE(SUBSTITUTE(SUBSTITUTE(C259,"$",""),"K",""))/1000000,
VALUE(SUBSTITUTE(C259,"$",""))
)))))</f>
        <v>6.2E-2</v>
      </c>
      <c r="K259">
        <f t="shared" ref="K259:K322" si="22">IF(J259&gt;0,I259/J259,"")</f>
        <v>80.645161290322577</v>
      </c>
      <c r="L259" t="str">
        <f t="shared" ref="L259:L322" si="23">IF(J259=0,"Bootstrapped","Funded")</f>
        <v>Funded</v>
      </c>
      <c r="M259">
        <f t="shared" ref="M259:M322" si="24">IF(AND(I259&gt;0,J259&gt;0),LN(I259/J259),"")</f>
        <v>4.3900588063711456</v>
      </c>
    </row>
    <row r="260" spans="1:13" x14ac:dyDescent="0.25">
      <c r="A260" t="s">
        <v>661</v>
      </c>
      <c r="B260" t="s">
        <v>85</v>
      </c>
      <c r="C260" t="s">
        <v>662</v>
      </c>
      <c r="D260" t="s">
        <v>169</v>
      </c>
      <c r="E260" t="s">
        <v>10</v>
      </c>
      <c r="F260" t="s">
        <v>50</v>
      </c>
      <c r="H260">
        <v>1</v>
      </c>
      <c r="I260">
        <f t="shared" si="20"/>
        <v>5</v>
      </c>
      <c r="J260" s="2">
        <f t="shared" si="21"/>
        <v>0.28599999999999998</v>
      </c>
      <c r="K260">
        <f t="shared" si="22"/>
        <v>17.482517482517483</v>
      </c>
      <c r="L260" t="str">
        <f t="shared" si="23"/>
        <v>Funded</v>
      </c>
      <c r="M260">
        <f t="shared" si="24"/>
        <v>2.861201380596385</v>
      </c>
    </row>
    <row r="261" spans="1:13" x14ac:dyDescent="0.25">
      <c r="A261" t="s">
        <v>663</v>
      </c>
      <c r="B261" t="s">
        <v>85</v>
      </c>
      <c r="C261" t="s">
        <v>125</v>
      </c>
      <c r="D261" t="s">
        <v>664</v>
      </c>
      <c r="E261" t="s">
        <v>10</v>
      </c>
      <c r="F261" t="s">
        <v>50</v>
      </c>
      <c r="H261">
        <v>1</v>
      </c>
      <c r="I261">
        <f t="shared" si="20"/>
        <v>5</v>
      </c>
      <c r="J261" s="2">
        <f t="shared" si="21"/>
        <v>1</v>
      </c>
      <c r="K261">
        <f t="shared" si="22"/>
        <v>5</v>
      </c>
      <c r="L261" t="str">
        <f t="shared" si="23"/>
        <v>Funded</v>
      </c>
      <c r="M261">
        <f t="shared" si="24"/>
        <v>1.6094379124341003</v>
      </c>
    </row>
    <row r="262" spans="1:13" x14ac:dyDescent="0.25">
      <c r="A262" t="s">
        <v>665</v>
      </c>
      <c r="B262" t="s">
        <v>85</v>
      </c>
      <c r="C262" t="s">
        <v>666</v>
      </c>
      <c r="D262" t="s">
        <v>667</v>
      </c>
      <c r="E262" t="s">
        <v>10</v>
      </c>
      <c r="F262" t="s">
        <v>11</v>
      </c>
      <c r="H262">
        <v>1</v>
      </c>
      <c r="I262">
        <f t="shared" si="20"/>
        <v>5</v>
      </c>
      <c r="J262" s="2">
        <f t="shared" si="21"/>
        <v>0.59899999999999998</v>
      </c>
      <c r="K262">
        <f t="shared" si="22"/>
        <v>8.3472454090150254</v>
      </c>
      <c r="L262" t="str">
        <f t="shared" si="23"/>
        <v>Funded</v>
      </c>
      <c r="M262">
        <f t="shared" si="24"/>
        <v>2.1219315933007881</v>
      </c>
    </row>
    <row r="263" spans="1:13" x14ac:dyDescent="0.25">
      <c r="A263" t="s">
        <v>668</v>
      </c>
      <c r="B263" t="s">
        <v>85</v>
      </c>
      <c r="C263" t="s">
        <v>125</v>
      </c>
      <c r="D263" t="s">
        <v>669</v>
      </c>
      <c r="H263">
        <v>1</v>
      </c>
      <c r="I263">
        <f t="shared" si="20"/>
        <v>5</v>
      </c>
      <c r="J263" s="2">
        <f t="shared" si="21"/>
        <v>1</v>
      </c>
      <c r="K263">
        <f t="shared" si="22"/>
        <v>5</v>
      </c>
      <c r="L263" t="str">
        <f t="shared" si="23"/>
        <v>Funded</v>
      </c>
      <c r="M263">
        <f t="shared" si="24"/>
        <v>1.6094379124341003</v>
      </c>
    </row>
    <row r="264" spans="1:13" x14ac:dyDescent="0.25">
      <c r="A264" t="s">
        <v>670</v>
      </c>
      <c r="B264" t="s">
        <v>85</v>
      </c>
      <c r="C264" t="s">
        <v>671</v>
      </c>
      <c r="D264" t="s">
        <v>672</v>
      </c>
      <c r="E264" t="s">
        <v>554</v>
      </c>
      <c r="F264" t="s">
        <v>526</v>
      </c>
      <c r="H264">
        <v>1</v>
      </c>
      <c r="I264">
        <f t="shared" si="20"/>
        <v>5</v>
      </c>
      <c r="J264" s="2">
        <f t="shared" si="21"/>
        <v>0.59199999999999997</v>
      </c>
      <c r="K264">
        <f t="shared" si="22"/>
        <v>8.4459459459459456</v>
      </c>
      <c r="L264" t="str">
        <f t="shared" si="23"/>
        <v>Funded</v>
      </c>
      <c r="M264">
        <f t="shared" si="24"/>
        <v>2.1336865565322318</v>
      </c>
    </row>
    <row r="265" spans="1:13" x14ac:dyDescent="0.25">
      <c r="A265" t="s">
        <v>673</v>
      </c>
      <c r="B265" t="s">
        <v>85</v>
      </c>
      <c r="C265" t="s">
        <v>125</v>
      </c>
      <c r="D265" t="s">
        <v>674</v>
      </c>
      <c r="E265" t="s">
        <v>49</v>
      </c>
      <c r="F265" t="s">
        <v>50</v>
      </c>
      <c r="H265">
        <v>1</v>
      </c>
      <c r="I265">
        <f t="shared" si="20"/>
        <v>5</v>
      </c>
      <c r="J265" s="2">
        <f t="shared" si="21"/>
        <v>1</v>
      </c>
      <c r="K265">
        <f t="shared" si="22"/>
        <v>5</v>
      </c>
      <c r="L265" t="str">
        <f t="shared" si="23"/>
        <v>Funded</v>
      </c>
      <c r="M265">
        <f t="shared" si="24"/>
        <v>1.6094379124341003</v>
      </c>
    </row>
    <row r="266" spans="1:13" x14ac:dyDescent="0.25">
      <c r="A266" t="s">
        <v>675</v>
      </c>
      <c r="B266" t="s">
        <v>85</v>
      </c>
      <c r="C266" t="s">
        <v>125</v>
      </c>
      <c r="D266" t="s">
        <v>676</v>
      </c>
      <c r="E266" t="s">
        <v>10</v>
      </c>
      <c r="F266" t="s">
        <v>11</v>
      </c>
      <c r="H266">
        <v>1</v>
      </c>
      <c r="I266">
        <f t="shared" si="20"/>
        <v>5</v>
      </c>
      <c r="J266" s="2">
        <f t="shared" si="21"/>
        <v>1</v>
      </c>
      <c r="K266">
        <f t="shared" si="22"/>
        <v>5</v>
      </c>
      <c r="L266" t="str">
        <f t="shared" si="23"/>
        <v>Funded</v>
      </c>
      <c r="M266">
        <f t="shared" si="24"/>
        <v>1.6094379124341003</v>
      </c>
    </row>
    <row r="267" spans="1:13" x14ac:dyDescent="0.25">
      <c r="A267" t="s">
        <v>677</v>
      </c>
      <c r="B267" t="s">
        <v>85</v>
      </c>
      <c r="C267" t="s">
        <v>678</v>
      </c>
      <c r="D267" t="s">
        <v>679</v>
      </c>
      <c r="E267" t="s">
        <v>10</v>
      </c>
      <c r="F267" t="s">
        <v>11</v>
      </c>
      <c r="H267">
        <v>1</v>
      </c>
      <c r="I267">
        <f t="shared" si="20"/>
        <v>5</v>
      </c>
      <c r="J267" s="2">
        <f t="shared" si="21"/>
        <v>0.64700000000000002</v>
      </c>
      <c r="K267">
        <f t="shared" si="22"/>
        <v>7.727975270479134</v>
      </c>
      <c r="L267" t="str">
        <f t="shared" si="23"/>
        <v>Funded</v>
      </c>
      <c r="M267">
        <f t="shared" si="24"/>
        <v>2.0448468969153368</v>
      </c>
    </row>
    <row r="268" spans="1:13" x14ac:dyDescent="0.25">
      <c r="A268" t="s">
        <v>680</v>
      </c>
      <c r="B268" t="s">
        <v>85</v>
      </c>
      <c r="C268" t="s">
        <v>125</v>
      </c>
      <c r="D268" t="s">
        <v>576</v>
      </c>
      <c r="E268" t="s">
        <v>20</v>
      </c>
      <c r="F268" t="s">
        <v>21</v>
      </c>
      <c r="H268">
        <v>1</v>
      </c>
      <c r="I268">
        <f t="shared" si="20"/>
        <v>5</v>
      </c>
      <c r="J268" s="2">
        <f t="shared" si="21"/>
        <v>1</v>
      </c>
      <c r="K268">
        <f t="shared" si="22"/>
        <v>5</v>
      </c>
      <c r="L268" t="str">
        <f t="shared" si="23"/>
        <v>Funded</v>
      </c>
      <c r="M268">
        <f t="shared" si="24"/>
        <v>1.6094379124341003</v>
      </c>
    </row>
    <row r="269" spans="1:13" x14ac:dyDescent="0.25">
      <c r="A269" t="s">
        <v>681</v>
      </c>
      <c r="B269" t="s">
        <v>85</v>
      </c>
      <c r="C269" t="s">
        <v>682</v>
      </c>
      <c r="D269" t="s">
        <v>292</v>
      </c>
      <c r="E269" t="s">
        <v>10</v>
      </c>
      <c r="F269" t="s">
        <v>11</v>
      </c>
      <c r="H269">
        <v>1</v>
      </c>
      <c r="I269">
        <f t="shared" si="20"/>
        <v>5</v>
      </c>
      <c r="J269" s="2">
        <f t="shared" si="21"/>
        <v>0.39500000000000002</v>
      </c>
      <c r="K269">
        <f t="shared" si="22"/>
        <v>12.658227848101266</v>
      </c>
      <c r="L269" t="str">
        <f t="shared" si="23"/>
        <v>Funded</v>
      </c>
      <c r="M269">
        <f t="shared" si="24"/>
        <v>2.5383074265151158</v>
      </c>
    </row>
    <row r="270" spans="1:13" x14ac:dyDescent="0.25">
      <c r="A270" t="s">
        <v>683</v>
      </c>
      <c r="B270" t="s">
        <v>85</v>
      </c>
      <c r="C270" t="s">
        <v>684</v>
      </c>
      <c r="D270" t="s">
        <v>685</v>
      </c>
      <c r="E270" t="s">
        <v>242</v>
      </c>
      <c r="F270" t="s">
        <v>21</v>
      </c>
      <c r="H270">
        <v>1</v>
      </c>
      <c r="I270">
        <f t="shared" si="20"/>
        <v>5</v>
      </c>
      <c r="J270" s="2">
        <f t="shared" si="21"/>
        <v>0.60399999999999998</v>
      </c>
      <c r="K270">
        <f t="shared" si="22"/>
        <v>8.2781456953642394</v>
      </c>
      <c r="L270" t="str">
        <f t="shared" si="23"/>
        <v>Funded</v>
      </c>
      <c r="M270">
        <f t="shared" si="24"/>
        <v>2.1136189934814227</v>
      </c>
    </row>
    <row r="271" spans="1:13" x14ac:dyDescent="0.25">
      <c r="A271" t="s">
        <v>686</v>
      </c>
      <c r="B271" t="s">
        <v>85</v>
      </c>
      <c r="C271" t="s">
        <v>47</v>
      </c>
      <c r="D271" t="s">
        <v>687</v>
      </c>
      <c r="E271" t="s">
        <v>10</v>
      </c>
      <c r="F271" t="s">
        <v>11</v>
      </c>
      <c r="H271">
        <v>1</v>
      </c>
      <c r="I271">
        <f t="shared" si="20"/>
        <v>5</v>
      </c>
      <c r="J271" s="2">
        <f t="shared" si="21"/>
        <v>2</v>
      </c>
      <c r="K271">
        <f t="shared" si="22"/>
        <v>2.5</v>
      </c>
      <c r="L271" t="str">
        <f t="shared" si="23"/>
        <v>Funded</v>
      </c>
      <c r="M271">
        <f t="shared" si="24"/>
        <v>0.91629073187415511</v>
      </c>
    </row>
    <row r="272" spans="1:13" x14ac:dyDescent="0.25">
      <c r="A272" t="s">
        <v>688</v>
      </c>
      <c r="B272" t="s">
        <v>85</v>
      </c>
      <c r="C272" t="s">
        <v>125</v>
      </c>
      <c r="D272" t="s">
        <v>689</v>
      </c>
      <c r="E272" t="s">
        <v>10</v>
      </c>
      <c r="F272" t="s">
        <v>11</v>
      </c>
      <c r="H272">
        <v>1</v>
      </c>
      <c r="I272">
        <f t="shared" si="20"/>
        <v>5</v>
      </c>
      <c r="J272" s="2">
        <f t="shared" si="21"/>
        <v>1</v>
      </c>
      <c r="K272">
        <f t="shared" si="22"/>
        <v>5</v>
      </c>
      <c r="L272" t="str">
        <f t="shared" si="23"/>
        <v>Funded</v>
      </c>
      <c r="M272">
        <f t="shared" si="24"/>
        <v>1.6094379124341003</v>
      </c>
    </row>
    <row r="273" spans="1:13" x14ac:dyDescent="0.25">
      <c r="A273" t="s">
        <v>690</v>
      </c>
      <c r="B273" t="s">
        <v>85</v>
      </c>
      <c r="C273" t="s">
        <v>691</v>
      </c>
      <c r="D273" t="s">
        <v>692</v>
      </c>
      <c r="E273" t="s">
        <v>10</v>
      </c>
      <c r="F273" t="s">
        <v>11</v>
      </c>
      <c r="H273">
        <v>1</v>
      </c>
      <c r="I273">
        <f t="shared" si="20"/>
        <v>5</v>
      </c>
      <c r="J273" s="2">
        <f t="shared" si="21"/>
        <v>0.48099999999999998</v>
      </c>
      <c r="K273">
        <f t="shared" si="22"/>
        <v>10.395010395010395</v>
      </c>
      <c r="L273" t="str">
        <f t="shared" si="23"/>
        <v>Funded</v>
      </c>
      <c r="M273">
        <f t="shared" si="24"/>
        <v>2.3413259213104762</v>
      </c>
    </row>
    <row r="274" spans="1:13" x14ac:dyDescent="0.25">
      <c r="A274" t="s">
        <v>693</v>
      </c>
      <c r="B274" t="s">
        <v>85</v>
      </c>
      <c r="C274" t="s">
        <v>694</v>
      </c>
      <c r="D274" t="s">
        <v>225</v>
      </c>
      <c r="E274" t="s">
        <v>10</v>
      </c>
      <c r="F274" t="s">
        <v>11</v>
      </c>
      <c r="H274">
        <v>1</v>
      </c>
      <c r="I274">
        <f t="shared" si="20"/>
        <v>5</v>
      </c>
      <c r="J274" s="2">
        <f t="shared" si="21"/>
        <v>0.33700000000000002</v>
      </c>
      <c r="K274">
        <f t="shared" si="22"/>
        <v>14.836795252225519</v>
      </c>
      <c r="L274" t="str">
        <f t="shared" si="23"/>
        <v>Funded</v>
      </c>
      <c r="M274">
        <f t="shared" si="24"/>
        <v>2.6971102610638757</v>
      </c>
    </row>
    <row r="275" spans="1:13" x14ac:dyDescent="0.25">
      <c r="A275" t="s">
        <v>695</v>
      </c>
      <c r="B275" t="s">
        <v>85</v>
      </c>
      <c r="C275" t="s">
        <v>436</v>
      </c>
      <c r="D275" t="s">
        <v>696</v>
      </c>
      <c r="E275" t="s">
        <v>10</v>
      </c>
      <c r="F275" t="s">
        <v>11</v>
      </c>
      <c r="H275">
        <v>1</v>
      </c>
      <c r="I275">
        <f t="shared" si="20"/>
        <v>5</v>
      </c>
      <c r="J275" s="2">
        <f t="shared" si="21"/>
        <v>0.55200000000000005</v>
      </c>
      <c r="K275">
        <f t="shared" si="22"/>
        <v>9.0579710144927521</v>
      </c>
      <c r="L275" t="str">
        <f t="shared" si="23"/>
        <v>Funded</v>
      </c>
      <c r="M275">
        <f t="shared" si="24"/>
        <v>2.2036451451391419</v>
      </c>
    </row>
    <row r="276" spans="1:13" x14ac:dyDescent="0.25">
      <c r="A276" t="s">
        <v>697</v>
      </c>
      <c r="B276" t="s">
        <v>85</v>
      </c>
      <c r="C276" t="s">
        <v>602</v>
      </c>
      <c r="D276" t="s">
        <v>698</v>
      </c>
      <c r="E276" t="s">
        <v>10</v>
      </c>
      <c r="F276" t="s">
        <v>11</v>
      </c>
      <c r="H276">
        <v>1</v>
      </c>
      <c r="I276">
        <f t="shared" si="20"/>
        <v>5</v>
      </c>
      <c r="J276" s="2">
        <f t="shared" si="21"/>
        <v>0.47499999999999998</v>
      </c>
      <c r="K276">
        <f t="shared" si="22"/>
        <v>10.526315789473685</v>
      </c>
      <c r="L276" t="str">
        <f t="shared" si="23"/>
        <v>Funded</v>
      </c>
      <c r="M276">
        <f t="shared" si="24"/>
        <v>2.3538783873815965</v>
      </c>
    </row>
    <row r="277" spans="1:13" x14ac:dyDescent="0.25">
      <c r="A277" t="s">
        <v>699</v>
      </c>
      <c r="B277" t="s">
        <v>85</v>
      </c>
      <c r="C277" s="1">
        <v>0</v>
      </c>
      <c r="D277" t="s">
        <v>700</v>
      </c>
      <c r="E277" t="s">
        <v>20</v>
      </c>
      <c r="F277" t="s">
        <v>21</v>
      </c>
      <c r="H277">
        <v>1</v>
      </c>
      <c r="I277">
        <f t="shared" si="20"/>
        <v>5</v>
      </c>
      <c r="J277" s="2">
        <f t="shared" si="21"/>
        <v>0</v>
      </c>
      <c r="K277" t="str">
        <f t="shared" si="22"/>
        <v/>
      </c>
      <c r="L277" t="str">
        <f t="shared" si="23"/>
        <v>Bootstrapped</v>
      </c>
      <c r="M277" t="str">
        <f t="shared" si="24"/>
        <v/>
      </c>
    </row>
    <row r="278" spans="1:13" x14ac:dyDescent="0.25">
      <c r="A278" t="s">
        <v>701</v>
      </c>
      <c r="B278" t="s">
        <v>53</v>
      </c>
      <c r="C278" t="s">
        <v>702</v>
      </c>
      <c r="D278" t="s">
        <v>703</v>
      </c>
      <c r="E278" t="s">
        <v>10</v>
      </c>
      <c r="F278" t="s">
        <v>11</v>
      </c>
      <c r="H278">
        <v>1</v>
      </c>
      <c r="I278">
        <f t="shared" si="20"/>
        <v>4</v>
      </c>
      <c r="J278" s="2">
        <f t="shared" si="21"/>
        <v>0.48</v>
      </c>
      <c r="K278">
        <f t="shared" si="22"/>
        <v>8.3333333333333339</v>
      </c>
      <c r="L278" t="str">
        <f t="shared" si="23"/>
        <v>Funded</v>
      </c>
      <c r="M278">
        <f t="shared" si="24"/>
        <v>2.120263536200091</v>
      </c>
    </row>
    <row r="279" spans="1:13" x14ac:dyDescent="0.25">
      <c r="A279" t="s">
        <v>704</v>
      </c>
      <c r="B279" t="s">
        <v>53</v>
      </c>
      <c r="C279" t="s">
        <v>375</v>
      </c>
      <c r="D279" t="s">
        <v>705</v>
      </c>
      <c r="E279" t="s">
        <v>187</v>
      </c>
      <c r="F279" t="s">
        <v>50</v>
      </c>
      <c r="H279">
        <v>1</v>
      </c>
      <c r="I279">
        <f t="shared" si="20"/>
        <v>4</v>
      </c>
      <c r="J279" s="2">
        <f t="shared" si="21"/>
        <v>0.752</v>
      </c>
      <c r="K279">
        <f t="shared" si="22"/>
        <v>5.3191489361702127</v>
      </c>
      <c r="L279" t="str">
        <f t="shared" si="23"/>
        <v>Funded</v>
      </c>
      <c r="M279">
        <f t="shared" si="24"/>
        <v>1.6713133161521878</v>
      </c>
    </row>
    <row r="280" spans="1:13" x14ac:dyDescent="0.25">
      <c r="A280" t="s">
        <v>706</v>
      </c>
      <c r="B280" t="s">
        <v>53</v>
      </c>
      <c r="C280" t="s">
        <v>47</v>
      </c>
      <c r="D280" t="s">
        <v>707</v>
      </c>
      <c r="E280" t="s">
        <v>20</v>
      </c>
      <c r="F280" t="s">
        <v>21</v>
      </c>
      <c r="H280">
        <v>1</v>
      </c>
      <c r="I280">
        <f t="shared" si="20"/>
        <v>4</v>
      </c>
      <c r="J280" s="2">
        <f t="shared" si="21"/>
        <v>2</v>
      </c>
      <c r="K280">
        <f t="shared" si="22"/>
        <v>2</v>
      </c>
      <c r="L280" t="str">
        <f t="shared" si="23"/>
        <v>Funded</v>
      </c>
      <c r="M280">
        <f t="shared" si="24"/>
        <v>0.69314718055994529</v>
      </c>
    </row>
    <row r="281" spans="1:13" x14ac:dyDescent="0.25">
      <c r="A281" t="s">
        <v>708</v>
      </c>
      <c r="B281" t="s">
        <v>53</v>
      </c>
      <c r="C281" t="s">
        <v>709</v>
      </c>
      <c r="D281" t="s">
        <v>710</v>
      </c>
      <c r="E281" t="s">
        <v>20</v>
      </c>
      <c r="F281" t="s">
        <v>21</v>
      </c>
      <c r="H281">
        <v>1</v>
      </c>
      <c r="I281">
        <f t="shared" si="20"/>
        <v>4</v>
      </c>
      <c r="J281" s="2">
        <f t="shared" si="21"/>
        <v>3.6999999999999998E-2</v>
      </c>
      <c r="K281">
        <f t="shared" si="22"/>
        <v>108.10810810810811</v>
      </c>
      <c r="L281" t="str">
        <f t="shared" si="23"/>
        <v>Funded</v>
      </c>
      <c r="M281">
        <f t="shared" si="24"/>
        <v>4.6831317274578037</v>
      </c>
    </row>
    <row r="282" spans="1:13" x14ac:dyDescent="0.25">
      <c r="A282" t="s">
        <v>711</v>
      </c>
      <c r="B282" t="s">
        <v>53</v>
      </c>
      <c r="C282" t="s">
        <v>712</v>
      </c>
      <c r="D282" t="s">
        <v>713</v>
      </c>
      <c r="E282" t="s">
        <v>10</v>
      </c>
      <c r="F282" t="s">
        <v>11</v>
      </c>
      <c r="H282">
        <v>1</v>
      </c>
      <c r="I282">
        <f t="shared" si="20"/>
        <v>4</v>
      </c>
      <c r="J282" s="2">
        <f t="shared" si="21"/>
        <v>0.48899999999999999</v>
      </c>
      <c r="K282">
        <f t="shared" si="22"/>
        <v>8.1799591002044991</v>
      </c>
      <c r="L282" t="str">
        <f t="shared" si="23"/>
        <v>Funded</v>
      </c>
      <c r="M282">
        <f t="shared" si="24"/>
        <v>2.1016871506271557</v>
      </c>
    </row>
    <row r="283" spans="1:13" x14ac:dyDescent="0.25">
      <c r="A283" t="s">
        <v>714</v>
      </c>
      <c r="B283" t="s">
        <v>53</v>
      </c>
      <c r="C283" t="s">
        <v>715</v>
      </c>
      <c r="D283" t="s">
        <v>389</v>
      </c>
      <c r="E283" t="s">
        <v>10</v>
      </c>
      <c r="F283" t="s">
        <v>11</v>
      </c>
      <c r="H283">
        <v>1</v>
      </c>
      <c r="I283">
        <f t="shared" si="20"/>
        <v>4</v>
      </c>
      <c r="J283" s="2">
        <f t="shared" si="21"/>
        <v>0.64300000000000002</v>
      </c>
      <c r="K283">
        <f t="shared" si="22"/>
        <v>6.2208398133748055</v>
      </c>
      <c r="L283" t="str">
        <f t="shared" si="23"/>
        <v>Funded</v>
      </c>
      <c r="M283">
        <f t="shared" si="24"/>
        <v>1.8279049158644083</v>
      </c>
    </row>
    <row r="284" spans="1:13" x14ac:dyDescent="0.25">
      <c r="A284" t="s">
        <v>716</v>
      </c>
      <c r="B284" t="s">
        <v>53</v>
      </c>
      <c r="C284" t="s">
        <v>717</v>
      </c>
      <c r="D284" t="s">
        <v>221</v>
      </c>
      <c r="E284" t="s">
        <v>10</v>
      </c>
      <c r="F284" t="s">
        <v>11</v>
      </c>
      <c r="H284">
        <v>1</v>
      </c>
      <c r="I284">
        <f t="shared" si="20"/>
        <v>4</v>
      </c>
      <c r="J284" s="2">
        <f t="shared" si="21"/>
        <v>0.82199999999999995</v>
      </c>
      <c r="K284">
        <f t="shared" si="22"/>
        <v>4.8661800486618008</v>
      </c>
      <c r="L284" t="str">
        <f t="shared" si="23"/>
        <v>Funded</v>
      </c>
      <c r="M284">
        <f t="shared" si="24"/>
        <v>1.5823092450458478</v>
      </c>
    </row>
    <row r="285" spans="1:13" x14ac:dyDescent="0.25">
      <c r="A285" t="s">
        <v>718</v>
      </c>
      <c r="B285" t="s">
        <v>53</v>
      </c>
      <c r="C285" t="s">
        <v>556</v>
      </c>
      <c r="D285" t="s">
        <v>719</v>
      </c>
      <c r="E285" t="s">
        <v>10</v>
      </c>
      <c r="F285" t="s">
        <v>11</v>
      </c>
      <c r="H285">
        <v>1</v>
      </c>
      <c r="I285">
        <f t="shared" si="20"/>
        <v>4</v>
      </c>
      <c r="J285" s="2">
        <f t="shared" si="21"/>
        <v>0.35</v>
      </c>
      <c r="K285">
        <f t="shared" si="22"/>
        <v>11.428571428571429</v>
      </c>
      <c r="L285" t="str">
        <f t="shared" si="23"/>
        <v>Funded</v>
      </c>
      <c r="M285">
        <f t="shared" si="24"/>
        <v>2.4361164856185682</v>
      </c>
    </row>
    <row r="286" spans="1:13" x14ac:dyDescent="0.25">
      <c r="A286" t="s">
        <v>720</v>
      </c>
      <c r="B286" t="s">
        <v>53</v>
      </c>
      <c r="C286" t="s">
        <v>721</v>
      </c>
      <c r="D286" t="s">
        <v>722</v>
      </c>
      <c r="E286" t="s">
        <v>10</v>
      </c>
      <c r="F286" t="s">
        <v>11</v>
      </c>
      <c r="H286">
        <v>1</v>
      </c>
      <c r="I286">
        <f t="shared" si="20"/>
        <v>4</v>
      </c>
      <c r="J286" s="2">
        <f t="shared" si="21"/>
        <v>0.80200000000000005</v>
      </c>
      <c r="K286">
        <f t="shared" si="22"/>
        <v>4.9875311720698248</v>
      </c>
      <c r="L286" t="str">
        <f t="shared" si="23"/>
        <v>Funded</v>
      </c>
      <c r="M286">
        <f t="shared" si="24"/>
        <v>1.6069410322355131</v>
      </c>
    </row>
    <row r="287" spans="1:13" x14ac:dyDescent="0.25">
      <c r="A287" t="s">
        <v>723</v>
      </c>
      <c r="B287" t="s">
        <v>53</v>
      </c>
      <c r="C287" t="s">
        <v>724</v>
      </c>
      <c r="D287" t="s">
        <v>339</v>
      </c>
      <c r="E287" t="s">
        <v>187</v>
      </c>
      <c r="F287" t="s">
        <v>50</v>
      </c>
      <c r="H287">
        <v>1</v>
      </c>
      <c r="I287">
        <f t="shared" si="20"/>
        <v>4</v>
      </c>
      <c r="J287" s="2">
        <f t="shared" si="21"/>
        <v>0.73899999999999999</v>
      </c>
      <c r="K287">
        <f t="shared" si="22"/>
        <v>5.4127198917456019</v>
      </c>
      <c r="L287" t="str">
        <f t="shared" si="23"/>
        <v>Funded</v>
      </c>
      <c r="M287">
        <f t="shared" si="24"/>
        <v>1.6887517191538259</v>
      </c>
    </row>
    <row r="288" spans="1:13" x14ac:dyDescent="0.25">
      <c r="A288" t="s">
        <v>725</v>
      </c>
      <c r="B288" t="s">
        <v>53</v>
      </c>
      <c r="C288" t="s">
        <v>726</v>
      </c>
      <c r="D288" t="s">
        <v>727</v>
      </c>
      <c r="E288" t="s">
        <v>10</v>
      </c>
      <c r="F288" t="s">
        <v>11</v>
      </c>
      <c r="H288">
        <v>1</v>
      </c>
      <c r="I288">
        <f t="shared" si="20"/>
        <v>4</v>
      </c>
      <c r="J288" s="2">
        <f t="shared" si="21"/>
        <v>0.498</v>
      </c>
      <c r="K288">
        <f t="shared" si="22"/>
        <v>8.0321285140562253</v>
      </c>
      <c r="L288" t="str">
        <f t="shared" si="23"/>
        <v>Funded</v>
      </c>
      <c r="M288">
        <f t="shared" si="24"/>
        <v>2.0834495630773748</v>
      </c>
    </row>
    <row r="289" spans="1:13" x14ac:dyDescent="0.25">
      <c r="A289" t="s">
        <v>728</v>
      </c>
      <c r="B289" t="s">
        <v>53</v>
      </c>
      <c r="C289" t="s">
        <v>729</v>
      </c>
      <c r="D289" t="s">
        <v>302</v>
      </c>
      <c r="E289" t="s">
        <v>10</v>
      </c>
      <c r="F289" t="s">
        <v>11</v>
      </c>
      <c r="H289">
        <v>1</v>
      </c>
      <c r="I289">
        <f t="shared" si="20"/>
        <v>4</v>
      </c>
      <c r="J289" s="2">
        <f t="shared" si="21"/>
        <v>0.70699999999999996</v>
      </c>
      <c r="K289">
        <f t="shared" si="22"/>
        <v>5.6577086280056577</v>
      </c>
      <c r="L289" t="str">
        <f t="shared" si="23"/>
        <v>Funded</v>
      </c>
      <c r="M289">
        <f t="shared" si="24"/>
        <v>1.7330189742054549</v>
      </c>
    </row>
    <row r="290" spans="1:13" x14ac:dyDescent="0.25">
      <c r="A290" t="s">
        <v>730</v>
      </c>
      <c r="B290" t="s">
        <v>53</v>
      </c>
      <c r="C290" t="s">
        <v>47</v>
      </c>
      <c r="D290" t="s">
        <v>731</v>
      </c>
      <c r="E290" t="s">
        <v>20</v>
      </c>
      <c r="F290" t="s">
        <v>21</v>
      </c>
      <c r="H290">
        <v>1</v>
      </c>
      <c r="I290">
        <f t="shared" si="20"/>
        <v>4</v>
      </c>
      <c r="J290" s="2">
        <f t="shared" si="21"/>
        <v>2</v>
      </c>
      <c r="K290">
        <f t="shared" si="22"/>
        <v>2</v>
      </c>
      <c r="L290" t="str">
        <f t="shared" si="23"/>
        <v>Funded</v>
      </c>
      <c r="M290">
        <f t="shared" si="24"/>
        <v>0.69314718055994529</v>
      </c>
    </row>
    <row r="291" spans="1:13" x14ac:dyDescent="0.25">
      <c r="A291" t="s">
        <v>732</v>
      </c>
      <c r="B291" t="s">
        <v>53</v>
      </c>
      <c r="C291" t="s">
        <v>733</v>
      </c>
      <c r="D291" t="s">
        <v>177</v>
      </c>
      <c r="E291" t="s">
        <v>10</v>
      </c>
      <c r="F291" t="s">
        <v>11</v>
      </c>
      <c r="H291">
        <v>1</v>
      </c>
      <c r="I291">
        <f t="shared" si="20"/>
        <v>4</v>
      </c>
      <c r="J291" s="2">
        <f t="shared" si="21"/>
        <v>7.0000000000000001E-3</v>
      </c>
      <c r="K291">
        <f t="shared" si="22"/>
        <v>571.42857142857144</v>
      </c>
      <c r="L291" t="str">
        <f t="shared" si="23"/>
        <v>Funded</v>
      </c>
      <c r="M291">
        <f t="shared" si="24"/>
        <v>6.3481394910467142</v>
      </c>
    </row>
    <row r="292" spans="1:13" x14ac:dyDescent="0.25">
      <c r="A292" t="s">
        <v>734</v>
      </c>
      <c r="B292" t="s">
        <v>53</v>
      </c>
      <c r="C292" t="s">
        <v>735</v>
      </c>
      <c r="E292" t="s">
        <v>384</v>
      </c>
      <c r="F292" t="s">
        <v>21</v>
      </c>
      <c r="H292">
        <v>1</v>
      </c>
      <c r="I292">
        <f t="shared" si="20"/>
        <v>4</v>
      </c>
      <c r="J292" s="2">
        <f t="shared" si="21"/>
        <v>0.70199999999999996</v>
      </c>
      <c r="K292">
        <f t="shared" si="22"/>
        <v>5.6980056980056988</v>
      </c>
      <c r="L292" t="str">
        <f t="shared" si="23"/>
        <v>Funded</v>
      </c>
      <c r="M292">
        <f t="shared" si="24"/>
        <v>1.7401162360762168</v>
      </c>
    </row>
    <row r="293" spans="1:13" x14ac:dyDescent="0.25">
      <c r="A293" t="s">
        <v>736</v>
      </c>
      <c r="B293" t="s">
        <v>53</v>
      </c>
      <c r="C293" t="s">
        <v>125</v>
      </c>
      <c r="D293" t="s">
        <v>737</v>
      </c>
      <c r="E293" t="s">
        <v>294</v>
      </c>
      <c r="F293" t="s">
        <v>21</v>
      </c>
      <c r="H293">
        <v>1</v>
      </c>
      <c r="I293">
        <f t="shared" si="20"/>
        <v>4</v>
      </c>
      <c r="J293" s="2">
        <f t="shared" si="21"/>
        <v>1</v>
      </c>
      <c r="K293">
        <f t="shared" si="22"/>
        <v>4</v>
      </c>
      <c r="L293" t="str">
        <f t="shared" si="23"/>
        <v>Funded</v>
      </c>
      <c r="M293">
        <f t="shared" si="24"/>
        <v>1.3862943611198906</v>
      </c>
    </row>
    <row r="294" spans="1:13" x14ac:dyDescent="0.25">
      <c r="A294" t="s">
        <v>738</v>
      </c>
      <c r="B294" t="s">
        <v>53</v>
      </c>
      <c r="C294" t="s">
        <v>556</v>
      </c>
      <c r="D294" t="s">
        <v>739</v>
      </c>
      <c r="E294" t="s">
        <v>10</v>
      </c>
      <c r="F294" t="s">
        <v>11</v>
      </c>
      <c r="H294">
        <v>1</v>
      </c>
      <c r="I294">
        <f t="shared" si="20"/>
        <v>4</v>
      </c>
      <c r="J294" s="2">
        <f t="shared" si="21"/>
        <v>0.35</v>
      </c>
      <c r="K294">
        <f t="shared" si="22"/>
        <v>11.428571428571429</v>
      </c>
      <c r="L294" t="str">
        <f t="shared" si="23"/>
        <v>Funded</v>
      </c>
      <c r="M294">
        <f t="shared" si="24"/>
        <v>2.4361164856185682</v>
      </c>
    </row>
    <row r="295" spans="1:13" x14ac:dyDescent="0.25">
      <c r="A295" t="s">
        <v>740</v>
      </c>
      <c r="B295" t="s">
        <v>53</v>
      </c>
      <c r="C295" t="s">
        <v>480</v>
      </c>
      <c r="D295" t="s">
        <v>741</v>
      </c>
      <c r="E295" t="s">
        <v>10</v>
      </c>
      <c r="F295" t="s">
        <v>11</v>
      </c>
      <c r="H295">
        <v>1</v>
      </c>
      <c r="I295">
        <f t="shared" si="20"/>
        <v>4</v>
      </c>
      <c r="J295" s="2">
        <f t="shared" si="21"/>
        <v>0.66400000000000003</v>
      </c>
      <c r="K295">
        <f t="shared" si="22"/>
        <v>6.0240963855421681</v>
      </c>
      <c r="L295" t="str">
        <f t="shared" si="23"/>
        <v>Funded</v>
      </c>
      <c r="M295">
        <f t="shared" si="24"/>
        <v>1.7957674906255938</v>
      </c>
    </row>
    <row r="296" spans="1:13" x14ac:dyDescent="0.25">
      <c r="A296" t="s">
        <v>742</v>
      </c>
      <c r="B296" t="s">
        <v>53</v>
      </c>
      <c r="C296" t="s">
        <v>125</v>
      </c>
      <c r="D296" t="s">
        <v>97</v>
      </c>
      <c r="E296" t="s">
        <v>10</v>
      </c>
      <c r="F296" t="s">
        <v>11</v>
      </c>
      <c r="H296">
        <v>1</v>
      </c>
      <c r="I296">
        <f t="shared" si="20"/>
        <v>4</v>
      </c>
      <c r="J296" s="2">
        <f t="shared" si="21"/>
        <v>1</v>
      </c>
      <c r="K296">
        <f t="shared" si="22"/>
        <v>4</v>
      </c>
      <c r="L296" t="str">
        <f t="shared" si="23"/>
        <v>Funded</v>
      </c>
      <c r="M296">
        <f t="shared" si="24"/>
        <v>1.3862943611198906</v>
      </c>
    </row>
    <row r="297" spans="1:13" x14ac:dyDescent="0.25">
      <c r="A297" t="s">
        <v>743</v>
      </c>
      <c r="B297" t="s">
        <v>53</v>
      </c>
      <c r="C297" t="s">
        <v>631</v>
      </c>
      <c r="D297" t="s">
        <v>722</v>
      </c>
      <c r="E297" t="s">
        <v>10</v>
      </c>
      <c r="F297" t="s">
        <v>11</v>
      </c>
      <c r="H297">
        <v>1</v>
      </c>
      <c r="I297">
        <f t="shared" si="20"/>
        <v>4</v>
      </c>
      <c r="J297" s="2">
        <f t="shared" si="21"/>
        <v>0.48699999999999999</v>
      </c>
      <c r="K297">
        <f t="shared" si="22"/>
        <v>8.2135523613963048</v>
      </c>
      <c r="L297" t="str">
        <f t="shared" si="23"/>
        <v>Funded</v>
      </c>
      <c r="M297">
        <f t="shared" si="24"/>
        <v>2.1057855170194379</v>
      </c>
    </row>
    <row r="298" spans="1:13" x14ac:dyDescent="0.25">
      <c r="A298" t="s">
        <v>744</v>
      </c>
      <c r="B298" t="s">
        <v>53</v>
      </c>
      <c r="C298" t="s">
        <v>745</v>
      </c>
      <c r="D298" t="s">
        <v>746</v>
      </c>
      <c r="E298" t="s">
        <v>187</v>
      </c>
      <c r="F298" t="s">
        <v>50</v>
      </c>
      <c r="H298">
        <v>1</v>
      </c>
      <c r="I298">
        <f t="shared" si="20"/>
        <v>4</v>
      </c>
      <c r="J298" s="2">
        <f t="shared" si="21"/>
        <v>0.441</v>
      </c>
      <c r="K298">
        <f t="shared" si="22"/>
        <v>9.0702947845804989</v>
      </c>
      <c r="L298" t="str">
        <f t="shared" si="23"/>
        <v>Funded</v>
      </c>
      <c r="M298">
        <f t="shared" si="24"/>
        <v>2.2050047646551816</v>
      </c>
    </row>
    <row r="299" spans="1:13" x14ac:dyDescent="0.25">
      <c r="A299" t="s">
        <v>747</v>
      </c>
      <c r="B299" t="s">
        <v>53</v>
      </c>
      <c r="C299" t="s">
        <v>558</v>
      </c>
      <c r="D299" t="s">
        <v>389</v>
      </c>
      <c r="E299" t="s">
        <v>10</v>
      </c>
      <c r="F299" t="s">
        <v>11</v>
      </c>
      <c r="H299">
        <v>1</v>
      </c>
      <c r="I299">
        <f t="shared" si="20"/>
        <v>4</v>
      </c>
      <c r="J299" s="2">
        <f t="shared" si="21"/>
        <v>0.503</v>
      </c>
      <c r="K299">
        <f t="shared" si="22"/>
        <v>7.9522862823061633</v>
      </c>
      <c r="L299" t="str">
        <f t="shared" si="23"/>
        <v>Funded</v>
      </c>
      <c r="M299">
        <f t="shared" si="24"/>
        <v>2.0734594700022884</v>
      </c>
    </row>
    <row r="300" spans="1:13" x14ac:dyDescent="0.25">
      <c r="A300" t="s">
        <v>748</v>
      </c>
      <c r="B300" t="s">
        <v>53</v>
      </c>
      <c r="C300" t="s">
        <v>749</v>
      </c>
      <c r="D300" t="s">
        <v>750</v>
      </c>
      <c r="E300" t="s">
        <v>20</v>
      </c>
      <c r="F300" t="s">
        <v>21</v>
      </c>
      <c r="H300">
        <v>1</v>
      </c>
      <c r="I300">
        <f t="shared" si="20"/>
        <v>4</v>
      </c>
      <c r="J300" s="2">
        <f t="shared" si="21"/>
        <v>0.89900000000000002</v>
      </c>
      <c r="K300">
        <f t="shared" si="22"/>
        <v>4.4493882091212456</v>
      </c>
      <c r="L300" t="str">
        <f t="shared" si="23"/>
        <v>Funded</v>
      </c>
      <c r="M300">
        <f t="shared" si="24"/>
        <v>1.4927666056304074</v>
      </c>
    </row>
    <row r="301" spans="1:13" x14ac:dyDescent="0.25">
      <c r="A301" t="s">
        <v>751</v>
      </c>
      <c r="B301" t="s">
        <v>53</v>
      </c>
      <c r="C301" s="1">
        <v>0</v>
      </c>
      <c r="D301" t="s">
        <v>752</v>
      </c>
      <c r="E301" t="s">
        <v>365</v>
      </c>
      <c r="F301" t="s">
        <v>11</v>
      </c>
      <c r="H301">
        <v>1</v>
      </c>
      <c r="I301">
        <f t="shared" si="20"/>
        <v>4</v>
      </c>
      <c r="J301" s="2">
        <f t="shared" si="21"/>
        <v>0</v>
      </c>
      <c r="K301" t="str">
        <f t="shared" si="22"/>
        <v/>
      </c>
      <c r="L301" t="str">
        <f t="shared" si="23"/>
        <v>Bootstrapped</v>
      </c>
      <c r="M301" t="str">
        <f t="shared" si="24"/>
        <v/>
      </c>
    </row>
    <row r="302" spans="1:13" x14ac:dyDescent="0.25">
      <c r="A302" t="s">
        <v>753</v>
      </c>
      <c r="B302" t="s">
        <v>53</v>
      </c>
      <c r="C302" t="s">
        <v>754</v>
      </c>
      <c r="D302" t="s">
        <v>755</v>
      </c>
      <c r="E302" t="s">
        <v>756</v>
      </c>
      <c r="F302" t="s">
        <v>50</v>
      </c>
      <c r="H302">
        <v>1</v>
      </c>
      <c r="I302">
        <f t="shared" si="20"/>
        <v>4</v>
      </c>
      <c r="J302" s="2">
        <f t="shared" si="21"/>
        <v>0.55400000000000005</v>
      </c>
      <c r="K302">
        <f t="shared" si="22"/>
        <v>7.2202166064981945</v>
      </c>
      <c r="L302" t="str">
        <f t="shared" si="23"/>
        <v>Funded</v>
      </c>
      <c r="M302">
        <f t="shared" si="24"/>
        <v>1.9768849533547439</v>
      </c>
    </row>
    <row r="303" spans="1:13" x14ac:dyDescent="0.25">
      <c r="A303" t="s">
        <v>757</v>
      </c>
      <c r="B303" t="s">
        <v>53</v>
      </c>
      <c r="C303" t="s">
        <v>125</v>
      </c>
      <c r="D303" t="s">
        <v>758</v>
      </c>
      <c r="E303" t="s">
        <v>10</v>
      </c>
      <c r="F303" t="s">
        <v>11</v>
      </c>
      <c r="H303">
        <v>1</v>
      </c>
      <c r="I303">
        <f t="shared" si="20"/>
        <v>4</v>
      </c>
      <c r="J303" s="2">
        <f t="shared" si="21"/>
        <v>1</v>
      </c>
      <c r="K303">
        <f t="shared" si="22"/>
        <v>4</v>
      </c>
      <c r="L303" t="str">
        <f t="shared" si="23"/>
        <v>Funded</v>
      </c>
      <c r="M303">
        <f t="shared" si="24"/>
        <v>1.3862943611198906</v>
      </c>
    </row>
    <row r="304" spans="1:13" x14ac:dyDescent="0.25">
      <c r="A304" t="s">
        <v>759</v>
      </c>
      <c r="B304" t="s">
        <v>53</v>
      </c>
      <c r="C304" t="s">
        <v>628</v>
      </c>
      <c r="D304" t="s">
        <v>760</v>
      </c>
      <c r="E304" t="s">
        <v>10</v>
      </c>
      <c r="F304" t="s">
        <v>11</v>
      </c>
      <c r="H304">
        <v>1</v>
      </c>
      <c r="I304">
        <f t="shared" si="20"/>
        <v>4</v>
      </c>
      <c r="J304" s="2">
        <f t="shared" si="21"/>
        <v>0.17</v>
      </c>
      <c r="K304">
        <f t="shared" si="22"/>
        <v>23.52941176470588</v>
      </c>
      <c r="L304" t="str">
        <f t="shared" si="23"/>
        <v>Funded</v>
      </c>
      <c r="M304">
        <f t="shared" si="24"/>
        <v>3.158251203051766</v>
      </c>
    </row>
    <row r="305" spans="1:13" x14ac:dyDescent="0.25">
      <c r="A305" t="s">
        <v>761</v>
      </c>
      <c r="B305" t="s">
        <v>53</v>
      </c>
      <c r="C305" t="s">
        <v>286</v>
      </c>
      <c r="D305" t="s">
        <v>500</v>
      </c>
      <c r="E305" t="s">
        <v>49</v>
      </c>
      <c r="F305" t="s">
        <v>50</v>
      </c>
      <c r="H305">
        <v>1</v>
      </c>
      <c r="I305">
        <f t="shared" si="20"/>
        <v>4</v>
      </c>
      <c r="J305" s="2">
        <f t="shared" si="21"/>
        <v>0.98899999999999999</v>
      </c>
      <c r="K305">
        <f t="shared" si="22"/>
        <v>4.0444893832153692</v>
      </c>
      <c r="L305" t="str">
        <f t="shared" si="23"/>
        <v>Funded</v>
      </c>
      <c r="M305">
        <f t="shared" si="24"/>
        <v>1.3973553084793155</v>
      </c>
    </row>
    <row r="306" spans="1:13" x14ac:dyDescent="0.25">
      <c r="A306" t="s">
        <v>762</v>
      </c>
      <c r="B306" t="s">
        <v>53</v>
      </c>
      <c r="C306" t="s">
        <v>283</v>
      </c>
      <c r="D306" t="s">
        <v>254</v>
      </c>
      <c r="E306" t="s">
        <v>10</v>
      </c>
      <c r="F306" t="s">
        <v>11</v>
      </c>
      <c r="H306">
        <v>1</v>
      </c>
      <c r="I306">
        <f t="shared" si="20"/>
        <v>4</v>
      </c>
      <c r="J306" s="2">
        <f t="shared" si="21"/>
        <v>0.86299999999999999</v>
      </c>
      <c r="K306">
        <f t="shared" si="22"/>
        <v>4.6349942062572422</v>
      </c>
      <c r="L306" t="str">
        <f t="shared" si="23"/>
        <v>Funded</v>
      </c>
      <c r="M306">
        <f t="shared" si="24"/>
        <v>1.5336349490185996</v>
      </c>
    </row>
    <row r="307" spans="1:13" x14ac:dyDescent="0.25">
      <c r="A307" t="s">
        <v>763</v>
      </c>
      <c r="B307" t="s">
        <v>53</v>
      </c>
      <c r="C307" t="s">
        <v>764</v>
      </c>
      <c r="D307" t="s">
        <v>765</v>
      </c>
      <c r="E307" t="s">
        <v>62</v>
      </c>
      <c r="F307" t="s">
        <v>63</v>
      </c>
      <c r="H307">
        <v>1</v>
      </c>
      <c r="I307">
        <f t="shared" si="20"/>
        <v>4</v>
      </c>
      <c r="J307" s="2">
        <f t="shared" si="21"/>
        <v>0.61699999999999999</v>
      </c>
      <c r="K307">
        <f t="shared" si="22"/>
        <v>6.4829821717990272</v>
      </c>
      <c r="L307" t="str">
        <f t="shared" si="23"/>
        <v>Funded</v>
      </c>
      <c r="M307">
        <f t="shared" si="24"/>
        <v>1.8691806161966398</v>
      </c>
    </row>
    <row r="308" spans="1:13" x14ac:dyDescent="0.25">
      <c r="A308" t="s">
        <v>766</v>
      </c>
      <c r="B308" t="s">
        <v>53</v>
      </c>
      <c r="C308" t="s">
        <v>767</v>
      </c>
      <c r="D308" t="s">
        <v>768</v>
      </c>
      <c r="E308" t="s">
        <v>10</v>
      </c>
      <c r="F308" t="s">
        <v>11</v>
      </c>
      <c r="H308">
        <v>1</v>
      </c>
      <c r="I308">
        <f t="shared" si="20"/>
        <v>4</v>
      </c>
      <c r="J308" s="2">
        <f t="shared" si="21"/>
        <v>0.84499999999999997</v>
      </c>
      <c r="K308">
        <f t="shared" si="22"/>
        <v>4.7337278106508878</v>
      </c>
      <c r="L308" t="str">
        <f t="shared" si="23"/>
        <v>Funded</v>
      </c>
      <c r="M308">
        <f t="shared" si="24"/>
        <v>1.5547130127448539</v>
      </c>
    </row>
    <row r="309" spans="1:13" x14ac:dyDescent="0.25">
      <c r="A309" t="s">
        <v>769</v>
      </c>
      <c r="B309" t="s">
        <v>53</v>
      </c>
      <c r="C309" t="s">
        <v>770</v>
      </c>
      <c r="D309" t="s">
        <v>771</v>
      </c>
      <c r="E309" t="s">
        <v>10</v>
      </c>
      <c r="F309" t="s">
        <v>11</v>
      </c>
      <c r="H309">
        <v>1</v>
      </c>
      <c r="I309">
        <f t="shared" si="20"/>
        <v>4</v>
      </c>
      <c r="J309" s="2">
        <f t="shared" si="21"/>
        <v>0.307</v>
      </c>
      <c r="K309">
        <f t="shared" si="22"/>
        <v>13.029315960912053</v>
      </c>
      <c r="L309" t="str">
        <f t="shared" si="23"/>
        <v>Funded</v>
      </c>
      <c r="M309">
        <f t="shared" si="24"/>
        <v>2.5672018925148308</v>
      </c>
    </row>
    <row r="310" spans="1:13" x14ac:dyDescent="0.25">
      <c r="A310" t="s">
        <v>772</v>
      </c>
      <c r="B310" t="s">
        <v>53</v>
      </c>
      <c r="C310" t="s">
        <v>267</v>
      </c>
      <c r="D310" t="s">
        <v>773</v>
      </c>
      <c r="E310" t="s">
        <v>10</v>
      </c>
      <c r="F310" t="s">
        <v>11</v>
      </c>
      <c r="H310">
        <v>1</v>
      </c>
      <c r="I310">
        <f t="shared" si="20"/>
        <v>4</v>
      </c>
      <c r="J310" s="2">
        <f t="shared" si="21"/>
        <v>0.497</v>
      </c>
      <c r="K310">
        <f t="shared" si="22"/>
        <v>8.0482897384305829</v>
      </c>
      <c r="L310" t="str">
        <f t="shared" si="23"/>
        <v>Funded</v>
      </c>
      <c r="M310">
        <f t="shared" si="24"/>
        <v>2.0854596140053987</v>
      </c>
    </row>
    <row r="311" spans="1:13" x14ac:dyDescent="0.25">
      <c r="A311" t="s">
        <v>774</v>
      </c>
      <c r="B311" t="s">
        <v>53</v>
      </c>
      <c r="C311" t="s">
        <v>125</v>
      </c>
      <c r="D311" t="s">
        <v>341</v>
      </c>
      <c r="E311" t="s">
        <v>10</v>
      </c>
      <c r="F311" t="s">
        <v>11</v>
      </c>
      <c r="H311">
        <v>1</v>
      </c>
      <c r="I311">
        <f t="shared" si="20"/>
        <v>4</v>
      </c>
      <c r="J311" s="2">
        <f t="shared" si="21"/>
        <v>1</v>
      </c>
      <c r="K311">
        <f t="shared" si="22"/>
        <v>4</v>
      </c>
      <c r="L311" t="str">
        <f t="shared" si="23"/>
        <v>Funded</v>
      </c>
      <c r="M311">
        <f t="shared" si="24"/>
        <v>1.3862943611198906</v>
      </c>
    </row>
    <row r="312" spans="1:13" x14ac:dyDescent="0.25">
      <c r="A312" t="s">
        <v>775</v>
      </c>
      <c r="B312" t="s">
        <v>53</v>
      </c>
      <c r="C312" t="s">
        <v>125</v>
      </c>
      <c r="D312" t="s">
        <v>776</v>
      </c>
      <c r="E312" t="s">
        <v>10</v>
      </c>
      <c r="F312" t="s">
        <v>11</v>
      </c>
      <c r="H312">
        <v>1</v>
      </c>
      <c r="I312">
        <f t="shared" si="20"/>
        <v>4</v>
      </c>
      <c r="J312" s="2">
        <f t="shared" si="21"/>
        <v>1</v>
      </c>
      <c r="K312">
        <f t="shared" si="22"/>
        <v>4</v>
      </c>
      <c r="L312" t="str">
        <f t="shared" si="23"/>
        <v>Funded</v>
      </c>
      <c r="M312">
        <f t="shared" si="24"/>
        <v>1.3862943611198906</v>
      </c>
    </row>
    <row r="313" spans="1:13" x14ac:dyDescent="0.25">
      <c r="A313" t="s">
        <v>777</v>
      </c>
      <c r="B313" t="s">
        <v>53</v>
      </c>
      <c r="C313" t="s">
        <v>778</v>
      </c>
      <c r="D313" t="s">
        <v>409</v>
      </c>
      <c r="E313" t="s">
        <v>10</v>
      </c>
      <c r="F313" t="s">
        <v>11</v>
      </c>
      <c r="H313">
        <v>1</v>
      </c>
      <c r="I313">
        <f t="shared" si="20"/>
        <v>4</v>
      </c>
      <c r="J313" s="2">
        <f t="shared" si="21"/>
        <v>0.66700000000000004</v>
      </c>
      <c r="K313">
        <f t="shared" si="22"/>
        <v>5.9970014992503744</v>
      </c>
      <c r="L313" t="str">
        <f t="shared" si="23"/>
        <v>Funded</v>
      </c>
      <c r="M313">
        <f t="shared" si="24"/>
        <v>1.7912595941864038</v>
      </c>
    </row>
    <row r="314" spans="1:13" x14ac:dyDescent="0.25">
      <c r="A314" t="s">
        <v>779</v>
      </c>
      <c r="B314" t="s">
        <v>53</v>
      </c>
      <c r="C314" t="s">
        <v>780</v>
      </c>
      <c r="D314" t="s">
        <v>781</v>
      </c>
      <c r="E314" t="s">
        <v>10</v>
      </c>
      <c r="F314" t="s">
        <v>11</v>
      </c>
      <c r="H314">
        <v>1</v>
      </c>
      <c r="I314">
        <f t="shared" si="20"/>
        <v>4</v>
      </c>
      <c r="J314" s="2">
        <f t="shared" si="21"/>
        <v>0.45</v>
      </c>
      <c r="K314">
        <f t="shared" si="22"/>
        <v>8.8888888888888893</v>
      </c>
      <c r="L314" t="str">
        <f t="shared" si="23"/>
        <v>Funded</v>
      </c>
      <c r="M314">
        <f t="shared" si="24"/>
        <v>2.1848020573376621</v>
      </c>
    </row>
    <row r="315" spans="1:13" x14ac:dyDescent="0.25">
      <c r="A315" t="s">
        <v>782</v>
      </c>
      <c r="B315" t="s">
        <v>53</v>
      </c>
      <c r="C315" t="s">
        <v>783</v>
      </c>
      <c r="D315" t="s">
        <v>137</v>
      </c>
      <c r="E315" t="s">
        <v>10</v>
      </c>
      <c r="F315" t="s">
        <v>11</v>
      </c>
      <c r="H315">
        <v>1</v>
      </c>
      <c r="I315">
        <f t="shared" si="20"/>
        <v>4</v>
      </c>
      <c r="J315" s="2">
        <f t="shared" si="21"/>
        <v>0.61399999999999999</v>
      </c>
      <c r="K315">
        <f t="shared" si="22"/>
        <v>6.5146579804560263</v>
      </c>
      <c r="L315" t="str">
        <f t="shared" si="23"/>
        <v>Funded</v>
      </c>
      <c r="M315">
        <f t="shared" si="24"/>
        <v>1.8740547119548852</v>
      </c>
    </row>
    <row r="316" spans="1:13" x14ac:dyDescent="0.25">
      <c r="A316" t="s">
        <v>784</v>
      </c>
      <c r="B316" t="s">
        <v>53</v>
      </c>
      <c r="C316" t="s">
        <v>785</v>
      </c>
      <c r="D316" t="s">
        <v>786</v>
      </c>
      <c r="E316" t="s">
        <v>787</v>
      </c>
      <c r="F316" t="s">
        <v>50</v>
      </c>
      <c r="H316">
        <v>1</v>
      </c>
      <c r="I316">
        <f t="shared" si="20"/>
        <v>4</v>
      </c>
      <c r="J316" s="2">
        <f t="shared" si="21"/>
        <v>0.25</v>
      </c>
      <c r="K316">
        <f t="shared" si="22"/>
        <v>16</v>
      </c>
      <c r="L316" t="str">
        <f t="shared" si="23"/>
        <v>Funded</v>
      </c>
      <c r="M316">
        <f t="shared" si="24"/>
        <v>2.7725887222397811</v>
      </c>
    </row>
    <row r="317" spans="1:13" x14ac:dyDescent="0.25">
      <c r="A317" t="s">
        <v>788</v>
      </c>
      <c r="B317" t="s">
        <v>53</v>
      </c>
      <c r="C317" t="s">
        <v>789</v>
      </c>
      <c r="D317" t="s">
        <v>790</v>
      </c>
      <c r="E317" t="s">
        <v>10</v>
      </c>
      <c r="F317" t="s">
        <v>11</v>
      </c>
      <c r="H317">
        <v>1</v>
      </c>
      <c r="I317">
        <f t="shared" si="20"/>
        <v>4</v>
      </c>
      <c r="J317" s="2">
        <f t="shared" si="21"/>
        <v>0.11</v>
      </c>
      <c r="K317">
        <f t="shared" si="22"/>
        <v>36.363636363636367</v>
      </c>
      <c r="L317" t="str">
        <f t="shared" si="23"/>
        <v>Funded</v>
      </c>
      <c r="M317">
        <f t="shared" si="24"/>
        <v>3.5935692743096115</v>
      </c>
    </row>
    <row r="318" spans="1:13" x14ac:dyDescent="0.25">
      <c r="A318" t="s">
        <v>791</v>
      </c>
      <c r="B318" t="s">
        <v>53</v>
      </c>
      <c r="C318" t="s">
        <v>792</v>
      </c>
      <c r="D318" t="s">
        <v>790</v>
      </c>
      <c r="E318" t="s">
        <v>10</v>
      </c>
      <c r="F318" t="s">
        <v>11</v>
      </c>
      <c r="H318">
        <v>1</v>
      </c>
      <c r="I318">
        <f t="shared" si="20"/>
        <v>4</v>
      </c>
      <c r="J318" s="2">
        <f t="shared" si="21"/>
        <v>0.53500000000000003</v>
      </c>
      <c r="K318">
        <f t="shared" si="22"/>
        <v>7.4766355140186915</v>
      </c>
      <c r="L318" t="str">
        <f t="shared" si="23"/>
        <v>Funded</v>
      </c>
      <c r="M318">
        <f t="shared" si="24"/>
        <v>2.0117828932060213</v>
      </c>
    </row>
    <row r="319" spans="1:13" x14ac:dyDescent="0.25">
      <c r="A319" t="s">
        <v>793</v>
      </c>
      <c r="B319" t="s">
        <v>53</v>
      </c>
      <c r="C319" t="s">
        <v>794</v>
      </c>
      <c r="D319" t="s">
        <v>66</v>
      </c>
      <c r="E319" t="s">
        <v>10</v>
      </c>
      <c r="F319" t="s">
        <v>11</v>
      </c>
      <c r="H319">
        <v>1</v>
      </c>
      <c r="I319">
        <f t="shared" si="20"/>
        <v>4</v>
      </c>
      <c r="J319" s="2">
        <f t="shared" si="21"/>
        <v>0.41299999999999998</v>
      </c>
      <c r="K319">
        <f t="shared" si="22"/>
        <v>9.6852300242130749</v>
      </c>
      <c r="L319" t="str">
        <f t="shared" si="23"/>
        <v>Funded</v>
      </c>
      <c r="M319">
        <f t="shared" si="24"/>
        <v>2.2706020471409949</v>
      </c>
    </row>
    <row r="320" spans="1:13" x14ac:dyDescent="0.25">
      <c r="A320" t="s">
        <v>795</v>
      </c>
      <c r="B320" t="s">
        <v>53</v>
      </c>
      <c r="C320" t="s">
        <v>125</v>
      </c>
      <c r="D320" t="s">
        <v>503</v>
      </c>
      <c r="E320" t="s">
        <v>20</v>
      </c>
      <c r="F320" t="s">
        <v>21</v>
      </c>
      <c r="H320">
        <v>1</v>
      </c>
      <c r="I320">
        <f t="shared" si="20"/>
        <v>4</v>
      </c>
      <c r="J320" s="2">
        <f t="shared" si="21"/>
        <v>1</v>
      </c>
      <c r="K320">
        <f t="shared" si="22"/>
        <v>4</v>
      </c>
      <c r="L320" t="str">
        <f t="shared" si="23"/>
        <v>Funded</v>
      </c>
      <c r="M320">
        <f t="shared" si="24"/>
        <v>1.3862943611198906</v>
      </c>
    </row>
    <row r="321" spans="1:13" x14ac:dyDescent="0.25">
      <c r="A321" t="s">
        <v>796</v>
      </c>
      <c r="B321" t="s">
        <v>53</v>
      </c>
      <c r="C321" t="s">
        <v>797</v>
      </c>
      <c r="D321" t="s">
        <v>798</v>
      </c>
      <c r="E321" t="s">
        <v>10</v>
      </c>
      <c r="F321" t="s">
        <v>11</v>
      </c>
      <c r="H321">
        <v>1</v>
      </c>
      <c r="I321">
        <f t="shared" si="20"/>
        <v>4</v>
      </c>
      <c r="J321" s="2">
        <f t="shared" si="21"/>
        <v>0.52300000000000002</v>
      </c>
      <c r="K321">
        <f t="shared" si="22"/>
        <v>7.6481835564053533</v>
      </c>
      <c r="L321" t="str">
        <f t="shared" si="23"/>
        <v>Funded</v>
      </c>
      <c r="M321">
        <f t="shared" si="24"/>
        <v>2.0344681760371048</v>
      </c>
    </row>
    <row r="322" spans="1:13" x14ac:dyDescent="0.25">
      <c r="A322" t="s">
        <v>799</v>
      </c>
      <c r="B322" t="s">
        <v>53</v>
      </c>
      <c r="C322" t="s">
        <v>800</v>
      </c>
      <c r="E322" t="s">
        <v>10</v>
      </c>
      <c r="F322" t="s">
        <v>11</v>
      </c>
      <c r="H322">
        <v>1</v>
      </c>
      <c r="I322">
        <f t="shared" si="20"/>
        <v>4</v>
      </c>
      <c r="J322" s="2">
        <f t="shared" si="21"/>
        <v>1E-3</v>
      </c>
      <c r="K322">
        <f t="shared" si="22"/>
        <v>4000</v>
      </c>
      <c r="L322" t="str">
        <f t="shared" si="23"/>
        <v>Funded</v>
      </c>
      <c r="M322">
        <f t="shared" si="24"/>
        <v>8.2940496401020276</v>
      </c>
    </row>
    <row r="323" spans="1:13" x14ac:dyDescent="0.25">
      <c r="A323" t="s">
        <v>801</v>
      </c>
      <c r="B323" t="s">
        <v>53</v>
      </c>
      <c r="C323" t="s">
        <v>125</v>
      </c>
      <c r="D323" t="s">
        <v>802</v>
      </c>
      <c r="E323" t="s">
        <v>10</v>
      </c>
      <c r="F323" t="s">
        <v>11</v>
      </c>
      <c r="H323">
        <v>1</v>
      </c>
      <c r="I323">
        <f t="shared" ref="I323:I386" si="25">IF(B323="","",
VALUE(SUBSTITUTE(SUBSTITUTE(B323,"$",""),"B","")))</f>
        <v>4</v>
      </c>
      <c r="J323" s="2">
        <f t="shared" ref="J323:J386" si="26">IF(C323="","",
IF(C323="$0",0,
IF(RIGHT(C323,1)="B",
VALUE(SUBSTITUTE(SUBSTITUTE(C323,"$",""),"B","")),
IF(RIGHT(C323,1)="M",
VALUE(SUBSTITUTE(SUBSTITUTE(C323,"$",""),"M",""))/1000,
IF(RIGHT(C323,1)="K",
VALUE(SUBSTITUTE(SUBSTITUTE(C323,"$",""),"K",""))/1000000,
VALUE(SUBSTITUTE(C323,"$",""))
)))))</f>
        <v>1</v>
      </c>
      <c r="K323">
        <f t="shared" ref="K323:K386" si="27">IF(J323&gt;0,I323/J323,"")</f>
        <v>4</v>
      </c>
      <c r="L323" t="str">
        <f t="shared" ref="L323:L386" si="28">IF(J323=0,"Bootstrapped","Funded")</f>
        <v>Funded</v>
      </c>
      <c r="M323">
        <f t="shared" ref="M323:M386" si="29">IF(AND(I323&gt;0,J323&gt;0),LN(I323/J323),"")</f>
        <v>1.3862943611198906</v>
      </c>
    </row>
    <row r="324" spans="1:13" x14ac:dyDescent="0.25">
      <c r="A324" t="s">
        <v>803</v>
      </c>
      <c r="B324" t="s">
        <v>53</v>
      </c>
      <c r="C324" t="s">
        <v>804</v>
      </c>
      <c r="D324" t="s">
        <v>79</v>
      </c>
      <c r="E324" t="s">
        <v>10</v>
      </c>
      <c r="F324" t="s">
        <v>11</v>
      </c>
      <c r="H324">
        <v>1</v>
      </c>
      <c r="I324">
        <f t="shared" si="25"/>
        <v>4</v>
      </c>
      <c r="J324" s="2">
        <f t="shared" si="26"/>
        <v>0.33500000000000002</v>
      </c>
      <c r="K324">
        <f t="shared" si="27"/>
        <v>11.940298507462686</v>
      </c>
      <c r="L324" t="str">
        <f t="shared" si="28"/>
        <v>Funded</v>
      </c>
      <c r="M324">
        <f t="shared" si="29"/>
        <v>2.4799191082769609</v>
      </c>
    </row>
    <row r="325" spans="1:13" x14ac:dyDescent="0.25">
      <c r="A325" t="s">
        <v>805</v>
      </c>
      <c r="B325" t="s">
        <v>53</v>
      </c>
      <c r="C325" t="s">
        <v>806</v>
      </c>
      <c r="D325" t="s">
        <v>469</v>
      </c>
      <c r="E325" t="s">
        <v>10</v>
      </c>
      <c r="F325" t="s">
        <v>11</v>
      </c>
      <c r="H325">
        <v>1</v>
      </c>
      <c r="I325">
        <f t="shared" si="25"/>
        <v>4</v>
      </c>
      <c r="J325" s="2">
        <f t="shared" si="26"/>
        <v>0.36599999999999999</v>
      </c>
      <c r="K325">
        <f t="shared" si="27"/>
        <v>10.928961748633879</v>
      </c>
      <c r="L325" t="str">
        <f t="shared" si="28"/>
        <v>Funded</v>
      </c>
      <c r="M325">
        <f t="shared" si="29"/>
        <v>2.3914163067006613</v>
      </c>
    </row>
    <row r="326" spans="1:13" x14ac:dyDescent="0.25">
      <c r="A326" t="s">
        <v>807</v>
      </c>
      <c r="B326" t="s">
        <v>53</v>
      </c>
      <c r="C326" t="s">
        <v>808</v>
      </c>
      <c r="D326" t="s">
        <v>809</v>
      </c>
      <c r="E326" t="s">
        <v>10</v>
      </c>
      <c r="F326" t="s">
        <v>11</v>
      </c>
      <c r="H326">
        <v>1</v>
      </c>
      <c r="I326">
        <f t="shared" si="25"/>
        <v>4</v>
      </c>
      <c r="J326" s="2">
        <f t="shared" si="26"/>
        <v>0.72499999999999998</v>
      </c>
      <c r="K326">
        <f t="shared" si="27"/>
        <v>5.5172413793103452</v>
      </c>
      <c r="L326" t="str">
        <f t="shared" si="28"/>
        <v>Funded</v>
      </c>
      <c r="M326">
        <f t="shared" si="29"/>
        <v>1.7078779852473529</v>
      </c>
    </row>
    <row r="327" spans="1:13" x14ac:dyDescent="0.25">
      <c r="A327" t="s">
        <v>810</v>
      </c>
      <c r="B327" t="s">
        <v>53</v>
      </c>
      <c r="C327" t="s">
        <v>125</v>
      </c>
      <c r="D327" t="s">
        <v>811</v>
      </c>
      <c r="E327" t="s">
        <v>10</v>
      </c>
      <c r="F327" t="s">
        <v>11</v>
      </c>
      <c r="H327">
        <v>1</v>
      </c>
      <c r="I327">
        <f t="shared" si="25"/>
        <v>4</v>
      </c>
      <c r="J327" s="2">
        <f t="shared" si="26"/>
        <v>1</v>
      </c>
      <c r="K327">
        <f t="shared" si="27"/>
        <v>4</v>
      </c>
      <c r="L327" t="str">
        <f t="shared" si="28"/>
        <v>Funded</v>
      </c>
      <c r="M327">
        <f t="shared" si="29"/>
        <v>1.3862943611198906</v>
      </c>
    </row>
    <row r="328" spans="1:13" x14ac:dyDescent="0.25">
      <c r="A328" t="s">
        <v>812</v>
      </c>
      <c r="B328" t="s">
        <v>53</v>
      </c>
      <c r="C328" t="s">
        <v>47</v>
      </c>
      <c r="D328" t="s">
        <v>813</v>
      </c>
      <c r="E328" t="s">
        <v>10</v>
      </c>
      <c r="F328" t="s">
        <v>11</v>
      </c>
      <c r="H328">
        <v>1</v>
      </c>
      <c r="I328">
        <f t="shared" si="25"/>
        <v>4</v>
      </c>
      <c r="J328" s="2">
        <f t="shared" si="26"/>
        <v>2</v>
      </c>
      <c r="K328">
        <f t="shared" si="27"/>
        <v>2</v>
      </c>
      <c r="L328" t="str">
        <f t="shared" si="28"/>
        <v>Funded</v>
      </c>
      <c r="M328">
        <f t="shared" si="29"/>
        <v>0.69314718055994529</v>
      </c>
    </row>
    <row r="329" spans="1:13" x14ac:dyDescent="0.25">
      <c r="A329" t="s">
        <v>814</v>
      </c>
      <c r="B329" t="s">
        <v>53</v>
      </c>
      <c r="C329" t="s">
        <v>815</v>
      </c>
      <c r="D329" t="s">
        <v>816</v>
      </c>
      <c r="E329" t="s">
        <v>49</v>
      </c>
      <c r="F329" t="s">
        <v>50</v>
      </c>
      <c r="H329">
        <v>1</v>
      </c>
      <c r="I329">
        <f t="shared" si="25"/>
        <v>4</v>
      </c>
      <c r="J329" s="2">
        <f t="shared" si="26"/>
        <v>0.53700000000000003</v>
      </c>
      <c r="K329">
        <f t="shared" si="27"/>
        <v>7.4487895716945989</v>
      </c>
      <c r="L329" t="str">
        <f t="shared" si="28"/>
        <v>Funded</v>
      </c>
      <c r="M329">
        <f t="shared" si="29"/>
        <v>2.0080515455931627</v>
      </c>
    </row>
    <row r="330" spans="1:13" x14ac:dyDescent="0.25">
      <c r="A330" t="s">
        <v>817</v>
      </c>
      <c r="B330" t="s">
        <v>53</v>
      </c>
      <c r="C330" t="s">
        <v>47</v>
      </c>
      <c r="D330" t="s">
        <v>818</v>
      </c>
      <c r="E330" t="s">
        <v>10</v>
      </c>
      <c r="F330" t="s">
        <v>11</v>
      </c>
      <c r="H330">
        <v>1</v>
      </c>
      <c r="I330">
        <f t="shared" si="25"/>
        <v>4</v>
      </c>
      <c r="J330" s="2">
        <f t="shared" si="26"/>
        <v>2</v>
      </c>
      <c r="K330">
        <f t="shared" si="27"/>
        <v>2</v>
      </c>
      <c r="L330" t="str">
        <f t="shared" si="28"/>
        <v>Funded</v>
      </c>
      <c r="M330">
        <f t="shared" si="29"/>
        <v>0.69314718055994529</v>
      </c>
    </row>
    <row r="331" spans="1:13" x14ac:dyDescent="0.25">
      <c r="A331" t="s">
        <v>819</v>
      </c>
      <c r="B331" t="s">
        <v>53</v>
      </c>
      <c r="C331" t="s">
        <v>804</v>
      </c>
      <c r="D331" t="s">
        <v>820</v>
      </c>
      <c r="E331" t="s">
        <v>10</v>
      </c>
      <c r="F331" t="s">
        <v>11</v>
      </c>
      <c r="H331">
        <v>1</v>
      </c>
      <c r="I331">
        <f t="shared" si="25"/>
        <v>4</v>
      </c>
      <c r="J331" s="2">
        <f t="shared" si="26"/>
        <v>0.33500000000000002</v>
      </c>
      <c r="K331">
        <f t="shared" si="27"/>
        <v>11.940298507462686</v>
      </c>
      <c r="L331" t="str">
        <f t="shared" si="28"/>
        <v>Funded</v>
      </c>
      <c r="M331">
        <f t="shared" si="29"/>
        <v>2.4799191082769609</v>
      </c>
    </row>
    <row r="332" spans="1:13" x14ac:dyDescent="0.25">
      <c r="A332" t="s">
        <v>821</v>
      </c>
      <c r="B332" t="s">
        <v>53</v>
      </c>
      <c r="C332" t="s">
        <v>253</v>
      </c>
      <c r="D332" t="s">
        <v>156</v>
      </c>
      <c r="E332" t="s">
        <v>10</v>
      </c>
      <c r="F332" t="s">
        <v>11</v>
      </c>
      <c r="H332">
        <v>1</v>
      </c>
      <c r="I332">
        <f t="shared" si="25"/>
        <v>4</v>
      </c>
      <c r="J332" s="2">
        <f t="shared" si="26"/>
        <v>0.63500000000000001</v>
      </c>
      <c r="K332">
        <f t="shared" si="27"/>
        <v>6.2992125984251963</v>
      </c>
      <c r="L332" t="str">
        <f t="shared" si="28"/>
        <v>Funded</v>
      </c>
      <c r="M332">
        <f t="shared" si="29"/>
        <v>1.8404246412093359</v>
      </c>
    </row>
    <row r="333" spans="1:13" x14ac:dyDescent="0.25">
      <c r="A333" t="s">
        <v>822</v>
      </c>
      <c r="B333" t="s">
        <v>53</v>
      </c>
      <c r="C333" t="s">
        <v>556</v>
      </c>
      <c r="D333" t="s">
        <v>823</v>
      </c>
      <c r="E333" t="s">
        <v>10</v>
      </c>
      <c r="F333" t="s">
        <v>11</v>
      </c>
      <c r="H333">
        <v>1</v>
      </c>
      <c r="I333">
        <f t="shared" si="25"/>
        <v>4</v>
      </c>
      <c r="J333" s="2">
        <f t="shared" si="26"/>
        <v>0.35</v>
      </c>
      <c r="K333">
        <f t="shared" si="27"/>
        <v>11.428571428571429</v>
      </c>
      <c r="L333" t="str">
        <f t="shared" si="28"/>
        <v>Funded</v>
      </c>
      <c r="M333">
        <f t="shared" si="29"/>
        <v>2.4361164856185682</v>
      </c>
    </row>
    <row r="334" spans="1:13" x14ac:dyDescent="0.25">
      <c r="A334" t="s">
        <v>824</v>
      </c>
      <c r="B334" t="s">
        <v>53</v>
      </c>
      <c r="C334" t="s">
        <v>53</v>
      </c>
      <c r="D334" t="s">
        <v>825</v>
      </c>
      <c r="E334" t="s">
        <v>20</v>
      </c>
      <c r="F334" t="s">
        <v>21</v>
      </c>
      <c r="H334">
        <v>1</v>
      </c>
      <c r="I334">
        <f t="shared" si="25"/>
        <v>4</v>
      </c>
      <c r="J334" s="2">
        <f t="shared" si="26"/>
        <v>4</v>
      </c>
      <c r="K334">
        <f t="shared" si="27"/>
        <v>1</v>
      </c>
      <c r="L334" t="str">
        <f t="shared" si="28"/>
        <v>Funded</v>
      </c>
      <c r="M334">
        <f t="shared" si="29"/>
        <v>0</v>
      </c>
    </row>
    <row r="335" spans="1:13" x14ac:dyDescent="0.25">
      <c r="A335" t="s">
        <v>826</v>
      </c>
      <c r="B335" t="s">
        <v>53</v>
      </c>
      <c r="C335" t="s">
        <v>599</v>
      </c>
      <c r="D335" t="s">
        <v>827</v>
      </c>
      <c r="E335" t="s">
        <v>20</v>
      </c>
      <c r="F335" t="s">
        <v>21</v>
      </c>
      <c r="H335">
        <v>1</v>
      </c>
      <c r="I335">
        <f t="shared" si="25"/>
        <v>4</v>
      </c>
      <c r="J335" s="2">
        <f t="shared" si="26"/>
        <v>0.76200000000000001</v>
      </c>
      <c r="K335">
        <f t="shared" si="27"/>
        <v>5.2493438320209975</v>
      </c>
      <c r="L335" t="str">
        <f t="shared" si="28"/>
        <v>Funded</v>
      </c>
      <c r="M335">
        <f t="shared" si="29"/>
        <v>1.6581030844153815</v>
      </c>
    </row>
    <row r="336" spans="1:13" x14ac:dyDescent="0.25">
      <c r="A336" t="s">
        <v>828</v>
      </c>
      <c r="B336" t="s">
        <v>53</v>
      </c>
      <c r="C336" t="s">
        <v>829</v>
      </c>
      <c r="D336" t="s">
        <v>97</v>
      </c>
      <c r="E336" t="s">
        <v>10</v>
      </c>
      <c r="F336" t="s">
        <v>11</v>
      </c>
      <c r="H336">
        <v>1</v>
      </c>
      <c r="I336">
        <f t="shared" si="25"/>
        <v>4</v>
      </c>
      <c r="J336" s="2">
        <f t="shared" si="26"/>
        <v>0.96799999999999997</v>
      </c>
      <c r="K336">
        <f t="shared" si="27"/>
        <v>4.1322314049586781</v>
      </c>
      <c r="L336" t="str">
        <f t="shared" si="28"/>
        <v>Funded</v>
      </c>
      <c r="M336">
        <f t="shared" si="29"/>
        <v>1.4188175528254507</v>
      </c>
    </row>
    <row r="337" spans="1:13" x14ac:dyDescent="0.25">
      <c r="A337" t="s">
        <v>830</v>
      </c>
      <c r="B337" t="s">
        <v>53</v>
      </c>
      <c r="C337" t="s">
        <v>831</v>
      </c>
      <c r="D337" t="s">
        <v>832</v>
      </c>
      <c r="E337" t="s">
        <v>20</v>
      </c>
      <c r="F337" t="s">
        <v>21</v>
      </c>
      <c r="H337">
        <v>1</v>
      </c>
      <c r="I337">
        <f t="shared" si="25"/>
        <v>4</v>
      </c>
      <c r="J337" s="2">
        <f t="shared" si="26"/>
        <v>0.91200000000000003</v>
      </c>
      <c r="K337">
        <f t="shared" si="27"/>
        <v>4.3859649122807012</v>
      </c>
      <c r="L337" t="str">
        <f t="shared" si="28"/>
        <v>Funded</v>
      </c>
      <c r="M337">
        <f t="shared" si="29"/>
        <v>1.4784096500276962</v>
      </c>
    </row>
    <row r="338" spans="1:13" x14ac:dyDescent="0.25">
      <c r="A338" t="s">
        <v>833</v>
      </c>
      <c r="B338" t="s">
        <v>53</v>
      </c>
      <c r="C338" t="s">
        <v>834</v>
      </c>
      <c r="D338" t="s">
        <v>835</v>
      </c>
      <c r="E338" t="s">
        <v>10</v>
      </c>
      <c r="F338" t="s">
        <v>11</v>
      </c>
      <c r="H338">
        <v>1</v>
      </c>
      <c r="I338">
        <f t="shared" si="25"/>
        <v>4</v>
      </c>
      <c r="J338" s="2">
        <f t="shared" si="26"/>
        <v>0.495</v>
      </c>
      <c r="K338">
        <f t="shared" si="27"/>
        <v>8.0808080808080813</v>
      </c>
      <c r="L338" t="str">
        <f t="shared" si="28"/>
        <v>Funded</v>
      </c>
      <c r="M338">
        <f t="shared" si="29"/>
        <v>2.0894918775333373</v>
      </c>
    </row>
    <row r="339" spans="1:13" x14ac:dyDescent="0.25">
      <c r="A339" t="s">
        <v>836</v>
      </c>
      <c r="B339" t="s">
        <v>53</v>
      </c>
      <c r="C339" t="s">
        <v>837</v>
      </c>
      <c r="D339" t="s">
        <v>376</v>
      </c>
      <c r="E339" t="s">
        <v>10</v>
      </c>
      <c r="F339" t="s">
        <v>11</v>
      </c>
      <c r="H339">
        <v>1</v>
      </c>
      <c r="I339">
        <f t="shared" si="25"/>
        <v>4</v>
      </c>
      <c r="J339" s="2">
        <f t="shared" si="26"/>
        <v>0.872</v>
      </c>
      <c r="K339">
        <f t="shared" si="27"/>
        <v>4.5871559633027523</v>
      </c>
      <c r="L339" t="str">
        <f t="shared" si="28"/>
        <v>Funded</v>
      </c>
      <c r="M339">
        <f t="shared" si="29"/>
        <v>1.523260216193048</v>
      </c>
    </row>
    <row r="340" spans="1:13" x14ac:dyDescent="0.25">
      <c r="A340" t="s">
        <v>838</v>
      </c>
      <c r="B340" t="s">
        <v>53</v>
      </c>
      <c r="C340" t="s">
        <v>81</v>
      </c>
      <c r="D340" t="s">
        <v>839</v>
      </c>
      <c r="E340" t="s">
        <v>44</v>
      </c>
      <c r="F340" t="s">
        <v>21</v>
      </c>
      <c r="H340">
        <v>1</v>
      </c>
      <c r="I340">
        <f t="shared" si="25"/>
        <v>4</v>
      </c>
      <c r="J340" s="2">
        <f t="shared" si="26"/>
        <v>3</v>
      </c>
      <c r="K340">
        <f t="shared" si="27"/>
        <v>1.3333333333333333</v>
      </c>
      <c r="L340" t="str">
        <f t="shared" si="28"/>
        <v>Funded</v>
      </c>
      <c r="M340">
        <f t="shared" si="29"/>
        <v>0.28768207245178085</v>
      </c>
    </row>
    <row r="341" spans="1:13" x14ac:dyDescent="0.25">
      <c r="A341" t="s">
        <v>840</v>
      </c>
      <c r="B341" t="s">
        <v>53</v>
      </c>
      <c r="C341" t="s">
        <v>841</v>
      </c>
      <c r="D341" t="s">
        <v>177</v>
      </c>
      <c r="E341" t="s">
        <v>170</v>
      </c>
      <c r="F341" t="s">
        <v>50</v>
      </c>
      <c r="H341">
        <v>1</v>
      </c>
      <c r="I341">
        <f t="shared" si="25"/>
        <v>4</v>
      </c>
      <c r="J341" s="2">
        <f t="shared" si="26"/>
        <v>0.72</v>
      </c>
      <c r="K341">
        <f t="shared" si="27"/>
        <v>5.5555555555555554</v>
      </c>
      <c r="L341" t="str">
        <f t="shared" si="28"/>
        <v>Funded</v>
      </c>
      <c r="M341">
        <f t="shared" si="29"/>
        <v>1.7147984280919266</v>
      </c>
    </row>
    <row r="342" spans="1:13" x14ac:dyDescent="0.25">
      <c r="A342" t="s">
        <v>842</v>
      </c>
      <c r="B342" t="s">
        <v>53</v>
      </c>
      <c r="C342" t="s">
        <v>125</v>
      </c>
      <c r="E342" t="s">
        <v>20</v>
      </c>
      <c r="F342" t="s">
        <v>21</v>
      </c>
      <c r="H342">
        <v>1</v>
      </c>
      <c r="I342">
        <f t="shared" si="25"/>
        <v>4</v>
      </c>
      <c r="J342" s="2">
        <f t="shared" si="26"/>
        <v>1</v>
      </c>
      <c r="K342">
        <f t="shared" si="27"/>
        <v>4</v>
      </c>
      <c r="L342" t="str">
        <f t="shared" si="28"/>
        <v>Funded</v>
      </c>
      <c r="M342">
        <f t="shared" si="29"/>
        <v>1.3862943611198906</v>
      </c>
    </row>
    <row r="343" spans="1:13" x14ac:dyDescent="0.25">
      <c r="A343" t="s">
        <v>843</v>
      </c>
      <c r="B343" t="s">
        <v>53</v>
      </c>
      <c r="C343" t="s">
        <v>125</v>
      </c>
      <c r="D343" t="s">
        <v>844</v>
      </c>
      <c r="E343" t="s">
        <v>365</v>
      </c>
      <c r="F343" t="s">
        <v>11</v>
      </c>
      <c r="H343">
        <v>1</v>
      </c>
      <c r="I343">
        <f t="shared" si="25"/>
        <v>4</v>
      </c>
      <c r="J343" s="2">
        <f t="shared" si="26"/>
        <v>1</v>
      </c>
      <c r="K343">
        <f t="shared" si="27"/>
        <v>4</v>
      </c>
      <c r="L343" t="str">
        <f t="shared" si="28"/>
        <v>Funded</v>
      </c>
      <c r="M343">
        <f t="shared" si="29"/>
        <v>1.3862943611198906</v>
      </c>
    </row>
    <row r="344" spans="1:13" x14ac:dyDescent="0.25">
      <c r="A344" t="s">
        <v>845</v>
      </c>
      <c r="B344" t="s">
        <v>53</v>
      </c>
      <c r="C344" t="s">
        <v>846</v>
      </c>
      <c r="D344" t="s">
        <v>309</v>
      </c>
      <c r="E344" t="s">
        <v>10</v>
      </c>
      <c r="F344" t="s">
        <v>11</v>
      </c>
      <c r="H344">
        <v>1</v>
      </c>
      <c r="I344">
        <f t="shared" si="25"/>
        <v>4</v>
      </c>
      <c r="J344" s="2">
        <f t="shared" si="26"/>
        <v>0.60299999999999998</v>
      </c>
      <c r="K344">
        <f t="shared" si="27"/>
        <v>6.6334991708126037</v>
      </c>
      <c r="L344" t="str">
        <f t="shared" si="28"/>
        <v>Funded</v>
      </c>
      <c r="M344">
        <f t="shared" si="29"/>
        <v>1.8921324433748423</v>
      </c>
    </row>
    <row r="345" spans="1:13" x14ac:dyDescent="0.25">
      <c r="A345" t="s">
        <v>847</v>
      </c>
      <c r="B345" t="s">
        <v>53</v>
      </c>
      <c r="C345" t="s">
        <v>47</v>
      </c>
      <c r="D345" t="s">
        <v>177</v>
      </c>
      <c r="E345" t="s">
        <v>10</v>
      </c>
      <c r="F345" t="s">
        <v>11</v>
      </c>
      <c r="H345">
        <v>1</v>
      </c>
      <c r="I345">
        <f t="shared" si="25"/>
        <v>4</v>
      </c>
      <c r="J345" s="2">
        <f t="shared" si="26"/>
        <v>2</v>
      </c>
      <c r="K345">
        <f t="shared" si="27"/>
        <v>2</v>
      </c>
      <c r="L345" t="str">
        <f t="shared" si="28"/>
        <v>Funded</v>
      </c>
      <c r="M345">
        <f t="shared" si="29"/>
        <v>0.69314718055994529</v>
      </c>
    </row>
    <row r="346" spans="1:13" x14ac:dyDescent="0.25">
      <c r="A346" t="s">
        <v>848</v>
      </c>
      <c r="B346" t="s">
        <v>53</v>
      </c>
      <c r="C346" t="s">
        <v>849</v>
      </c>
      <c r="D346" t="s">
        <v>850</v>
      </c>
      <c r="E346" t="s">
        <v>10</v>
      </c>
      <c r="F346" t="s">
        <v>11</v>
      </c>
      <c r="H346">
        <v>1</v>
      </c>
      <c r="I346">
        <f t="shared" si="25"/>
        <v>4</v>
      </c>
      <c r="J346" s="2">
        <f t="shared" si="26"/>
        <v>0.8</v>
      </c>
      <c r="K346">
        <f t="shared" si="27"/>
        <v>5</v>
      </c>
      <c r="L346" t="str">
        <f t="shared" si="28"/>
        <v>Funded</v>
      </c>
      <c r="M346">
        <f t="shared" si="29"/>
        <v>1.6094379124341003</v>
      </c>
    </row>
    <row r="347" spans="1:13" x14ac:dyDescent="0.25">
      <c r="A347" t="s">
        <v>851</v>
      </c>
      <c r="B347" t="s">
        <v>53</v>
      </c>
      <c r="C347" t="s">
        <v>852</v>
      </c>
      <c r="D347" t="s">
        <v>389</v>
      </c>
      <c r="E347" t="s">
        <v>10</v>
      </c>
      <c r="F347" t="s">
        <v>11</v>
      </c>
      <c r="H347">
        <v>1</v>
      </c>
      <c r="I347">
        <f t="shared" si="25"/>
        <v>4</v>
      </c>
      <c r="J347" s="2">
        <f t="shared" si="26"/>
        <v>0.84699999999999998</v>
      </c>
      <c r="K347">
        <f t="shared" si="27"/>
        <v>4.7225501770956315</v>
      </c>
      <c r="L347" t="str">
        <f t="shared" si="28"/>
        <v>Funded</v>
      </c>
      <c r="M347">
        <f t="shared" si="29"/>
        <v>1.5523489454499733</v>
      </c>
    </row>
    <row r="348" spans="1:13" x14ac:dyDescent="0.25">
      <c r="A348" t="s">
        <v>853</v>
      </c>
      <c r="B348" t="s">
        <v>53</v>
      </c>
      <c r="C348" t="s">
        <v>854</v>
      </c>
      <c r="D348" t="s">
        <v>496</v>
      </c>
      <c r="E348" t="s">
        <v>10</v>
      </c>
      <c r="F348" t="s">
        <v>11</v>
      </c>
      <c r="H348">
        <v>1</v>
      </c>
      <c r="I348">
        <f t="shared" si="25"/>
        <v>4</v>
      </c>
      <c r="J348" s="2">
        <f t="shared" si="26"/>
        <v>0.44</v>
      </c>
      <c r="K348">
        <f t="shared" si="27"/>
        <v>9.0909090909090917</v>
      </c>
      <c r="L348" t="str">
        <f t="shared" si="28"/>
        <v>Funded</v>
      </c>
      <c r="M348">
        <f t="shared" si="29"/>
        <v>2.2072749131897211</v>
      </c>
    </row>
    <row r="349" spans="1:13" x14ac:dyDescent="0.25">
      <c r="A349" t="s">
        <v>855</v>
      </c>
      <c r="B349" t="s">
        <v>53</v>
      </c>
      <c r="C349" t="s">
        <v>856</v>
      </c>
      <c r="D349" t="s">
        <v>380</v>
      </c>
      <c r="E349" t="s">
        <v>10</v>
      </c>
      <c r="F349" t="s">
        <v>11</v>
      </c>
      <c r="H349">
        <v>1</v>
      </c>
      <c r="I349">
        <f t="shared" si="25"/>
        <v>4</v>
      </c>
      <c r="J349" s="2">
        <f t="shared" si="26"/>
        <v>0.65900000000000003</v>
      </c>
      <c r="K349">
        <f t="shared" si="27"/>
        <v>6.0698027314112286</v>
      </c>
      <c r="L349" t="str">
        <f t="shared" si="28"/>
        <v>Funded</v>
      </c>
      <c r="M349">
        <f t="shared" si="29"/>
        <v>1.8033261055995204</v>
      </c>
    </row>
    <row r="350" spans="1:13" x14ac:dyDescent="0.25">
      <c r="A350" t="s">
        <v>857</v>
      </c>
      <c r="B350" t="s">
        <v>53</v>
      </c>
      <c r="C350" t="s">
        <v>858</v>
      </c>
      <c r="D350" t="s">
        <v>859</v>
      </c>
      <c r="E350" t="s">
        <v>10</v>
      </c>
      <c r="F350" t="s">
        <v>11</v>
      </c>
      <c r="H350">
        <v>1</v>
      </c>
      <c r="I350">
        <f t="shared" si="25"/>
        <v>4</v>
      </c>
      <c r="J350" s="2">
        <f t="shared" si="26"/>
        <v>0.49299999999999999</v>
      </c>
      <c r="K350">
        <f t="shared" si="27"/>
        <v>8.1135902636916839</v>
      </c>
      <c r="L350" t="str">
        <f t="shared" si="28"/>
        <v>Funded</v>
      </c>
      <c r="M350">
        <f t="shared" si="29"/>
        <v>2.0935404660593377</v>
      </c>
    </row>
    <row r="351" spans="1:13" x14ac:dyDescent="0.25">
      <c r="A351" t="s">
        <v>860</v>
      </c>
      <c r="B351" t="s">
        <v>53</v>
      </c>
      <c r="C351" t="s">
        <v>861</v>
      </c>
      <c r="D351" t="s">
        <v>862</v>
      </c>
      <c r="E351" t="s">
        <v>10</v>
      </c>
      <c r="F351" t="s">
        <v>11</v>
      </c>
      <c r="H351">
        <v>1</v>
      </c>
      <c r="I351">
        <f t="shared" si="25"/>
        <v>4</v>
      </c>
      <c r="J351" s="2">
        <f t="shared" si="26"/>
        <v>0.53300000000000003</v>
      </c>
      <c r="K351">
        <f t="shared" si="27"/>
        <v>7.5046904315196992</v>
      </c>
      <c r="L351" t="str">
        <f t="shared" si="28"/>
        <v>Funded</v>
      </c>
      <c r="M351">
        <f t="shared" si="29"/>
        <v>2.0155282159361829</v>
      </c>
    </row>
    <row r="352" spans="1:13" x14ac:dyDescent="0.25">
      <c r="A352" t="s">
        <v>863</v>
      </c>
      <c r="B352" t="s">
        <v>53</v>
      </c>
      <c r="C352" t="s">
        <v>864</v>
      </c>
      <c r="D352" t="s">
        <v>380</v>
      </c>
      <c r="E352" t="s">
        <v>10</v>
      </c>
      <c r="F352" t="s">
        <v>11</v>
      </c>
      <c r="H352">
        <v>1</v>
      </c>
      <c r="I352">
        <f t="shared" si="25"/>
        <v>4</v>
      </c>
      <c r="J352" s="2">
        <f t="shared" si="26"/>
        <v>0.125</v>
      </c>
      <c r="K352">
        <f t="shared" si="27"/>
        <v>32</v>
      </c>
      <c r="L352" t="str">
        <f t="shared" si="28"/>
        <v>Funded</v>
      </c>
      <c r="M352">
        <f t="shared" si="29"/>
        <v>3.4657359027997265</v>
      </c>
    </row>
    <row r="353" spans="1:13" x14ac:dyDescent="0.25">
      <c r="A353" t="s">
        <v>865</v>
      </c>
      <c r="B353" t="s">
        <v>53</v>
      </c>
      <c r="C353" t="s">
        <v>866</v>
      </c>
      <c r="D353" t="s">
        <v>254</v>
      </c>
      <c r="E353" t="s">
        <v>10</v>
      </c>
      <c r="F353" t="s">
        <v>11</v>
      </c>
      <c r="H353">
        <v>1</v>
      </c>
      <c r="I353">
        <f t="shared" si="25"/>
        <v>4</v>
      </c>
      <c r="J353" s="2">
        <f t="shared" si="26"/>
        <v>0.40400000000000003</v>
      </c>
      <c r="K353">
        <f t="shared" si="27"/>
        <v>9.9009900990099009</v>
      </c>
      <c r="L353" t="str">
        <f t="shared" si="28"/>
        <v>Funded</v>
      </c>
      <c r="M353">
        <f t="shared" si="29"/>
        <v>2.2926347621408776</v>
      </c>
    </row>
    <row r="354" spans="1:13" x14ac:dyDescent="0.25">
      <c r="A354" t="s">
        <v>867</v>
      </c>
      <c r="B354" t="s">
        <v>53</v>
      </c>
      <c r="C354" t="s">
        <v>143</v>
      </c>
      <c r="D354" t="s">
        <v>156</v>
      </c>
      <c r="E354" t="s">
        <v>10</v>
      </c>
      <c r="F354" t="s">
        <v>11</v>
      </c>
      <c r="H354">
        <v>1</v>
      </c>
      <c r="I354">
        <f t="shared" si="25"/>
        <v>4</v>
      </c>
      <c r="J354" s="2">
        <f t="shared" si="26"/>
        <v>0.91800000000000004</v>
      </c>
      <c r="K354">
        <f t="shared" si="27"/>
        <v>4.3572984749455337</v>
      </c>
      <c r="L354" t="str">
        <f t="shared" si="28"/>
        <v>Funded</v>
      </c>
      <c r="M354">
        <f t="shared" si="29"/>
        <v>1.4718522494815371</v>
      </c>
    </row>
    <row r="355" spans="1:13" x14ac:dyDescent="0.25">
      <c r="A355" t="s">
        <v>868</v>
      </c>
      <c r="B355" t="s">
        <v>53</v>
      </c>
      <c r="C355" t="s">
        <v>869</v>
      </c>
      <c r="D355" t="s">
        <v>389</v>
      </c>
      <c r="E355" t="s">
        <v>10</v>
      </c>
      <c r="F355" t="s">
        <v>11</v>
      </c>
      <c r="H355">
        <v>1</v>
      </c>
      <c r="I355">
        <f t="shared" si="25"/>
        <v>4</v>
      </c>
      <c r="J355" s="2">
        <f t="shared" si="26"/>
        <v>0.47699999999999998</v>
      </c>
      <c r="K355">
        <f t="shared" si="27"/>
        <v>8.3857442348008391</v>
      </c>
      <c r="L355" t="str">
        <f t="shared" si="28"/>
        <v>Funded</v>
      </c>
      <c r="M355">
        <f t="shared" si="29"/>
        <v>2.1265331492136865</v>
      </c>
    </row>
    <row r="356" spans="1:13" x14ac:dyDescent="0.25">
      <c r="A356" t="s">
        <v>870</v>
      </c>
      <c r="B356" t="s">
        <v>53</v>
      </c>
      <c r="C356" t="s">
        <v>871</v>
      </c>
      <c r="D356" t="s">
        <v>86</v>
      </c>
      <c r="E356" t="s">
        <v>10</v>
      </c>
      <c r="F356" t="s">
        <v>11</v>
      </c>
      <c r="H356">
        <v>1</v>
      </c>
      <c r="I356">
        <f t="shared" si="25"/>
        <v>4</v>
      </c>
      <c r="J356" s="2">
        <f t="shared" si="26"/>
        <v>0.05</v>
      </c>
      <c r="K356">
        <f t="shared" si="27"/>
        <v>80</v>
      </c>
      <c r="L356" t="str">
        <f t="shared" si="28"/>
        <v>Funded</v>
      </c>
      <c r="M356">
        <f t="shared" si="29"/>
        <v>4.3820266346738812</v>
      </c>
    </row>
    <row r="357" spans="1:13" x14ac:dyDescent="0.25">
      <c r="A357" t="s">
        <v>872</v>
      </c>
      <c r="B357" t="s">
        <v>53</v>
      </c>
      <c r="C357" t="s">
        <v>873</v>
      </c>
      <c r="D357" t="s">
        <v>66</v>
      </c>
      <c r="E357" t="s">
        <v>44</v>
      </c>
      <c r="F357" t="s">
        <v>21</v>
      </c>
      <c r="H357">
        <v>1</v>
      </c>
      <c r="I357">
        <f t="shared" si="25"/>
        <v>4</v>
      </c>
      <c r="J357" s="2">
        <f t="shared" si="26"/>
        <v>0.14299999999999999</v>
      </c>
      <c r="K357">
        <f t="shared" si="27"/>
        <v>27.972027972027973</v>
      </c>
      <c r="L357" t="str">
        <f t="shared" si="28"/>
        <v>Funded</v>
      </c>
      <c r="M357">
        <f t="shared" si="29"/>
        <v>3.3312050098421206</v>
      </c>
    </row>
    <row r="358" spans="1:13" x14ac:dyDescent="0.25">
      <c r="A358" t="s">
        <v>874</v>
      </c>
      <c r="B358" t="s">
        <v>53</v>
      </c>
      <c r="C358" t="s">
        <v>875</v>
      </c>
      <c r="D358" t="s">
        <v>876</v>
      </c>
      <c r="E358" t="s">
        <v>10</v>
      </c>
      <c r="F358" t="s">
        <v>11</v>
      </c>
      <c r="H358">
        <v>1</v>
      </c>
      <c r="I358">
        <f t="shared" si="25"/>
        <v>4</v>
      </c>
      <c r="J358" s="2">
        <f t="shared" si="26"/>
        <v>0.40200000000000002</v>
      </c>
      <c r="K358">
        <f t="shared" si="27"/>
        <v>9.9502487562189046</v>
      </c>
      <c r="L358" t="str">
        <f t="shared" si="28"/>
        <v>Funded</v>
      </c>
      <c r="M358">
        <f t="shared" si="29"/>
        <v>2.2975975514830065</v>
      </c>
    </row>
    <row r="359" spans="1:13" x14ac:dyDescent="0.25">
      <c r="A359" t="s">
        <v>877</v>
      </c>
      <c r="B359" t="s">
        <v>53</v>
      </c>
      <c r="C359" t="s">
        <v>878</v>
      </c>
      <c r="D359" t="s">
        <v>879</v>
      </c>
      <c r="E359" t="s">
        <v>880</v>
      </c>
      <c r="F359" t="s">
        <v>50</v>
      </c>
      <c r="H359">
        <v>1</v>
      </c>
      <c r="I359">
        <f t="shared" si="25"/>
        <v>4</v>
      </c>
      <c r="J359" s="2">
        <f t="shared" si="26"/>
        <v>0.157</v>
      </c>
      <c r="K359">
        <f t="shared" si="27"/>
        <v>25.477707006369428</v>
      </c>
      <c r="L359" t="str">
        <f t="shared" si="28"/>
        <v>Funded</v>
      </c>
      <c r="M359">
        <f t="shared" si="29"/>
        <v>3.2378038347537195</v>
      </c>
    </row>
    <row r="360" spans="1:13" x14ac:dyDescent="0.25">
      <c r="A360" t="s">
        <v>881</v>
      </c>
      <c r="B360" t="s">
        <v>53</v>
      </c>
      <c r="C360" t="s">
        <v>882</v>
      </c>
      <c r="D360" t="s">
        <v>883</v>
      </c>
      <c r="E360" t="s">
        <v>10</v>
      </c>
      <c r="F360" t="s">
        <v>11</v>
      </c>
      <c r="H360">
        <v>1</v>
      </c>
      <c r="I360">
        <f t="shared" si="25"/>
        <v>4</v>
      </c>
      <c r="J360" s="2">
        <f t="shared" si="26"/>
        <v>0.61199999999999999</v>
      </c>
      <c r="K360">
        <f t="shared" si="27"/>
        <v>6.5359477124183005</v>
      </c>
      <c r="L360" t="str">
        <f t="shared" si="28"/>
        <v>Funded</v>
      </c>
      <c r="M360">
        <f t="shared" si="29"/>
        <v>1.8773173575897015</v>
      </c>
    </row>
    <row r="361" spans="1:13" x14ac:dyDescent="0.25">
      <c r="A361" t="s">
        <v>884</v>
      </c>
      <c r="B361" t="s">
        <v>53</v>
      </c>
      <c r="C361" t="s">
        <v>885</v>
      </c>
      <c r="D361" t="s">
        <v>886</v>
      </c>
      <c r="E361" t="s">
        <v>10</v>
      </c>
      <c r="F361" t="s">
        <v>11</v>
      </c>
      <c r="H361">
        <v>1</v>
      </c>
      <c r="I361">
        <f t="shared" si="25"/>
        <v>4</v>
      </c>
      <c r="J361" s="2">
        <f t="shared" si="26"/>
        <v>0.33300000000000002</v>
      </c>
      <c r="K361">
        <f t="shared" si="27"/>
        <v>12.012012012012011</v>
      </c>
      <c r="L361" t="str">
        <f t="shared" si="28"/>
        <v>Funded</v>
      </c>
      <c r="M361">
        <f t="shared" si="29"/>
        <v>2.4859071501215837</v>
      </c>
    </row>
    <row r="362" spans="1:13" x14ac:dyDescent="0.25">
      <c r="A362" t="s">
        <v>887</v>
      </c>
      <c r="B362" t="s">
        <v>53</v>
      </c>
      <c r="C362" t="s">
        <v>888</v>
      </c>
      <c r="D362" t="s">
        <v>889</v>
      </c>
      <c r="E362" t="s">
        <v>44</v>
      </c>
      <c r="F362" t="s">
        <v>21</v>
      </c>
      <c r="H362">
        <v>1</v>
      </c>
      <c r="I362">
        <f t="shared" si="25"/>
        <v>4</v>
      </c>
      <c r="J362" s="2">
        <f t="shared" si="26"/>
        <v>0.874</v>
      </c>
      <c r="K362">
        <f t="shared" si="27"/>
        <v>4.5766590389016022</v>
      </c>
      <c r="L362" t="str">
        <f t="shared" si="28"/>
        <v>Funded</v>
      </c>
      <c r="M362">
        <f t="shared" si="29"/>
        <v>1.5209692644464923</v>
      </c>
    </row>
    <row r="363" spans="1:13" x14ac:dyDescent="0.25">
      <c r="A363" t="s">
        <v>890</v>
      </c>
      <c r="B363" t="s">
        <v>53</v>
      </c>
      <c r="C363" t="s">
        <v>891</v>
      </c>
      <c r="D363" t="s">
        <v>892</v>
      </c>
      <c r="E363" t="s">
        <v>10</v>
      </c>
      <c r="F363" t="s">
        <v>11</v>
      </c>
      <c r="H363">
        <v>1</v>
      </c>
      <c r="I363">
        <f t="shared" si="25"/>
        <v>4</v>
      </c>
      <c r="J363" s="2">
        <f t="shared" si="26"/>
        <v>0.434</v>
      </c>
      <c r="K363">
        <f t="shared" si="27"/>
        <v>9.216589861751153</v>
      </c>
      <c r="L363" t="str">
        <f t="shared" si="28"/>
        <v>Funded</v>
      </c>
      <c r="M363">
        <f t="shared" si="29"/>
        <v>2.2210051060016229</v>
      </c>
    </row>
    <row r="364" spans="1:13" x14ac:dyDescent="0.25">
      <c r="A364" t="s">
        <v>893</v>
      </c>
      <c r="B364" t="s">
        <v>53</v>
      </c>
      <c r="C364" t="s">
        <v>894</v>
      </c>
      <c r="D364" t="s">
        <v>148</v>
      </c>
      <c r="E364" t="s">
        <v>10</v>
      </c>
      <c r="F364" t="s">
        <v>11</v>
      </c>
      <c r="H364">
        <v>1</v>
      </c>
      <c r="I364">
        <f t="shared" si="25"/>
        <v>4</v>
      </c>
      <c r="J364" s="2">
        <f t="shared" si="26"/>
        <v>0.29399999999999998</v>
      </c>
      <c r="K364">
        <f t="shared" si="27"/>
        <v>13.605442176870749</v>
      </c>
      <c r="L364" t="str">
        <f t="shared" si="28"/>
        <v>Funded</v>
      </c>
      <c r="M364">
        <f t="shared" si="29"/>
        <v>2.6104698727633462</v>
      </c>
    </row>
    <row r="365" spans="1:13" x14ac:dyDescent="0.25">
      <c r="A365" t="s">
        <v>895</v>
      </c>
      <c r="B365" t="s">
        <v>53</v>
      </c>
      <c r="C365" t="s">
        <v>896</v>
      </c>
      <c r="D365" t="s">
        <v>897</v>
      </c>
      <c r="E365" t="s">
        <v>10</v>
      </c>
      <c r="F365" t="s">
        <v>11</v>
      </c>
      <c r="H365">
        <v>1</v>
      </c>
      <c r="I365">
        <f t="shared" si="25"/>
        <v>4</v>
      </c>
      <c r="J365" s="2">
        <f t="shared" si="26"/>
        <v>0.46800000000000003</v>
      </c>
      <c r="K365">
        <f t="shared" si="27"/>
        <v>8.5470085470085468</v>
      </c>
      <c r="L365" t="str">
        <f t="shared" si="28"/>
        <v>Funded</v>
      </c>
      <c r="M365">
        <f t="shared" si="29"/>
        <v>2.145581344184381</v>
      </c>
    </row>
    <row r="366" spans="1:13" x14ac:dyDescent="0.25">
      <c r="A366" t="s">
        <v>898</v>
      </c>
      <c r="B366" t="s">
        <v>53</v>
      </c>
      <c r="C366" t="s">
        <v>899</v>
      </c>
      <c r="D366" t="s">
        <v>380</v>
      </c>
      <c r="E366" t="s">
        <v>187</v>
      </c>
      <c r="F366" t="s">
        <v>50</v>
      </c>
      <c r="H366">
        <v>1</v>
      </c>
      <c r="I366">
        <f t="shared" si="25"/>
        <v>4</v>
      </c>
      <c r="J366" s="2">
        <f t="shared" si="26"/>
        <v>0.94799999999999995</v>
      </c>
      <c r="K366">
        <f t="shared" si="27"/>
        <v>4.2194092827004219</v>
      </c>
      <c r="L366" t="str">
        <f t="shared" si="28"/>
        <v>Funded</v>
      </c>
      <c r="M366">
        <f t="shared" si="29"/>
        <v>1.4396951378470058</v>
      </c>
    </row>
    <row r="367" spans="1:13" x14ac:dyDescent="0.25">
      <c r="A367" t="s">
        <v>900</v>
      </c>
      <c r="B367" t="s">
        <v>53</v>
      </c>
      <c r="C367" t="s">
        <v>901</v>
      </c>
      <c r="D367" t="s">
        <v>79</v>
      </c>
      <c r="E367" t="s">
        <v>10</v>
      </c>
      <c r="F367" t="s">
        <v>11</v>
      </c>
      <c r="H367">
        <v>1</v>
      </c>
      <c r="I367">
        <f t="shared" si="25"/>
        <v>4</v>
      </c>
      <c r="J367" s="2">
        <f t="shared" si="26"/>
        <v>0.67800000000000005</v>
      </c>
      <c r="K367">
        <f t="shared" si="27"/>
        <v>5.8997050147492622</v>
      </c>
      <c r="L367" t="str">
        <f t="shared" si="28"/>
        <v>Funded</v>
      </c>
      <c r="M367">
        <f t="shared" si="29"/>
        <v>1.7749023521616321</v>
      </c>
    </row>
    <row r="368" spans="1:13" x14ac:dyDescent="0.25">
      <c r="A368" t="s">
        <v>902</v>
      </c>
      <c r="B368" t="s">
        <v>53</v>
      </c>
      <c r="C368" t="s">
        <v>631</v>
      </c>
      <c r="D368" t="s">
        <v>66</v>
      </c>
      <c r="E368" t="s">
        <v>10</v>
      </c>
      <c r="F368" t="s">
        <v>11</v>
      </c>
      <c r="H368">
        <v>1</v>
      </c>
      <c r="I368">
        <f t="shared" si="25"/>
        <v>4</v>
      </c>
      <c r="J368" s="2">
        <f t="shared" si="26"/>
        <v>0.48699999999999999</v>
      </c>
      <c r="K368">
        <f t="shared" si="27"/>
        <v>8.2135523613963048</v>
      </c>
      <c r="L368" t="str">
        <f t="shared" si="28"/>
        <v>Funded</v>
      </c>
      <c r="M368">
        <f t="shared" si="29"/>
        <v>2.1057855170194379</v>
      </c>
    </row>
    <row r="369" spans="1:13" x14ac:dyDescent="0.25">
      <c r="A369" t="s">
        <v>903</v>
      </c>
      <c r="B369" t="s">
        <v>53</v>
      </c>
      <c r="C369" t="s">
        <v>904</v>
      </c>
      <c r="D369" t="s">
        <v>225</v>
      </c>
      <c r="E369" t="s">
        <v>10</v>
      </c>
      <c r="F369" t="s">
        <v>11</v>
      </c>
      <c r="H369">
        <v>1</v>
      </c>
      <c r="I369">
        <f t="shared" si="25"/>
        <v>4</v>
      </c>
      <c r="J369" s="2">
        <f t="shared" si="26"/>
        <v>0.45200000000000001</v>
      </c>
      <c r="K369">
        <f t="shared" si="27"/>
        <v>8.8495575221238933</v>
      </c>
      <c r="L369" t="str">
        <f t="shared" si="28"/>
        <v>Funded</v>
      </c>
      <c r="M369">
        <f t="shared" si="29"/>
        <v>2.1803674602697964</v>
      </c>
    </row>
    <row r="370" spans="1:13" x14ac:dyDescent="0.25">
      <c r="A370" t="s">
        <v>905</v>
      </c>
      <c r="B370" t="s">
        <v>53</v>
      </c>
      <c r="C370" t="s">
        <v>906</v>
      </c>
      <c r="D370" t="s">
        <v>816</v>
      </c>
      <c r="E370" t="s">
        <v>10</v>
      </c>
      <c r="F370" t="s">
        <v>11</v>
      </c>
      <c r="H370">
        <v>1</v>
      </c>
      <c r="I370">
        <f t="shared" si="25"/>
        <v>4</v>
      </c>
      <c r="J370" s="2">
        <f t="shared" si="26"/>
        <v>0.60199999999999998</v>
      </c>
      <c r="K370">
        <f t="shared" si="27"/>
        <v>6.6445182724252492</v>
      </c>
      <c r="L370" t="str">
        <f t="shared" si="28"/>
        <v>Funded</v>
      </c>
      <c r="M370">
        <f t="shared" si="29"/>
        <v>1.8937921947932066</v>
      </c>
    </row>
    <row r="371" spans="1:13" x14ac:dyDescent="0.25">
      <c r="A371" t="s">
        <v>907</v>
      </c>
      <c r="B371" t="s">
        <v>81</v>
      </c>
      <c r="C371" t="s">
        <v>908</v>
      </c>
      <c r="D371" t="s">
        <v>909</v>
      </c>
      <c r="E371" t="s">
        <v>170</v>
      </c>
      <c r="F371" t="s">
        <v>50</v>
      </c>
      <c r="H371">
        <v>1</v>
      </c>
      <c r="I371">
        <f t="shared" si="25"/>
        <v>3</v>
      </c>
      <c r="J371" s="2">
        <f t="shared" si="26"/>
        <v>0.56599999999999995</v>
      </c>
      <c r="K371">
        <f t="shared" si="27"/>
        <v>5.3003533568904597</v>
      </c>
      <c r="L371" t="str">
        <f t="shared" si="28"/>
        <v>Funded</v>
      </c>
      <c r="M371">
        <f t="shared" si="29"/>
        <v>1.6677734894470639</v>
      </c>
    </row>
    <row r="372" spans="1:13" x14ac:dyDescent="0.25">
      <c r="A372" t="s">
        <v>910</v>
      </c>
      <c r="B372" t="s">
        <v>81</v>
      </c>
      <c r="C372" t="s">
        <v>911</v>
      </c>
      <c r="D372" t="s">
        <v>912</v>
      </c>
      <c r="E372" t="s">
        <v>10</v>
      </c>
      <c r="F372" t="s">
        <v>11</v>
      </c>
      <c r="H372">
        <v>1</v>
      </c>
      <c r="I372">
        <f t="shared" si="25"/>
        <v>3</v>
      </c>
      <c r="J372" s="2">
        <f t="shared" si="26"/>
        <v>0.65400000000000003</v>
      </c>
      <c r="K372">
        <f t="shared" si="27"/>
        <v>4.5871559633027523</v>
      </c>
      <c r="L372" t="str">
        <f t="shared" si="28"/>
        <v>Funded</v>
      </c>
      <c r="M372">
        <f t="shared" si="29"/>
        <v>1.523260216193048</v>
      </c>
    </row>
    <row r="373" spans="1:13" x14ac:dyDescent="0.25">
      <c r="A373" t="s">
        <v>913</v>
      </c>
      <c r="B373" t="s">
        <v>81</v>
      </c>
      <c r="C373" t="s">
        <v>914</v>
      </c>
      <c r="D373" t="s">
        <v>159</v>
      </c>
      <c r="E373" t="s">
        <v>44</v>
      </c>
      <c r="F373" t="s">
        <v>21</v>
      </c>
      <c r="H373">
        <v>1</v>
      </c>
      <c r="I373">
        <f t="shared" si="25"/>
        <v>3</v>
      </c>
      <c r="J373" s="2">
        <f t="shared" si="26"/>
        <v>0.78900000000000003</v>
      </c>
      <c r="K373">
        <f t="shared" si="27"/>
        <v>3.8022813688212924</v>
      </c>
      <c r="L373" t="str">
        <f t="shared" si="28"/>
        <v>Funded</v>
      </c>
      <c r="M373">
        <f t="shared" si="29"/>
        <v>1.3356012468043723</v>
      </c>
    </row>
    <row r="374" spans="1:13" x14ac:dyDescent="0.25">
      <c r="A374" t="s">
        <v>915</v>
      </c>
      <c r="B374" t="s">
        <v>81</v>
      </c>
      <c r="C374" t="s">
        <v>654</v>
      </c>
      <c r="D374" t="s">
        <v>461</v>
      </c>
      <c r="E374" t="s">
        <v>20</v>
      </c>
      <c r="F374" t="s">
        <v>21</v>
      </c>
      <c r="H374">
        <v>1</v>
      </c>
      <c r="I374">
        <f t="shared" si="25"/>
        <v>3</v>
      </c>
      <c r="J374" s="2">
        <f t="shared" si="26"/>
        <v>0.74</v>
      </c>
      <c r="K374">
        <f t="shared" si="27"/>
        <v>4.0540540540540544</v>
      </c>
      <c r="L374" t="str">
        <f t="shared" si="28"/>
        <v>Funded</v>
      </c>
      <c r="M374">
        <f t="shared" si="29"/>
        <v>1.3997173814520314</v>
      </c>
    </row>
    <row r="375" spans="1:13" x14ac:dyDescent="0.25">
      <c r="A375" t="s">
        <v>916</v>
      </c>
      <c r="B375" t="s">
        <v>81</v>
      </c>
      <c r="C375" t="s">
        <v>917</v>
      </c>
      <c r="D375" t="s">
        <v>918</v>
      </c>
      <c r="E375" t="s">
        <v>756</v>
      </c>
      <c r="F375" t="s">
        <v>50</v>
      </c>
      <c r="H375">
        <v>1</v>
      </c>
      <c r="I375">
        <f t="shared" si="25"/>
        <v>3</v>
      </c>
      <c r="J375" s="2">
        <f t="shared" si="26"/>
        <v>0.78</v>
      </c>
      <c r="K375">
        <f t="shared" si="27"/>
        <v>3.8461538461538458</v>
      </c>
      <c r="L375" t="str">
        <f t="shared" si="28"/>
        <v>Funded</v>
      </c>
      <c r="M375">
        <f t="shared" si="29"/>
        <v>1.3470736479666092</v>
      </c>
    </row>
    <row r="376" spans="1:13" x14ac:dyDescent="0.25">
      <c r="A376" t="s">
        <v>919</v>
      </c>
      <c r="B376" t="s">
        <v>81</v>
      </c>
      <c r="C376" t="s">
        <v>920</v>
      </c>
      <c r="D376" t="s">
        <v>921</v>
      </c>
      <c r="E376" t="s">
        <v>10</v>
      </c>
      <c r="F376" t="s">
        <v>11</v>
      </c>
      <c r="H376">
        <v>1</v>
      </c>
      <c r="I376">
        <f t="shared" si="25"/>
        <v>3</v>
      </c>
      <c r="J376" s="2">
        <f t="shared" si="26"/>
        <v>0.68</v>
      </c>
      <c r="K376">
        <f t="shared" si="27"/>
        <v>4.4117647058823524</v>
      </c>
      <c r="L376" t="str">
        <f t="shared" si="28"/>
        <v>Funded</v>
      </c>
      <c r="M376">
        <f t="shared" si="29"/>
        <v>1.4842747694800942</v>
      </c>
    </row>
    <row r="377" spans="1:13" x14ac:dyDescent="0.25">
      <c r="A377" t="s">
        <v>922</v>
      </c>
      <c r="B377" t="s">
        <v>81</v>
      </c>
      <c r="C377" t="s">
        <v>125</v>
      </c>
      <c r="D377" t="s">
        <v>923</v>
      </c>
      <c r="E377" t="s">
        <v>20</v>
      </c>
      <c r="F377" t="s">
        <v>21</v>
      </c>
      <c r="H377">
        <v>1</v>
      </c>
      <c r="I377">
        <f t="shared" si="25"/>
        <v>3</v>
      </c>
      <c r="J377" s="2">
        <f t="shared" si="26"/>
        <v>1</v>
      </c>
      <c r="K377">
        <f t="shared" si="27"/>
        <v>3</v>
      </c>
      <c r="L377" t="str">
        <f t="shared" si="28"/>
        <v>Funded</v>
      </c>
      <c r="M377">
        <f t="shared" si="29"/>
        <v>1.0986122886681098</v>
      </c>
    </row>
    <row r="378" spans="1:13" x14ac:dyDescent="0.25">
      <c r="A378" t="s">
        <v>924</v>
      </c>
      <c r="B378" t="s">
        <v>81</v>
      </c>
      <c r="C378" t="s">
        <v>925</v>
      </c>
      <c r="D378" t="s">
        <v>926</v>
      </c>
      <c r="E378" t="s">
        <v>10</v>
      </c>
      <c r="F378" t="s">
        <v>11</v>
      </c>
      <c r="H378">
        <v>1</v>
      </c>
      <c r="I378">
        <f t="shared" si="25"/>
        <v>3</v>
      </c>
      <c r="J378" s="2">
        <f t="shared" si="26"/>
        <v>0.83</v>
      </c>
      <c r="K378">
        <f t="shared" si="27"/>
        <v>3.6144578313253013</v>
      </c>
      <c r="L378" t="str">
        <f t="shared" si="28"/>
        <v>Funded</v>
      </c>
      <c r="M378">
        <f t="shared" si="29"/>
        <v>1.2849418668596031</v>
      </c>
    </row>
    <row r="379" spans="1:13" x14ac:dyDescent="0.25">
      <c r="A379" t="s">
        <v>927</v>
      </c>
      <c r="B379" t="s">
        <v>81</v>
      </c>
      <c r="C379" t="s">
        <v>928</v>
      </c>
      <c r="D379" t="s">
        <v>929</v>
      </c>
      <c r="E379" t="s">
        <v>49</v>
      </c>
      <c r="F379" t="s">
        <v>50</v>
      </c>
      <c r="H379">
        <v>1</v>
      </c>
      <c r="I379">
        <f t="shared" si="25"/>
        <v>3</v>
      </c>
      <c r="J379" s="2">
        <f t="shared" si="26"/>
        <v>0.85399999999999998</v>
      </c>
      <c r="K379">
        <f t="shared" si="27"/>
        <v>3.5128805620608898</v>
      </c>
      <c r="L379" t="str">
        <f t="shared" si="28"/>
        <v>Funded</v>
      </c>
      <c r="M379">
        <f t="shared" si="29"/>
        <v>1.2564363738616768</v>
      </c>
    </row>
    <row r="380" spans="1:13" x14ac:dyDescent="0.25">
      <c r="A380" t="s">
        <v>930</v>
      </c>
      <c r="B380" t="s">
        <v>81</v>
      </c>
      <c r="C380" t="s">
        <v>931</v>
      </c>
      <c r="D380" t="s">
        <v>932</v>
      </c>
      <c r="E380" t="s">
        <v>10</v>
      </c>
      <c r="F380" t="s">
        <v>11</v>
      </c>
      <c r="H380">
        <v>1</v>
      </c>
      <c r="I380">
        <f t="shared" si="25"/>
        <v>3</v>
      </c>
      <c r="J380" s="2">
        <f t="shared" si="26"/>
        <v>0.41399999999999998</v>
      </c>
      <c r="K380">
        <f t="shared" si="27"/>
        <v>7.2463768115942031</v>
      </c>
      <c r="L380" t="str">
        <f t="shared" si="28"/>
        <v>Funded</v>
      </c>
      <c r="M380">
        <f t="shared" si="29"/>
        <v>1.9805015938249324</v>
      </c>
    </row>
    <row r="381" spans="1:13" x14ac:dyDescent="0.25">
      <c r="A381" t="s">
        <v>933</v>
      </c>
      <c r="B381" t="s">
        <v>81</v>
      </c>
      <c r="C381" t="s">
        <v>934</v>
      </c>
      <c r="D381" t="s">
        <v>517</v>
      </c>
      <c r="E381" t="s">
        <v>49</v>
      </c>
      <c r="F381" t="s">
        <v>50</v>
      </c>
      <c r="H381">
        <v>1</v>
      </c>
      <c r="I381">
        <f t="shared" si="25"/>
        <v>3</v>
      </c>
      <c r="J381" s="2">
        <f t="shared" si="26"/>
        <v>0.95599999999999996</v>
      </c>
      <c r="K381">
        <f t="shared" si="27"/>
        <v>3.1380753138075317</v>
      </c>
      <c r="L381" t="str">
        <f t="shared" si="28"/>
        <v>Funded</v>
      </c>
      <c r="M381">
        <f t="shared" si="29"/>
        <v>1.1436096545988454</v>
      </c>
    </row>
    <row r="382" spans="1:13" x14ac:dyDescent="0.25">
      <c r="A382" t="s">
        <v>935</v>
      </c>
      <c r="B382" t="s">
        <v>81</v>
      </c>
      <c r="C382" t="s">
        <v>936</v>
      </c>
      <c r="D382" t="s">
        <v>937</v>
      </c>
      <c r="E382" t="s">
        <v>20</v>
      </c>
      <c r="F382" t="s">
        <v>21</v>
      </c>
      <c r="H382">
        <v>1</v>
      </c>
      <c r="I382">
        <f t="shared" si="25"/>
        <v>3</v>
      </c>
      <c r="J382" s="2">
        <f t="shared" si="26"/>
        <v>0.15</v>
      </c>
      <c r="K382">
        <f t="shared" si="27"/>
        <v>20</v>
      </c>
      <c r="L382" t="str">
        <f t="shared" si="28"/>
        <v>Funded</v>
      </c>
      <c r="M382">
        <f t="shared" si="29"/>
        <v>2.9957322735539909</v>
      </c>
    </row>
    <row r="383" spans="1:13" x14ac:dyDescent="0.25">
      <c r="A383" t="s">
        <v>938</v>
      </c>
      <c r="B383" t="s">
        <v>81</v>
      </c>
      <c r="C383" t="s">
        <v>550</v>
      </c>
      <c r="D383" t="s">
        <v>939</v>
      </c>
      <c r="E383" t="s">
        <v>10</v>
      </c>
      <c r="F383" t="s">
        <v>11</v>
      </c>
      <c r="H383">
        <v>1</v>
      </c>
      <c r="I383">
        <f t="shared" si="25"/>
        <v>3</v>
      </c>
      <c r="J383" s="2">
        <f t="shared" si="26"/>
        <v>0.53400000000000003</v>
      </c>
      <c r="K383">
        <f t="shared" si="27"/>
        <v>5.6179775280898872</v>
      </c>
      <c r="L383" t="str">
        <f t="shared" si="28"/>
        <v>Funded</v>
      </c>
      <c r="M383">
        <f t="shared" si="29"/>
        <v>1.7259717286900518</v>
      </c>
    </row>
    <row r="384" spans="1:13" x14ac:dyDescent="0.25">
      <c r="A384" t="s">
        <v>940</v>
      </c>
      <c r="B384" t="s">
        <v>81</v>
      </c>
      <c r="C384" t="s">
        <v>125</v>
      </c>
      <c r="D384" t="s">
        <v>941</v>
      </c>
      <c r="E384" t="s">
        <v>10</v>
      </c>
      <c r="F384" t="s">
        <v>11</v>
      </c>
      <c r="H384">
        <v>1</v>
      </c>
      <c r="I384">
        <f t="shared" si="25"/>
        <v>3</v>
      </c>
      <c r="J384" s="2">
        <f t="shared" si="26"/>
        <v>1</v>
      </c>
      <c r="K384">
        <f t="shared" si="27"/>
        <v>3</v>
      </c>
      <c r="L384" t="str">
        <f t="shared" si="28"/>
        <v>Funded</v>
      </c>
      <c r="M384">
        <f t="shared" si="29"/>
        <v>1.0986122886681098</v>
      </c>
    </row>
    <row r="385" spans="1:13" x14ac:dyDescent="0.25">
      <c r="A385" t="s">
        <v>942</v>
      </c>
      <c r="B385" t="s">
        <v>81</v>
      </c>
      <c r="C385" t="s">
        <v>943</v>
      </c>
      <c r="D385" t="s">
        <v>676</v>
      </c>
      <c r="E385" t="s">
        <v>10</v>
      </c>
      <c r="F385" t="s">
        <v>11</v>
      </c>
      <c r="H385">
        <v>1</v>
      </c>
      <c r="I385">
        <f t="shared" si="25"/>
        <v>3</v>
      </c>
      <c r="J385" s="2">
        <f t="shared" si="26"/>
        <v>0.46700000000000003</v>
      </c>
      <c r="K385">
        <f t="shared" si="27"/>
        <v>6.4239828693790146</v>
      </c>
      <c r="L385" t="str">
        <f t="shared" si="28"/>
        <v>Funded</v>
      </c>
      <c r="M385">
        <f t="shared" si="29"/>
        <v>1.8600383099813493</v>
      </c>
    </row>
    <row r="386" spans="1:13" x14ac:dyDescent="0.25">
      <c r="A386" t="s">
        <v>944</v>
      </c>
      <c r="B386" t="s">
        <v>81</v>
      </c>
      <c r="C386" t="s">
        <v>140</v>
      </c>
      <c r="D386" t="s">
        <v>945</v>
      </c>
      <c r="E386" t="s">
        <v>554</v>
      </c>
      <c r="F386" t="s">
        <v>526</v>
      </c>
      <c r="H386">
        <v>1</v>
      </c>
      <c r="I386">
        <f t="shared" si="25"/>
        <v>3</v>
      </c>
      <c r="J386" s="2">
        <f t="shared" si="26"/>
        <v>0.98199999999999998</v>
      </c>
      <c r="K386">
        <f t="shared" si="27"/>
        <v>3.0549898167006111</v>
      </c>
      <c r="L386" t="str">
        <f t="shared" si="28"/>
        <v>Funded</v>
      </c>
      <c r="M386">
        <f t="shared" si="29"/>
        <v>1.1167762592957808</v>
      </c>
    </row>
    <row r="387" spans="1:13" x14ac:dyDescent="0.25">
      <c r="A387" t="s">
        <v>946</v>
      </c>
      <c r="B387" t="s">
        <v>81</v>
      </c>
      <c r="C387" t="s">
        <v>947</v>
      </c>
      <c r="D387" t="s">
        <v>148</v>
      </c>
      <c r="E387" t="s">
        <v>10</v>
      </c>
      <c r="F387" t="s">
        <v>11</v>
      </c>
      <c r="H387">
        <v>1</v>
      </c>
      <c r="I387">
        <f t="shared" ref="I387:I450" si="30">IF(B387="","",
VALUE(SUBSTITUTE(SUBSTITUTE(B387,"$",""),"B","")))</f>
        <v>3</v>
      </c>
      <c r="J387" s="2">
        <f t="shared" ref="J387:J450" si="31">IF(C387="","",
IF(C387="$0",0,
IF(RIGHT(C387,1)="B",
VALUE(SUBSTITUTE(SUBSTITUTE(C387,"$",""),"B","")),
IF(RIGHT(C387,1)="M",
VALUE(SUBSTITUTE(SUBSTITUTE(C387,"$",""),"M",""))/1000,
IF(RIGHT(C387,1)="K",
VALUE(SUBSTITUTE(SUBSTITUTE(C387,"$",""),"K",""))/1000000,
VALUE(SUBSTITUTE(C387,"$",""))
)))))</f>
        <v>0.51400000000000001</v>
      </c>
      <c r="K387">
        <f t="shared" ref="K387:K450" si="32">IF(J387&gt;0,I387/J387,"")</f>
        <v>5.836575875486381</v>
      </c>
      <c r="L387" t="str">
        <f t="shared" ref="L387:L450" si="33">IF(J387=0,"Bootstrapped","Funded")</f>
        <v>Funded</v>
      </c>
      <c r="M387">
        <f t="shared" ref="M387:M450" si="34">IF(AND(I387&gt;0,J387&gt;0),LN(I387/J387),"")</f>
        <v>1.7641443021950816</v>
      </c>
    </row>
    <row r="388" spans="1:13" x14ac:dyDescent="0.25">
      <c r="A388" t="s">
        <v>948</v>
      </c>
      <c r="B388" t="s">
        <v>81</v>
      </c>
      <c r="C388" t="s">
        <v>949</v>
      </c>
      <c r="D388" t="s">
        <v>950</v>
      </c>
      <c r="E388" t="s">
        <v>10</v>
      </c>
      <c r="F388" t="s">
        <v>11</v>
      </c>
      <c r="H388">
        <v>1</v>
      </c>
      <c r="I388">
        <f t="shared" si="30"/>
        <v>3</v>
      </c>
      <c r="J388" s="2">
        <f t="shared" si="31"/>
        <v>0.623</v>
      </c>
      <c r="K388">
        <f t="shared" si="32"/>
        <v>4.815409309791332</v>
      </c>
      <c r="L388" t="str">
        <f t="shared" si="33"/>
        <v>Funded</v>
      </c>
      <c r="M388">
        <f t="shared" si="34"/>
        <v>1.5718210488627935</v>
      </c>
    </row>
    <row r="389" spans="1:13" x14ac:dyDescent="0.25">
      <c r="A389" t="s">
        <v>951</v>
      </c>
      <c r="B389" t="s">
        <v>81</v>
      </c>
      <c r="C389" t="s">
        <v>623</v>
      </c>
      <c r="D389" t="s">
        <v>827</v>
      </c>
      <c r="E389" t="s">
        <v>20</v>
      </c>
      <c r="F389" t="s">
        <v>21</v>
      </c>
      <c r="H389">
        <v>1</v>
      </c>
      <c r="I389">
        <f t="shared" si="30"/>
        <v>3</v>
      </c>
      <c r="J389" s="2">
        <f t="shared" si="31"/>
        <v>0.5</v>
      </c>
      <c r="K389">
        <f t="shared" si="32"/>
        <v>6</v>
      </c>
      <c r="L389" t="str">
        <f t="shared" si="33"/>
        <v>Funded</v>
      </c>
      <c r="M389">
        <f t="shared" si="34"/>
        <v>1.791759469228055</v>
      </c>
    </row>
    <row r="390" spans="1:13" x14ac:dyDescent="0.25">
      <c r="A390" t="s">
        <v>952</v>
      </c>
      <c r="B390" t="s">
        <v>81</v>
      </c>
      <c r="C390" t="s">
        <v>125</v>
      </c>
      <c r="D390" t="s">
        <v>953</v>
      </c>
      <c r="E390" t="s">
        <v>44</v>
      </c>
      <c r="F390" t="s">
        <v>21</v>
      </c>
      <c r="H390">
        <v>1</v>
      </c>
      <c r="I390">
        <f t="shared" si="30"/>
        <v>3</v>
      </c>
      <c r="J390" s="2">
        <f t="shared" si="31"/>
        <v>1</v>
      </c>
      <c r="K390">
        <f t="shared" si="32"/>
        <v>3</v>
      </c>
      <c r="L390" t="str">
        <f t="shared" si="33"/>
        <v>Funded</v>
      </c>
      <c r="M390">
        <f t="shared" si="34"/>
        <v>1.0986122886681098</v>
      </c>
    </row>
    <row r="391" spans="1:13" x14ac:dyDescent="0.25">
      <c r="A391" t="s">
        <v>954</v>
      </c>
      <c r="B391" t="s">
        <v>81</v>
      </c>
      <c r="C391" t="s">
        <v>47</v>
      </c>
      <c r="D391" t="s">
        <v>955</v>
      </c>
      <c r="E391" t="s">
        <v>20</v>
      </c>
      <c r="F391" t="s">
        <v>21</v>
      </c>
      <c r="H391">
        <v>1</v>
      </c>
      <c r="I391">
        <f t="shared" si="30"/>
        <v>3</v>
      </c>
      <c r="J391" s="2">
        <f t="shared" si="31"/>
        <v>2</v>
      </c>
      <c r="K391">
        <f t="shared" si="32"/>
        <v>1.5</v>
      </c>
      <c r="L391" t="str">
        <f t="shared" si="33"/>
        <v>Funded</v>
      </c>
      <c r="M391">
        <f t="shared" si="34"/>
        <v>0.40546510810816438</v>
      </c>
    </row>
    <row r="392" spans="1:13" x14ac:dyDescent="0.25">
      <c r="A392" t="s">
        <v>956</v>
      </c>
      <c r="B392" t="s">
        <v>81</v>
      </c>
      <c r="C392" t="s">
        <v>957</v>
      </c>
      <c r="D392" t="s">
        <v>958</v>
      </c>
      <c r="E392" t="s">
        <v>20</v>
      </c>
      <c r="F392" t="s">
        <v>21</v>
      </c>
      <c r="H392">
        <v>1</v>
      </c>
      <c r="I392">
        <f t="shared" si="30"/>
        <v>3</v>
      </c>
      <c r="J392" s="2">
        <f t="shared" si="31"/>
        <v>2.8000000000000001E-2</v>
      </c>
      <c r="K392">
        <f t="shared" si="32"/>
        <v>107.14285714285714</v>
      </c>
      <c r="L392" t="str">
        <f t="shared" si="33"/>
        <v>Funded</v>
      </c>
      <c r="M392">
        <f t="shared" si="34"/>
        <v>4.6741630574750426</v>
      </c>
    </row>
    <row r="393" spans="1:13" x14ac:dyDescent="0.25">
      <c r="A393" t="s">
        <v>959</v>
      </c>
      <c r="B393" t="s">
        <v>81</v>
      </c>
      <c r="C393" t="s">
        <v>960</v>
      </c>
      <c r="D393" t="s">
        <v>961</v>
      </c>
      <c r="E393" t="s">
        <v>10</v>
      </c>
      <c r="F393" t="s">
        <v>11</v>
      </c>
      <c r="H393">
        <v>1</v>
      </c>
      <c r="I393">
        <f t="shared" si="30"/>
        <v>3</v>
      </c>
      <c r="J393" s="2">
        <f t="shared" si="31"/>
        <v>0.43099999999999999</v>
      </c>
      <c r="K393">
        <f t="shared" si="32"/>
        <v>6.9605568445475638</v>
      </c>
      <c r="L393" t="str">
        <f t="shared" si="33"/>
        <v>Funded</v>
      </c>
      <c r="M393">
        <f t="shared" si="34"/>
        <v>1.940259477546499</v>
      </c>
    </row>
    <row r="394" spans="1:13" x14ac:dyDescent="0.25">
      <c r="A394" t="s">
        <v>962</v>
      </c>
      <c r="B394" t="s">
        <v>81</v>
      </c>
      <c r="C394" t="s">
        <v>963</v>
      </c>
      <c r="D394" t="s">
        <v>964</v>
      </c>
      <c r="E394" t="s">
        <v>10</v>
      </c>
      <c r="F394" t="s">
        <v>11</v>
      </c>
      <c r="H394">
        <v>1</v>
      </c>
      <c r="I394">
        <f t="shared" si="30"/>
        <v>3</v>
      </c>
      <c r="J394" s="2">
        <f t="shared" si="31"/>
        <v>0.76100000000000001</v>
      </c>
      <c r="K394">
        <f t="shared" si="32"/>
        <v>3.9421813403416555</v>
      </c>
      <c r="L394" t="str">
        <f t="shared" si="33"/>
        <v>Funded</v>
      </c>
      <c r="M394">
        <f t="shared" si="34"/>
        <v>1.3717342097885608</v>
      </c>
    </row>
    <row r="395" spans="1:13" x14ac:dyDescent="0.25">
      <c r="A395" t="s">
        <v>965</v>
      </c>
      <c r="B395" t="s">
        <v>81</v>
      </c>
      <c r="C395" t="s">
        <v>966</v>
      </c>
      <c r="D395" t="s">
        <v>967</v>
      </c>
      <c r="E395" t="s">
        <v>10</v>
      </c>
      <c r="F395" t="s">
        <v>11</v>
      </c>
      <c r="H395">
        <v>1</v>
      </c>
      <c r="I395">
        <f t="shared" si="30"/>
        <v>3</v>
      </c>
      <c r="J395" s="2">
        <f t="shared" si="31"/>
        <v>0.58799999999999997</v>
      </c>
      <c r="K395">
        <f t="shared" si="32"/>
        <v>5.1020408163265305</v>
      </c>
      <c r="L395" t="str">
        <f t="shared" si="33"/>
        <v>Funded</v>
      </c>
      <c r="M395">
        <f t="shared" si="34"/>
        <v>1.6296406197516198</v>
      </c>
    </row>
    <row r="396" spans="1:13" x14ac:dyDescent="0.25">
      <c r="A396" t="s">
        <v>968</v>
      </c>
      <c r="B396" t="s">
        <v>81</v>
      </c>
      <c r="C396" t="s">
        <v>780</v>
      </c>
      <c r="D396" t="s">
        <v>969</v>
      </c>
      <c r="E396" t="s">
        <v>170</v>
      </c>
      <c r="F396" t="s">
        <v>50</v>
      </c>
      <c r="H396">
        <v>1</v>
      </c>
      <c r="I396">
        <f t="shared" si="30"/>
        <v>3</v>
      </c>
      <c r="J396" s="2">
        <f t="shared" si="31"/>
        <v>0.45</v>
      </c>
      <c r="K396">
        <f t="shared" si="32"/>
        <v>6.6666666666666661</v>
      </c>
      <c r="L396" t="str">
        <f t="shared" si="33"/>
        <v>Funded</v>
      </c>
      <c r="M396">
        <f t="shared" si="34"/>
        <v>1.8971199848858813</v>
      </c>
    </row>
    <row r="397" spans="1:13" x14ac:dyDescent="0.25">
      <c r="A397" t="s">
        <v>970</v>
      </c>
      <c r="B397" t="s">
        <v>81</v>
      </c>
      <c r="C397" t="s">
        <v>971</v>
      </c>
      <c r="D397" t="s">
        <v>972</v>
      </c>
      <c r="E397" t="s">
        <v>20</v>
      </c>
      <c r="F397" t="s">
        <v>21</v>
      </c>
      <c r="H397">
        <v>1</v>
      </c>
      <c r="I397">
        <f t="shared" si="30"/>
        <v>3</v>
      </c>
      <c r="J397" s="2">
        <f t="shared" si="31"/>
        <v>0.53600000000000003</v>
      </c>
      <c r="K397">
        <f t="shared" si="32"/>
        <v>5.5970149253731343</v>
      </c>
      <c r="L397" t="str">
        <f t="shared" si="33"/>
        <v>Funded</v>
      </c>
      <c r="M397">
        <f t="shared" si="34"/>
        <v>1.7222334065794447</v>
      </c>
    </row>
    <row r="398" spans="1:13" x14ac:dyDescent="0.25">
      <c r="A398" t="s">
        <v>973</v>
      </c>
      <c r="B398" t="s">
        <v>81</v>
      </c>
      <c r="C398" t="s">
        <v>216</v>
      </c>
      <c r="D398" t="s">
        <v>974</v>
      </c>
      <c r="E398" t="s">
        <v>20</v>
      </c>
      <c r="F398" t="s">
        <v>21</v>
      </c>
      <c r="H398">
        <v>1</v>
      </c>
      <c r="I398">
        <f t="shared" si="30"/>
        <v>3</v>
      </c>
      <c r="J398" s="2">
        <f t="shared" si="31"/>
        <v>0.97499999999999998</v>
      </c>
      <c r="K398">
        <f t="shared" si="32"/>
        <v>3.0769230769230771</v>
      </c>
      <c r="L398" t="str">
        <f t="shared" si="33"/>
        <v>Funded</v>
      </c>
      <c r="M398">
        <f t="shared" si="34"/>
        <v>1.1239300966523995</v>
      </c>
    </row>
    <row r="399" spans="1:13" x14ac:dyDescent="0.25">
      <c r="A399" t="s">
        <v>975</v>
      </c>
      <c r="B399" t="s">
        <v>81</v>
      </c>
      <c r="C399" t="s">
        <v>976</v>
      </c>
      <c r="D399" t="s">
        <v>448</v>
      </c>
      <c r="E399" t="s">
        <v>230</v>
      </c>
      <c r="F399" t="s">
        <v>50</v>
      </c>
      <c r="H399">
        <v>1</v>
      </c>
      <c r="I399">
        <f t="shared" si="30"/>
        <v>3</v>
      </c>
      <c r="J399" s="2">
        <f t="shared" si="31"/>
        <v>0.42</v>
      </c>
      <c r="K399">
        <f t="shared" si="32"/>
        <v>7.1428571428571432</v>
      </c>
      <c r="L399" t="str">
        <f t="shared" si="33"/>
        <v>Funded</v>
      </c>
      <c r="M399">
        <f t="shared" si="34"/>
        <v>1.9661128563728327</v>
      </c>
    </row>
    <row r="400" spans="1:13" x14ac:dyDescent="0.25">
      <c r="A400" t="s">
        <v>977</v>
      </c>
      <c r="B400" t="s">
        <v>81</v>
      </c>
      <c r="C400" t="s">
        <v>978</v>
      </c>
      <c r="D400" t="s">
        <v>225</v>
      </c>
      <c r="E400" t="s">
        <v>10</v>
      </c>
      <c r="F400" t="s">
        <v>11</v>
      </c>
      <c r="H400">
        <v>1</v>
      </c>
      <c r="I400">
        <f t="shared" si="30"/>
        <v>3</v>
      </c>
      <c r="J400" s="2">
        <f t="shared" si="31"/>
        <v>0.14099999999999999</v>
      </c>
      <c r="K400">
        <f t="shared" si="32"/>
        <v>21.276595744680854</v>
      </c>
      <c r="L400" t="str">
        <f t="shared" si="33"/>
        <v>Funded</v>
      </c>
      <c r="M400">
        <f t="shared" si="34"/>
        <v>3.0576076772720788</v>
      </c>
    </row>
    <row r="401" spans="1:13" x14ac:dyDescent="0.25">
      <c r="A401" t="s">
        <v>979</v>
      </c>
      <c r="B401" t="s">
        <v>81</v>
      </c>
      <c r="C401" t="s">
        <v>125</v>
      </c>
      <c r="D401" t="s">
        <v>980</v>
      </c>
      <c r="E401" t="s">
        <v>981</v>
      </c>
      <c r="F401" t="s">
        <v>526</v>
      </c>
      <c r="H401">
        <v>1</v>
      </c>
      <c r="I401">
        <f t="shared" si="30"/>
        <v>3</v>
      </c>
      <c r="J401" s="2">
        <f t="shared" si="31"/>
        <v>1</v>
      </c>
      <c r="K401">
        <f t="shared" si="32"/>
        <v>3</v>
      </c>
      <c r="L401" t="str">
        <f t="shared" si="33"/>
        <v>Funded</v>
      </c>
      <c r="M401">
        <f t="shared" si="34"/>
        <v>1.0986122886681098</v>
      </c>
    </row>
    <row r="402" spans="1:13" x14ac:dyDescent="0.25">
      <c r="A402" t="s">
        <v>982</v>
      </c>
      <c r="B402" t="s">
        <v>81</v>
      </c>
      <c r="C402" t="s">
        <v>983</v>
      </c>
      <c r="D402" t="s">
        <v>984</v>
      </c>
      <c r="E402" t="s">
        <v>44</v>
      </c>
      <c r="F402" t="s">
        <v>21</v>
      </c>
      <c r="H402">
        <v>1</v>
      </c>
      <c r="I402">
        <f t="shared" si="30"/>
        <v>3</v>
      </c>
      <c r="J402" s="2">
        <f t="shared" si="31"/>
        <v>0.74099999999999999</v>
      </c>
      <c r="K402">
        <f t="shared" si="32"/>
        <v>4.048582995951417</v>
      </c>
      <c r="L402" t="str">
        <f t="shared" si="33"/>
        <v>Funded</v>
      </c>
      <c r="M402">
        <f t="shared" si="34"/>
        <v>1.3983669423541598</v>
      </c>
    </row>
    <row r="403" spans="1:13" x14ac:dyDescent="0.25">
      <c r="A403" t="s">
        <v>985</v>
      </c>
      <c r="B403" t="s">
        <v>81</v>
      </c>
      <c r="C403" t="s">
        <v>986</v>
      </c>
      <c r="D403" t="s">
        <v>987</v>
      </c>
      <c r="E403" t="s">
        <v>365</v>
      </c>
      <c r="F403" t="s">
        <v>11</v>
      </c>
      <c r="H403">
        <v>1</v>
      </c>
      <c r="I403">
        <f t="shared" si="30"/>
        <v>3</v>
      </c>
      <c r="J403" s="2">
        <f t="shared" si="31"/>
        <v>0.29899999999999999</v>
      </c>
      <c r="K403">
        <f t="shared" si="32"/>
        <v>10.033444816053512</v>
      </c>
      <c r="L403" t="str">
        <f t="shared" si="33"/>
        <v>Funded</v>
      </c>
      <c r="M403">
        <f t="shared" si="34"/>
        <v>2.3059239942595604</v>
      </c>
    </row>
    <row r="404" spans="1:13" x14ac:dyDescent="0.25">
      <c r="A404" t="s">
        <v>988</v>
      </c>
      <c r="B404" t="s">
        <v>81</v>
      </c>
      <c r="C404" t="s">
        <v>989</v>
      </c>
      <c r="D404" t="s">
        <v>120</v>
      </c>
      <c r="E404" t="s">
        <v>10</v>
      </c>
      <c r="F404" t="s">
        <v>11</v>
      </c>
      <c r="H404">
        <v>1</v>
      </c>
      <c r="I404">
        <f t="shared" si="30"/>
        <v>3</v>
      </c>
      <c r="J404" s="2">
        <f t="shared" si="31"/>
        <v>0.69799999999999995</v>
      </c>
      <c r="K404">
        <f t="shared" si="32"/>
        <v>4.2979942693409745</v>
      </c>
      <c r="L404" t="str">
        <f t="shared" si="33"/>
        <v>Funded</v>
      </c>
      <c r="M404">
        <f t="shared" si="34"/>
        <v>1.4581484648878744</v>
      </c>
    </row>
    <row r="405" spans="1:13" x14ac:dyDescent="0.25">
      <c r="A405" t="s">
        <v>990</v>
      </c>
      <c r="B405" t="s">
        <v>81</v>
      </c>
      <c r="C405" t="s">
        <v>991</v>
      </c>
      <c r="D405" t="s">
        <v>992</v>
      </c>
      <c r="E405" t="s">
        <v>10</v>
      </c>
      <c r="F405" t="s">
        <v>11</v>
      </c>
      <c r="H405">
        <v>1</v>
      </c>
      <c r="I405">
        <f t="shared" si="30"/>
        <v>3</v>
      </c>
      <c r="J405" s="2">
        <f t="shared" si="31"/>
        <v>0.39400000000000002</v>
      </c>
      <c r="K405">
        <f t="shared" si="32"/>
        <v>7.6142131979695424</v>
      </c>
      <c r="L405" t="str">
        <f t="shared" si="33"/>
        <v>Funded</v>
      </c>
      <c r="M405">
        <f t="shared" si="34"/>
        <v>2.0300166583523129</v>
      </c>
    </row>
    <row r="406" spans="1:13" x14ac:dyDescent="0.25">
      <c r="A406" t="s">
        <v>993</v>
      </c>
      <c r="B406" t="s">
        <v>81</v>
      </c>
      <c r="C406" t="s">
        <v>702</v>
      </c>
      <c r="D406" t="s">
        <v>169</v>
      </c>
      <c r="E406" t="s">
        <v>365</v>
      </c>
      <c r="F406" t="s">
        <v>11</v>
      </c>
      <c r="H406">
        <v>1</v>
      </c>
      <c r="I406">
        <f t="shared" si="30"/>
        <v>3</v>
      </c>
      <c r="J406" s="2">
        <f t="shared" si="31"/>
        <v>0.48</v>
      </c>
      <c r="K406">
        <f t="shared" si="32"/>
        <v>6.25</v>
      </c>
      <c r="L406" t="str">
        <f t="shared" si="33"/>
        <v>Funded</v>
      </c>
      <c r="M406">
        <f t="shared" si="34"/>
        <v>1.8325814637483102</v>
      </c>
    </row>
    <row r="407" spans="1:13" x14ac:dyDescent="0.25">
      <c r="A407" t="s">
        <v>994</v>
      </c>
      <c r="B407" t="s">
        <v>81</v>
      </c>
      <c r="C407" t="s">
        <v>995</v>
      </c>
      <c r="D407" t="s">
        <v>331</v>
      </c>
      <c r="E407" t="s">
        <v>10</v>
      </c>
      <c r="F407" t="s">
        <v>11</v>
      </c>
      <c r="H407">
        <v>1</v>
      </c>
      <c r="I407">
        <f t="shared" si="30"/>
        <v>3</v>
      </c>
      <c r="J407" s="2">
        <f t="shared" si="31"/>
        <v>0.33400000000000002</v>
      </c>
      <c r="K407">
        <f t="shared" si="32"/>
        <v>8.9820359281437128</v>
      </c>
      <c r="L407" t="str">
        <f t="shared" si="33"/>
        <v>Funded</v>
      </c>
      <c r="M407">
        <f t="shared" si="34"/>
        <v>2.1952265746735464</v>
      </c>
    </row>
    <row r="408" spans="1:13" x14ac:dyDescent="0.25">
      <c r="A408" t="s">
        <v>996</v>
      </c>
      <c r="B408" t="s">
        <v>81</v>
      </c>
      <c r="C408" t="s">
        <v>997</v>
      </c>
      <c r="D408" t="s">
        <v>998</v>
      </c>
      <c r="E408" t="s">
        <v>20</v>
      </c>
      <c r="F408" t="s">
        <v>21</v>
      </c>
      <c r="H408">
        <v>1</v>
      </c>
      <c r="I408">
        <f t="shared" si="30"/>
        <v>3</v>
      </c>
      <c r="J408" s="2">
        <f t="shared" si="31"/>
        <v>0.31900000000000001</v>
      </c>
      <c r="K408">
        <f t="shared" si="32"/>
        <v>9.4043887147335425</v>
      </c>
      <c r="L408" t="str">
        <f t="shared" si="33"/>
        <v>Funded</v>
      </c>
      <c r="M408">
        <f t="shared" si="34"/>
        <v>2.241176464865402</v>
      </c>
    </row>
    <row r="409" spans="1:13" x14ac:dyDescent="0.25">
      <c r="A409" t="s">
        <v>999</v>
      </c>
      <c r="B409" t="s">
        <v>81</v>
      </c>
      <c r="C409" s="1">
        <v>0</v>
      </c>
      <c r="D409" t="s">
        <v>722</v>
      </c>
      <c r="E409" t="s">
        <v>210</v>
      </c>
      <c r="F409" t="s">
        <v>50</v>
      </c>
      <c r="H409">
        <v>1</v>
      </c>
      <c r="I409">
        <f t="shared" si="30"/>
        <v>3</v>
      </c>
      <c r="J409" s="2">
        <f t="shared" si="31"/>
        <v>0</v>
      </c>
      <c r="K409" t="str">
        <f t="shared" si="32"/>
        <v/>
      </c>
      <c r="L409" t="str">
        <f t="shared" si="33"/>
        <v>Bootstrapped</v>
      </c>
      <c r="M409" t="str">
        <f t="shared" si="34"/>
        <v/>
      </c>
    </row>
    <row r="410" spans="1:13" x14ac:dyDescent="0.25">
      <c r="A410" t="s">
        <v>1000</v>
      </c>
      <c r="B410" t="s">
        <v>81</v>
      </c>
      <c r="C410" t="s">
        <v>1001</v>
      </c>
      <c r="D410" t="s">
        <v>476</v>
      </c>
      <c r="E410" t="s">
        <v>10</v>
      </c>
      <c r="F410" t="s">
        <v>11</v>
      </c>
      <c r="H410">
        <v>1</v>
      </c>
      <c r="I410">
        <f t="shared" si="30"/>
        <v>3</v>
      </c>
      <c r="J410" s="2">
        <f t="shared" si="31"/>
        <v>0.20200000000000001</v>
      </c>
      <c r="K410">
        <f t="shared" si="32"/>
        <v>14.85148514851485</v>
      </c>
      <c r="L410" t="str">
        <f t="shared" si="33"/>
        <v>Funded</v>
      </c>
      <c r="M410">
        <f t="shared" si="34"/>
        <v>2.6980998702490417</v>
      </c>
    </row>
    <row r="411" spans="1:13" x14ac:dyDescent="0.25">
      <c r="A411" t="s">
        <v>1002</v>
      </c>
      <c r="B411" t="s">
        <v>81</v>
      </c>
      <c r="C411" t="s">
        <v>1003</v>
      </c>
      <c r="D411" t="s">
        <v>1004</v>
      </c>
      <c r="E411" t="s">
        <v>10</v>
      </c>
      <c r="F411" t="s">
        <v>11</v>
      </c>
      <c r="H411">
        <v>1</v>
      </c>
      <c r="I411">
        <f t="shared" si="30"/>
        <v>3</v>
      </c>
      <c r="J411" s="2">
        <f t="shared" si="31"/>
        <v>0.156</v>
      </c>
      <c r="K411">
        <f t="shared" si="32"/>
        <v>19.23076923076923</v>
      </c>
      <c r="L411" t="str">
        <f t="shared" si="33"/>
        <v>Funded</v>
      </c>
      <c r="M411">
        <f t="shared" si="34"/>
        <v>2.9565115604007097</v>
      </c>
    </row>
    <row r="412" spans="1:13" x14ac:dyDescent="0.25">
      <c r="A412" t="s">
        <v>1005</v>
      </c>
      <c r="B412" t="s">
        <v>81</v>
      </c>
      <c r="C412" t="s">
        <v>1006</v>
      </c>
      <c r="D412" t="s">
        <v>1007</v>
      </c>
      <c r="E412" t="s">
        <v>1008</v>
      </c>
      <c r="F412" t="s">
        <v>11</v>
      </c>
      <c r="H412">
        <v>1</v>
      </c>
      <c r="I412">
        <f t="shared" si="30"/>
        <v>3</v>
      </c>
      <c r="J412" s="2">
        <f t="shared" si="31"/>
        <v>0.41</v>
      </c>
      <c r="K412">
        <f t="shared" si="32"/>
        <v>7.3170731707317076</v>
      </c>
      <c r="L412" t="str">
        <f t="shared" si="33"/>
        <v>Funded</v>
      </c>
      <c r="M412">
        <f t="shared" si="34"/>
        <v>1.9902104079518932</v>
      </c>
    </row>
    <row r="413" spans="1:13" x14ac:dyDescent="0.25">
      <c r="A413" t="s">
        <v>1009</v>
      </c>
      <c r="B413" t="s">
        <v>81</v>
      </c>
      <c r="C413" t="s">
        <v>602</v>
      </c>
      <c r="D413" t="s">
        <v>1010</v>
      </c>
      <c r="E413" t="s">
        <v>10</v>
      </c>
      <c r="F413" t="s">
        <v>11</v>
      </c>
      <c r="H413">
        <v>1</v>
      </c>
      <c r="I413">
        <f t="shared" si="30"/>
        <v>3</v>
      </c>
      <c r="J413" s="2">
        <f t="shared" si="31"/>
        <v>0.47499999999999998</v>
      </c>
      <c r="K413">
        <f t="shared" si="32"/>
        <v>6.3157894736842106</v>
      </c>
      <c r="L413" t="str">
        <f t="shared" si="33"/>
        <v>Funded</v>
      </c>
      <c r="M413">
        <f t="shared" si="34"/>
        <v>1.8430527636156055</v>
      </c>
    </row>
    <row r="414" spans="1:13" x14ac:dyDescent="0.25">
      <c r="A414" t="s">
        <v>1011</v>
      </c>
      <c r="B414" t="s">
        <v>81</v>
      </c>
      <c r="C414" t="s">
        <v>241</v>
      </c>
      <c r="D414" t="s">
        <v>1012</v>
      </c>
      <c r="E414" t="s">
        <v>554</v>
      </c>
      <c r="F414" t="s">
        <v>526</v>
      </c>
      <c r="H414">
        <v>1</v>
      </c>
      <c r="I414">
        <f t="shared" si="30"/>
        <v>3</v>
      </c>
      <c r="J414" s="2">
        <f t="shared" si="31"/>
        <v>0.628</v>
      </c>
      <c r="K414">
        <f t="shared" si="32"/>
        <v>4.7770700636942678</v>
      </c>
      <c r="L414" t="str">
        <f t="shared" si="33"/>
        <v>Funded</v>
      </c>
      <c r="M414">
        <f t="shared" si="34"/>
        <v>1.5638274011820481</v>
      </c>
    </row>
    <row r="415" spans="1:13" x14ac:dyDescent="0.25">
      <c r="A415" t="s">
        <v>1013</v>
      </c>
      <c r="B415" t="s">
        <v>81</v>
      </c>
      <c r="C415" t="s">
        <v>1014</v>
      </c>
      <c r="D415" t="s">
        <v>1015</v>
      </c>
      <c r="E415" t="s">
        <v>44</v>
      </c>
      <c r="F415" t="s">
        <v>21</v>
      </c>
      <c r="H415">
        <v>1</v>
      </c>
      <c r="I415">
        <f t="shared" si="30"/>
        <v>3</v>
      </c>
      <c r="J415" s="2">
        <f t="shared" si="31"/>
        <v>0.754</v>
      </c>
      <c r="K415">
        <f t="shared" si="32"/>
        <v>3.9787798408488064</v>
      </c>
      <c r="L415" t="str">
        <f t="shared" si="33"/>
        <v>Funded</v>
      </c>
      <c r="M415">
        <f t="shared" si="34"/>
        <v>1.3809751996422908</v>
      </c>
    </row>
    <row r="416" spans="1:13" x14ac:dyDescent="0.25">
      <c r="A416" t="s">
        <v>1016</v>
      </c>
      <c r="B416" t="s">
        <v>81</v>
      </c>
      <c r="C416" t="s">
        <v>1017</v>
      </c>
      <c r="D416" t="s">
        <v>1018</v>
      </c>
      <c r="E416" t="s">
        <v>294</v>
      </c>
      <c r="F416" t="s">
        <v>21</v>
      </c>
      <c r="H416">
        <v>1</v>
      </c>
      <c r="I416">
        <f t="shared" si="30"/>
        <v>3</v>
      </c>
      <c r="J416" s="2">
        <f t="shared" si="31"/>
        <v>8.9999999999999993E-3</v>
      </c>
      <c r="K416">
        <f t="shared" si="32"/>
        <v>333.33333333333337</v>
      </c>
      <c r="L416" t="str">
        <f t="shared" si="33"/>
        <v>Funded</v>
      </c>
      <c r="M416">
        <f t="shared" si="34"/>
        <v>5.8091429903140277</v>
      </c>
    </row>
    <row r="417" spans="1:13" x14ac:dyDescent="0.25">
      <c r="A417" t="s">
        <v>1019</v>
      </c>
      <c r="B417" t="s">
        <v>81</v>
      </c>
      <c r="C417" t="s">
        <v>125</v>
      </c>
      <c r="D417" t="s">
        <v>1020</v>
      </c>
      <c r="E417" t="s">
        <v>10</v>
      </c>
      <c r="F417" t="s">
        <v>11</v>
      </c>
      <c r="H417">
        <v>1</v>
      </c>
      <c r="I417">
        <f t="shared" si="30"/>
        <v>3</v>
      </c>
      <c r="J417" s="2">
        <f t="shared" si="31"/>
        <v>1</v>
      </c>
      <c r="K417">
        <f t="shared" si="32"/>
        <v>3</v>
      </c>
      <c r="L417" t="str">
        <f t="shared" si="33"/>
        <v>Funded</v>
      </c>
      <c r="M417">
        <f t="shared" si="34"/>
        <v>1.0986122886681098</v>
      </c>
    </row>
    <row r="418" spans="1:13" x14ac:dyDescent="0.25">
      <c r="A418" t="s">
        <v>1021</v>
      </c>
      <c r="B418" t="s">
        <v>81</v>
      </c>
      <c r="C418" t="s">
        <v>1022</v>
      </c>
      <c r="D418" t="s">
        <v>1023</v>
      </c>
      <c r="E418" t="s">
        <v>10</v>
      </c>
      <c r="F418" t="s">
        <v>11</v>
      </c>
      <c r="H418">
        <v>1</v>
      </c>
      <c r="I418">
        <f t="shared" si="30"/>
        <v>3</v>
      </c>
      <c r="J418" s="2">
        <f t="shared" si="31"/>
        <v>9.2999999999999999E-2</v>
      </c>
      <c r="K418">
        <f t="shared" si="32"/>
        <v>32.258064516129032</v>
      </c>
      <c r="L418" t="str">
        <f t="shared" si="33"/>
        <v>Funded</v>
      </c>
      <c r="M418">
        <f t="shared" si="34"/>
        <v>3.473768074496991</v>
      </c>
    </row>
    <row r="419" spans="1:13" x14ac:dyDescent="0.25">
      <c r="A419" t="s">
        <v>1024</v>
      </c>
      <c r="B419" t="s">
        <v>81</v>
      </c>
      <c r="C419" t="s">
        <v>60</v>
      </c>
      <c r="D419" t="s">
        <v>1025</v>
      </c>
      <c r="E419" t="s">
        <v>10</v>
      </c>
      <c r="F419" t="s">
        <v>11</v>
      </c>
      <c r="H419">
        <v>1</v>
      </c>
      <c r="I419">
        <f t="shared" si="30"/>
        <v>3</v>
      </c>
      <c r="J419" s="2">
        <f t="shared" si="31"/>
        <v>0.57999999999999996</v>
      </c>
      <c r="K419">
        <f t="shared" si="32"/>
        <v>5.1724137931034484</v>
      </c>
      <c r="L419" t="str">
        <f t="shared" si="33"/>
        <v>Funded</v>
      </c>
      <c r="M419">
        <f t="shared" si="34"/>
        <v>1.6433394641097818</v>
      </c>
    </row>
    <row r="420" spans="1:13" x14ac:dyDescent="0.25">
      <c r="A420" t="s">
        <v>1026</v>
      </c>
      <c r="B420" t="s">
        <v>81</v>
      </c>
      <c r="C420" t="s">
        <v>1027</v>
      </c>
      <c r="D420" t="s">
        <v>254</v>
      </c>
      <c r="E420" t="s">
        <v>10</v>
      </c>
      <c r="F420" t="s">
        <v>11</v>
      </c>
      <c r="H420">
        <v>1</v>
      </c>
      <c r="I420">
        <f t="shared" si="30"/>
        <v>3</v>
      </c>
      <c r="J420" s="2">
        <f t="shared" si="31"/>
        <v>0.496</v>
      </c>
      <c r="K420">
        <f t="shared" si="32"/>
        <v>6.0483870967741939</v>
      </c>
      <c r="L420" t="str">
        <f t="shared" si="33"/>
        <v>Funded</v>
      </c>
      <c r="M420">
        <f t="shared" si="34"/>
        <v>1.7997916409253194</v>
      </c>
    </row>
    <row r="421" spans="1:13" x14ac:dyDescent="0.25">
      <c r="A421" t="s">
        <v>1028</v>
      </c>
      <c r="B421" t="s">
        <v>81</v>
      </c>
      <c r="C421" t="s">
        <v>1029</v>
      </c>
      <c r="D421" t="s">
        <v>1030</v>
      </c>
      <c r="E421" t="s">
        <v>10</v>
      </c>
      <c r="F421" t="s">
        <v>11</v>
      </c>
      <c r="H421">
        <v>1</v>
      </c>
      <c r="I421">
        <f t="shared" si="30"/>
        <v>3</v>
      </c>
      <c r="J421" s="2">
        <f t="shared" si="31"/>
        <v>0.47199999999999998</v>
      </c>
      <c r="K421">
        <f t="shared" si="32"/>
        <v>6.3559322033898304</v>
      </c>
      <c r="L421" t="str">
        <f t="shared" si="33"/>
        <v>Funded</v>
      </c>
      <c r="M421">
        <f t="shared" si="34"/>
        <v>1.8493885820646914</v>
      </c>
    </row>
    <row r="422" spans="1:13" x14ac:dyDescent="0.25">
      <c r="A422" t="s">
        <v>1031</v>
      </c>
      <c r="B422" t="s">
        <v>81</v>
      </c>
      <c r="C422" t="s">
        <v>882</v>
      </c>
      <c r="D422" t="s">
        <v>1032</v>
      </c>
      <c r="E422" t="s">
        <v>20</v>
      </c>
      <c r="F422" t="s">
        <v>21</v>
      </c>
      <c r="H422">
        <v>1</v>
      </c>
      <c r="I422">
        <f t="shared" si="30"/>
        <v>3</v>
      </c>
      <c r="J422" s="2">
        <f t="shared" si="31"/>
        <v>0.61199999999999999</v>
      </c>
      <c r="K422">
        <f t="shared" si="32"/>
        <v>4.9019607843137258</v>
      </c>
      <c r="L422" t="str">
        <f t="shared" si="33"/>
        <v>Funded</v>
      </c>
      <c r="M422">
        <f t="shared" si="34"/>
        <v>1.5896352851379207</v>
      </c>
    </row>
    <row r="423" spans="1:13" x14ac:dyDescent="0.25">
      <c r="A423" t="s">
        <v>1033</v>
      </c>
      <c r="B423" t="s">
        <v>81</v>
      </c>
      <c r="C423" t="s">
        <v>53</v>
      </c>
      <c r="D423" t="s">
        <v>1034</v>
      </c>
      <c r="E423" t="s">
        <v>1035</v>
      </c>
      <c r="F423" t="s">
        <v>21</v>
      </c>
      <c r="H423">
        <v>1</v>
      </c>
      <c r="I423">
        <f t="shared" si="30"/>
        <v>3</v>
      </c>
      <c r="J423" s="2">
        <f t="shared" si="31"/>
        <v>4</v>
      </c>
      <c r="K423">
        <f t="shared" si="32"/>
        <v>0.75</v>
      </c>
      <c r="L423" t="str">
        <f t="shared" si="33"/>
        <v>Funded</v>
      </c>
      <c r="M423">
        <f t="shared" si="34"/>
        <v>-0.2876820724517809</v>
      </c>
    </row>
    <row r="424" spans="1:13" x14ac:dyDescent="0.25">
      <c r="A424" t="s">
        <v>1036</v>
      </c>
      <c r="B424" t="s">
        <v>81</v>
      </c>
      <c r="C424" s="1">
        <v>0</v>
      </c>
      <c r="E424" t="s">
        <v>20</v>
      </c>
      <c r="F424" t="s">
        <v>21</v>
      </c>
      <c r="H424">
        <v>1</v>
      </c>
      <c r="I424">
        <f t="shared" si="30"/>
        <v>3</v>
      </c>
      <c r="J424" s="2">
        <f t="shared" si="31"/>
        <v>0</v>
      </c>
      <c r="K424" t="str">
        <f t="shared" si="32"/>
        <v/>
      </c>
      <c r="L424" t="str">
        <f t="shared" si="33"/>
        <v>Bootstrapped</v>
      </c>
      <c r="M424" t="str">
        <f t="shared" si="34"/>
        <v/>
      </c>
    </row>
    <row r="425" spans="1:13" x14ac:dyDescent="0.25">
      <c r="A425" t="s">
        <v>1037</v>
      </c>
      <c r="B425" t="s">
        <v>81</v>
      </c>
      <c r="C425" t="s">
        <v>1038</v>
      </c>
      <c r="D425" t="s">
        <v>1039</v>
      </c>
      <c r="E425" t="s">
        <v>10</v>
      </c>
      <c r="F425" t="s">
        <v>11</v>
      </c>
      <c r="H425">
        <v>1</v>
      </c>
      <c r="I425">
        <f t="shared" si="30"/>
        <v>3</v>
      </c>
      <c r="J425" s="2">
        <f t="shared" si="31"/>
        <v>0.64200000000000002</v>
      </c>
      <c r="K425">
        <f t="shared" si="32"/>
        <v>4.6728971962616823</v>
      </c>
      <c r="L425" t="str">
        <f t="shared" si="33"/>
        <v>Funded</v>
      </c>
      <c r="M425">
        <f t="shared" si="34"/>
        <v>1.5417792639602856</v>
      </c>
    </row>
    <row r="426" spans="1:13" x14ac:dyDescent="0.25">
      <c r="A426" t="s">
        <v>1040</v>
      </c>
      <c r="B426" t="s">
        <v>81</v>
      </c>
      <c r="C426" t="s">
        <v>1041</v>
      </c>
      <c r="D426" t="s">
        <v>1042</v>
      </c>
      <c r="E426" t="s">
        <v>10</v>
      </c>
      <c r="F426" t="s">
        <v>11</v>
      </c>
      <c r="H426">
        <v>1</v>
      </c>
      <c r="I426">
        <f t="shared" si="30"/>
        <v>3</v>
      </c>
      <c r="J426" s="2">
        <f t="shared" si="31"/>
        <v>0.626</v>
      </c>
      <c r="K426">
        <f t="shared" si="32"/>
        <v>4.7923322683706067</v>
      </c>
      <c r="L426" t="str">
        <f t="shared" si="33"/>
        <v>Funded</v>
      </c>
      <c r="M426">
        <f t="shared" si="34"/>
        <v>1.567017196550148</v>
      </c>
    </row>
    <row r="427" spans="1:13" x14ac:dyDescent="0.25">
      <c r="A427" t="s">
        <v>1043</v>
      </c>
      <c r="B427" t="s">
        <v>81</v>
      </c>
      <c r="C427" t="s">
        <v>521</v>
      </c>
      <c r="D427" t="s">
        <v>469</v>
      </c>
      <c r="E427" t="s">
        <v>170</v>
      </c>
      <c r="F427" t="s">
        <v>50</v>
      </c>
      <c r="H427">
        <v>1</v>
      </c>
      <c r="I427">
        <f t="shared" si="30"/>
        <v>3</v>
      </c>
      <c r="J427" s="2">
        <f t="shared" si="31"/>
        <v>0.56200000000000006</v>
      </c>
      <c r="K427">
        <f t="shared" si="32"/>
        <v>5.3380782918149459</v>
      </c>
      <c r="L427" t="str">
        <f t="shared" si="33"/>
        <v>Funded</v>
      </c>
      <c r="M427">
        <f t="shared" si="34"/>
        <v>1.6748657177565556</v>
      </c>
    </row>
    <row r="428" spans="1:13" x14ac:dyDescent="0.25">
      <c r="A428" t="s">
        <v>1044</v>
      </c>
      <c r="B428" t="s">
        <v>81</v>
      </c>
      <c r="C428" t="s">
        <v>1045</v>
      </c>
      <c r="D428" t="s">
        <v>1046</v>
      </c>
      <c r="E428" t="s">
        <v>10</v>
      </c>
      <c r="F428" t="s">
        <v>11</v>
      </c>
      <c r="H428">
        <v>1</v>
      </c>
      <c r="I428">
        <f t="shared" si="30"/>
        <v>3</v>
      </c>
      <c r="J428" s="2">
        <f t="shared" si="31"/>
        <v>0.63600000000000001</v>
      </c>
      <c r="K428">
        <f t="shared" si="32"/>
        <v>4.716981132075472</v>
      </c>
      <c r="L428" t="str">
        <f t="shared" si="33"/>
        <v>Funded</v>
      </c>
      <c r="M428">
        <f t="shared" si="34"/>
        <v>1.5511690043101247</v>
      </c>
    </row>
    <row r="429" spans="1:13" x14ac:dyDescent="0.25">
      <c r="A429" t="s">
        <v>1047</v>
      </c>
      <c r="B429" t="s">
        <v>81</v>
      </c>
      <c r="C429" t="s">
        <v>345</v>
      </c>
      <c r="D429" t="s">
        <v>1048</v>
      </c>
      <c r="E429" t="s">
        <v>10</v>
      </c>
      <c r="F429" t="s">
        <v>11</v>
      </c>
      <c r="H429">
        <v>1</v>
      </c>
      <c r="I429">
        <f t="shared" si="30"/>
        <v>3</v>
      </c>
      <c r="J429" s="2">
        <f t="shared" si="31"/>
        <v>0.47399999999999998</v>
      </c>
      <c r="K429">
        <f t="shared" si="32"/>
        <v>6.3291139240506329</v>
      </c>
      <c r="L429" t="str">
        <f t="shared" si="33"/>
        <v>Funded</v>
      </c>
      <c r="M429">
        <f t="shared" si="34"/>
        <v>1.8451602459551701</v>
      </c>
    </row>
    <row r="430" spans="1:13" x14ac:dyDescent="0.25">
      <c r="A430" t="s">
        <v>1049</v>
      </c>
      <c r="B430" t="s">
        <v>81</v>
      </c>
      <c r="C430" t="s">
        <v>1050</v>
      </c>
      <c r="D430" t="s">
        <v>1051</v>
      </c>
      <c r="E430" t="s">
        <v>10</v>
      </c>
      <c r="F430" t="s">
        <v>11</v>
      </c>
      <c r="H430">
        <v>1</v>
      </c>
      <c r="I430">
        <f t="shared" si="30"/>
        <v>3</v>
      </c>
      <c r="J430" s="2">
        <f t="shared" si="31"/>
        <v>0.89</v>
      </c>
      <c r="K430">
        <f t="shared" si="32"/>
        <v>3.3707865168539324</v>
      </c>
      <c r="L430" t="str">
        <f t="shared" si="33"/>
        <v>Funded</v>
      </c>
      <c r="M430">
        <f t="shared" si="34"/>
        <v>1.2151461049240611</v>
      </c>
    </row>
    <row r="431" spans="1:13" x14ac:dyDescent="0.25">
      <c r="A431" t="s">
        <v>1052</v>
      </c>
      <c r="B431" t="s">
        <v>81</v>
      </c>
      <c r="C431" t="s">
        <v>645</v>
      </c>
      <c r="D431" t="s">
        <v>1053</v>
      </c>
      <c r="E431" t="s">
        <v>522</v>
      </c>
      <c r="F431" t="s">
        <v>50</v>
      </c>
      <c r="H431">
        <v>1</v>
      </c>
      <c r="I431">
        <f t="shared" si="30"/>
        <v>3</v>
      </c>
      <c r="J431" s="2">
        <f t="shared" si="31"/>
        <v>0.2</v>
      </c>
      <c r="K431">
        <f t="shared" si="32"/>
        <v>15</v>
      </c>
      <c r="L431" t="str">
        <f t="shared" si="33"/>
        <v>Funded</v>
      </c>
      <c r="M431">
        <f t="shared" si="34"/>
        <v>2.7080502011022101</v>
      </c>
    </row>
    <row r="432" spans="1:13" x14ac:dyDescent="0.25">
      <c r="A432" t="s">
        <v>1054</v>
      </c>
      <c r="B432" t="s">
        <v>81</v>
      </c>
      <c r="C432" t="s">
        <v>1055</v>
      </c>
      <c r="D432" t="s">
        <v>1056</v>
      </c>
      <c r="E432" t="s">
        <v>10</v>
      </c>
      <c r="F432" t="s">
        <v>11</v>
      </c>
      <c r="H432">
        <v>1</v>
      </c>
      <c r="I432">
        <f t="shared" si="30"/>
        <v>3</v>
      </c>
      <c r="J432" s="2">
        <f t="shared" si="31"/>
        <v>0.26800000000000002</v>
      </c>
      <c r="K432">
        <f t="shared" si="32"/>
        <v>11.194029850746269</v>
      </c>
      <c r="L432" t="str">
        <f t="shared" si="33"/>
        <v>Funded</v>
      </c>
      <c r="M432">
        <f t="shared" si="34"/>
        <v>2.4153805871393899</v>
      </c>
    </row>
    <row r="433" spans="1:13" x14ac:dyDescent="0.25">
      <c r="A433" t="s">
        <v>1057</v>
      </c>
      <c r="B433" t="s">
        <v>81</v>
      </c>
      <c r="C433" t="s">
        <v>1058</v>
      </c>
      <c r="D433" t="s">
        <v>1059</v>
      </c>
      <c r="E433" t="s">
        <v>365</v>
      </c>
      <c r="F433" t="s">
        <v>11</v>
      </c>
      <c r="H433">
        <v>1</v>
      </c>
      <c r="I433">
        <f t="shared" si="30"/>
        <v>3</v>
      </c>
      <c r="J433" s="2">
        <f t="shared" si="31"/>
        <v>0.35099999999999998</v>
      </c>
      <c r="K433">
        <f t="shared" si="32"/>
        <v>8.5470085470085468</v>
      </c>
      <c r="L433" t="str">
        <f t="shared" si="33"/>
        <v>Funded</v>
      </c>
      <c r="M433">
        <f t="shared" si="34"/>
        <v>2.145581344184381</v>
      </c>
    </row>
    <row r="434" spans="1:13" x14ac:dyDescent="0.25">
      <c r="A434" t="s">
        <v>1060</v>
      </c>
      <c r="B434" t="s">
        <v>81</v>
      </c>
      <c r="C434" t="s">
        <v>1061</v>
      </c>
      <c r="D434" t="s">
        <v>1062</v>
      </c>
      <c r="E434" t="s">
        <v>10</v>
      </c>
      <c r="F434" t="s">
        <v>11</v>
      </c>
      <c r="H434">
        <v>1</v>
      </c>
      <c r="I434">
        <f t="shared" si="30"/>
        <v>3</v>
      </c>
      <c r="J434" s="2">
        <f t="shared" si="31"/>
        <v>0.217</v>
      </c>
      <c r="K434">
        <f t="shared" si="32"/>
        <v>13.824884792626728</v>
      </c>
      <c r="L434" t="str">
        <f t="shared" si="33"/>
        <v>Funded</v>
      </c>
      <c r="M434">
        <f t="shared" si="34"/>
        <v>2.6264702141097871</v>
      </c>
    </row>
    <row r="435" spans="1:13" x14ac:dyDescent="0.25">
      <c r="A435" t="s">
        <v>1063</v>
      </c>
      <c r="B435" t="s">
        <v>81</v>
      </c>
      <c r="C435" t="s">
        <v>1050</v>
      </c>
      <c r="D435" t="s">
        <v>1064</v>
      </c>
      <c r="E435" t="s">
        <v>10</v>
      </c>
      <c r="F435" t="s">
        <v>11</v>
      </c>
      <c r="H435">
        <v>1</v>
      </c>
      <c r="I435">
        <f t="shared" si="30"/>
        <v>3</v>
      </c>
      <c r="J435" s="2">
        <f t="shared" si="31"/>
        <v>0.89</v>
      </c>
      <c r="K435">
        <f t="shared" si="32"/>
        <v>3.3707865168539324</v>
      </c>
      <c r="L435" t="str">
        <f t="shared" si="33"/>
        <v>Funded</v>
      </c>
      <c r="M435">
        <f t="shared" si="34"/>
        <v>1.2151461049240611</v>
      </c>
    </row>
    <row r="436" spans="1:13" x14ac:dyDescent="0.25">
      <c r="A436" t="s">
        <v>1065</v>
      </c>
      <c r="B436" t="s">
        <v>81</v>
      </c>
      <c r="C436" t="s">
        <v>241</v>
      </c>
      <c r="D436" t="s">
        <v>1066</v>
      </c>
      <c r="E436" t="s">
        <v>273</v>
      </c>
      <c r="F436" t="s">
        <v>21</v>
      </c>
      <c r="H436">
        <v>1</v>
      </c>
      <c r="I436">
        <f t="shared" si="30"/>
        <v>3</v>
      </c>
      <c r="J436" s="2">
        <f t="shared" si="31"/>
        <v>0.628</v>
      </c>
      <c r="K436">
        <f t="shared" si="32"/>
        <v>4.7770700636942678</v>
      </c>
      <c r="L436" t="str">
        <f t="shared" si="33"/>
        <v>Funded</v>
      </c>
      <c r="M436">
        <f t="shared" si="34"/>
        <v>1.5638274011820481</v>
      </c>
    </row>
    <row r="437" spans="1:13" x14ac:dyDescent="0.25">
      <c r="A437" t="s">
        <v>1067</v>
      </c>
      <c r="B437" t="s">
        <v>81</v>
      </c>
      <c r="C437" t="s">
        <v>345</v>
      </c>
      <c r="D437" t="s">
        <v>1068</v>
      </c>
      <c r="E437" t="s">
        <v>10</v>
      </c>
      <c r="F437" t="s">
        <v>11</v>
      </c>
      <c r="H437">
        <v>1</v>
      </c>
      <c r="I437">
        <f t="shared" si="30"/>
        <v>3</v>
      </c>
      <c r="J437" s="2">
        <f t="shared" si="31"/>
        <v>0.47399999999999998</v>
      </c>
      <c r="K437">
        <f t="shared" si="32"/>
        <v>6.3291139240506329</v>
      </c>
      <c r="L437" t="str">
        <f t="shared" si="33"/>
        <v>Funded</v>
      </c>
      <c r="M437">
        <f t="shared" si="34"/>
        <v>1.8451602459551701</v>
      </c>
    </row>
    <row r="438" spans="1:13" x14ac:dyDescent="0.25">
      <c r="A438" t="s">
        <v>1069</v>
      </c>
      <c r="B438" t="s">
        <v>81</v>
      </c>
      <c r="C438" s="1">
        <v>0</v>
      </c>
      <c r="D438" t="s">
        <v>1004</v>
      </c>
      <c r="E438" t="s">
        <v>10</v>
      </c>
      <c r="F438" t="s">
        <v>11</v>
      </c>
      <c r="H438">
        <v>1</v>
      </c>
      <c r="I438">
        <f t="shared" si="30"/>
        <v>3</v>
      </c>
      <c r="J438" s="2">
        <f t="shared" si="31"/>
        <v>0</v>
      </c>
      <c r="K438" t="str">
        <f t="shared" si="32"/>
        <v/>
      </c>
      <c r="L438" t="str">
        <f t="shared" si="33"/>
        <v>Bootstrapped</v>
      </c>
      <c r="M438" t="str">
        <f t="shared" si="34"/>
        <v/>
      </c>
    </row>
    <row r="439" spans="1:13" x14ac:dyDescent="0.25">
      <c r="A439" t="s">
        <v>1070</v>
      </c>
      <c r="B439" t="s">
        <v>81</v>
      </c>
      <c r="C439" t="s">
        <v>1071</v>
      </c>
      <c r="D439" t="s">
        <v>1072</v>
      </c>
      <c r="E439" t="s">
        <v>10</v>
      </c>
      <c r="F439" t="s">
        <v>11</v>
      </c>
      <c r="H439">
        <v>1</v>
      </c>
      <c r="I439">
        <f t="shared" si="30"/>
        <v>3</v>
      </c>
      <c r="J439" s="2">
        <f t="shared" si="31"/>
        <v>0.77500000000000002</v>
      </c>
      <c r="K439">
        <f t="shared" si="32"/>
        <v>3.8709677419354835</v>
      </c>
      <c r="L439" t="str">
        <f t="shared" si="33"/>
        <v>Funded</v>
      </c>
      <c r="M439">
        <f t="shared" si="34"/>
        <v>1.3535045382968998</v>
      </c>
    </row>
    <row r="440" spans="1:13" x14ac:dyDescent="0.25">
      <c r="A440" t="s">
        <v>1073</v>
      </c>
      <c r="B440" t="s">
        <v>81</v>
      </c>
      <c r="C440" t="s">
        <v>125</v>
      </c>
      <c r="D440" t="s">
        <v>1074</v>
      </c>
      <c r="E440" t="s">
        <v>445</v>
      </c>
      <c r="F440" t="s">
        <v>50</v>
      </c>
      <c r="H440">
        <v>1</v>
      </c>
      <c r="I440">
        <f t="shared" si="30"/>
        <v>3</v>
      </c>
      <c r="J440" s="2">
        <f t="shared" si="31"/>
        <v>1</v>
      </c>
      <c r="K440">
        <f t="shared" si="32"/>
        <v>3</v>
      </c>
      <c r="L440" t="str">
        <f t="shared" si="33"/>
        <v>Funded</v>
      </c>
      <c r="M440">
        <f t="shared" si="34"/>
        <v>1.0986122886681098</v>
      </c>
    </row>
    <row r="441" spans="1:13" x14ac:dyDescent="0.25">
      <c r="A441" t="s">
        <v>1075</v>
      </c>
      <c r="B441" t="s">
        <v>81</v>
      </c>
      <c r="C441" t="s">
        <v>1076</v>
      </c>
      <c r="D441" t="s">
        <v>1077</v>
      </c>
      <c r="E441" t="s">
        <v>10</v>
      </c>
      <c r="F441" t="s">
        <v>11</v>
      </c>
      <c r="H441">
        <v>1</v>
      </c>
      <c r="I441">
        <f t="shared" si="30"/>
        <v>3</v>
      </c>
      <c r="J441" s="2">
        <f t="shared" si="31"/>
        <v>0.33</v>
      </c>
      <c r="K441">
        <f t="shared" si="32"/>
        <v>9.0909090909090899</v>
      </c>
      <c r="L441" t="str">
        <f t="shared" si="33"/>
        <v>Funded</v>
      </c>
      <c r="M441">
        <f t="shared" si="34"/>
        <v>2.2072749131897207</v>
      </c>
    </row>
    <row r="442" spans="1:13" x14ac:dyDescent="0.25">
      <c r="A442" t="s">
        <v>1078</v>
      </c>
      <c r="B442" t="s">
        <v>81</v>
      </c>
      <c r="C442" t="s">
        <v>1079</v>
      </c>
      <c r="D442" t="s">
        <v>1080</v>
      </c>
      <c r="E442" t="s">
        <v>10</v>
      </c>
      <c r="F442" t="s">
        <v>11</v>
      </c>
      <c r="H442">
        <v>1</v>
      </c>
      <c r="I442">
        <f t="shared" si="30"/>
        <v>3</v>
      </c>
      <c r="J442" s="2">
        <f t="shared" si="31"/>
        <v>0.85899999999999999</v>
      </c>
      <c r="K442">
        <f t="shared" si="32"/>
        <v>3.4924330616996508</v>
      </c>
      <c r="L442" t="str">
        <f t="shared" si="33"/>
        <v>Funded</v>
      </c>
      <c r="M442">
        <f t="shared" si="34"/>
        <v>1.2505986456659914</v>
      </c>
    </row>
    <row r="443" spans="1:13" x14ac:dyDescent="0.25">
      <c r="A443" t="s">
        <v>1081</v>
      </c>
      <c r="B443" t="s">
        <v>81</v>
      </c>
      <c r="C443" t="s">
        <v>885</v>
      </c>
      <c r="D443" t="s">
        <v>66</v>
      </c>
      <c r="E443" t="s">
        <v>170</v>
      </c>
      <c r="F443" t="s">
        <v>50</v>
      </c>
      <c r="H443">
        <v>1</v>
      </c>
      <c r="I443">
        <f t="shared" si="30"/>
        <v>3</v>
      </c>
      <c r="J443" s="2">
        <f t="shared" si="31"/>
        <v>0.33300000000000002</v>
      </c>
      <c r="K443">
        <f t="shared" si="32"/>
        <v>9.0090090090090094</v>
      </c>
      <c r="L443" t="str">
        <f t="shared" si="33"/>
        <v>Funded</v>
      </c>
      <c r="M443">
        <f t="shared" si="34"/>
        <v>2.1982250776698029</v>
      </c>
    </row>
    <row r="444" spans="1:13" x14ac:dyDescent="0.25">
      <c r="A444" t="s">
        <v>1082</v>
      </c>
      <c r="B444" t="s">
        <v>81</v>
      </c>
      <c r="C444" t="s">
        <v>1058</v>
      </c>
      <c r="D444" t="s">
        <v>1083</v>
      </c>
      <c r="E444" t="s">
        <v>10</v>
      </c>
      <c r="F444" t="s">
        <v>11</v>
      </c>
      <c r="H444">
        <v>1</v>
      </c>
      <c r="I444">
        <f t="shared" si="30"/>
        <v>3</v>
      </c>
      <c r="J444" s="2">
        <f t="shared" si="31"/>
        <v>0.35099999999999998</v>
      </c>
      <c r="K444">
        <f t="shared" si="32"/>
        <v>8.5470085470085468</v>
      </c>
      <c r="L444" t="str">
        <f t="shared" si="33"/>
        <v>Funded</v>
      </c>
      <c r="M444">
        <f t="shared" si="34"/>
        <v>2.145581344184381</v>
      </c>
    </row>
    <row r="445" spans="1:13" x14ac:dyDescent="0.25">
      <c r="A445" t="s">
        <v>1084</v>
      </c>
      <c r="B445" t="s">
        <v>81</v>
      </c>
      <c r="C445" t="s">
        <v>1085</v>
      </c>
      <c r="D445" t="s">
        <v>820</v>
      </c>
      <c r="E445" t="s">
        <v>10</v>
      </c>
      <c r="F445" t="s">
        <v>11</v>
      </c>
      <c r="H445">
        <v>1</v>
      </c>
      <c r="I445">
        <f t="shared" si="30"/>
        <v>3</v>
      </c>
      <c r="J445" s="2">
        <f t="shared" si="31"/>
        <v>0.42299999999999999</v>
      </c>
      <c r="K445">
        <f t="shared" si="32"/>
        <v>7.0921985815602842</v>
      </c>
      <c r="L445" t="str">
        <f t="shared" si="33"/>
        <v>Funded</v>
      </c>
      <c r="M445">
        <f t="shared" si="34"/>
        <v>1.9589953886039688</v>
      </c>
    </row>
    <row r="446" spans="1:13" x14ac:dyDescent="0.25">
      <c r="A446" t="s">
        <v>1086</v>
      </c>
      <c r="B446" t="s">
        <v>81</v>
      </c>
      <c r="C446" t="s">
        <v>628</v>
      </c>
      <c r="D446" t="s">
        <v>137</v>
      </c>
      <c r="E446" t="s">
        <v>10</v>
      </c>
      <c r="F446" t="s">
        <v>11</v>
      </c>
      <c r="H446">
        <v>1</v>
      </c>
      <c r="I446">
        <f t="shared" si="30"/>
        <v>3</v>
      </c>
      <c r="J446" s="2">
        <f t="shared" si="31"/>
        <v>0.17</v>
      </c>
      <c r="K446">
        <f t="shared" si="32"/>
        <v>17.647058823529409</v>
      </c>
      <c r="L446" t="str">
        <f t="shared" si="33"/>
        <v>Funded</v>
      </c>
      <c r="M446">
        <f t="shared" si="34"/>
        <v>2.8705691305999848</v>
      </c>
    </row>
    <row r="447" spans="1:13" x14ac:dyDescent="0.25">
      <c r="A447" t="s">
        <v>1087</v>
      </c>
      <c r="B447" t="s">
        <v>81</v>
      </c>
      <c r="C447" t="s">
        <v>1088</v>
      </c>
      <c r="D447" t="s">
        <v>1089</v>
      </c>
      <c r="E447" t="s">
        <v>554</v>
      </c>
      <c r="F447" t="s">
        <v>526</v>
      </c>
      <c r="H447">
        <v>1</v>
      </c>
      <c r="I447">
        <f t="shared" si="30"/>
        <v>3</v>
      </c>
      <c r="J447" s="2">
        <f t="shared" si="31"/>
        <v>0.26</v>
      </c>
      <c r="K447">
        <f t="shared" si="32"/>
        <v>11.538461538461538</v>
      </c>
      <c r="L447" t="str">
        <f t="shared" si="33"/>
        <v>Funded</v>
      </c>
      <c r="M447">
        <f t="shared" si="34"/>
        <v>2.4456859366347188</v>
      </c>
    </row>
    <row r="448" spans="1:13" x14ac:dyDescent="0.25">
      <c r="A448" t="s">
        <v>1090</v>
      </c>
      <c r="B448" t="s">
        <v>81</v>
      </c>
      <c r="C448" t="s">
        <v>125</v>
      </c>
      <c r="D448" t="s">
        <v>1091</v>
      </c>
      <c r="E448" t="s">
        <v>170</v>
      </c>
      <c r="F448" t="s">
        <v>50</v>
      </c>
      <c r="H448">
        <v>1</v>
      </c>
      <c r="I448">
        <f t="shared" si="30"/>
        <v>3</v>
      </c>
      <c r="J448" s="2">
        <f t="shared" si="31"/>
        <v>1</v>
      </c>
      <c r="K448">
        <f t="shared" si="32"/>
        <v>3</v>
      </c>
      <c r="L448" t="str">
        <f t="shared" si="33"/>
        <v>Funded</v>
      </c>
      <c r="M448">
        <f t="shared" si="34"/>
        <v>1.0986122886681098</v>
      </c>
    </row>
    <row r="449" spans="1:13" x14ac:dyDescent="0.25">
      <c r="A449" t="s">
        <v>1092</v>
      </c>
      <c r="B449" t="s">
        <v>81</v>
      </c>
      <c r="C449" t="s">
        <v>1093</v>
      </c>
      <c r="D449" t="s">
        <v>1094</v>
      </c>
      <c r="E449" t="s">
        <v>44</v>
      </c>
      <c r="F449" t="s">
        <v>21</v>
      </c>
      <c r="H449">
        <v>1</v>
      </c>
      <c r="I449">
        <f t="shared" si="30"/>
        <v>3</v>
      </c>
      <c r="J449" s="2">
        <f t="shared" si="31"/>
        <v>0.79500000000000004</v>
      </c>
      <c r="K449">
        <f t="shared" si="32"/>
        <v>3.773584905660377</v>
      </c>
      <c r="L449" t="str">
        <f t="shared" si="33"/>
        <v>Funded</v>
      </c>
      <c r="M449">
        <f t="shared" si="34"/>
        <v>1.3280254529959148</v>
      </c>
    </row>
    <row r="450" spans="1:13" x14ac:dyDescent="0.25">
      <c r="A450" t="s">
        <v>1095</v>
      </c>
      <c r="B450" t="s">
        <v>81</v>
      </c>
      <c r="C450" t="s">
        <v>623</v>
      </c>
      <c r="D450" t="s">
        <v>955</v>
      </c>
      <c r="E450" t="s">
        <v>10</v>
      </c>
      <c r="F450" t="s">
        <v>11</v>
      </c>
      <c r="H450">
        <v>1</v>
      </c>
      <c r="I450">
        <f t="shared" si="30"/>
        <v>3</v>
      </c>
      <c r="J450" s="2">
        <f t="shared" si="31"/>
        <v>0.5</v>
      </c>
      <c r="K450">
        <f t="shared" si="32"/>
        <v>6</v>
      </c>
      <c r="L450" t="str">
        <f t="shared" si="33"/>
        <v>Funded</v>
      </c>
      <c r="M450">
        <f t="shared" si="34"/>
        <v>1.791759469228055</v>
      </c>
    </row>
    <row r="451" spans="1:13" x14ac:dyDescent="0.25">
      <c r="A451" t="s">
        <v>1096</v>
      </c>
      <c r="B451" t="s">
        <v>81</v>
      </c>
      <c r="C451" t="s">
        <v>47</v>
      </c>
      <c r="D451" t="s">
        <v>454</v>
      </c>
      <c r="E451" t="s">
        <v>20</v>
      </c>
      <c r="F451" t="s">
        <v>21</v>
      </c>
      <c r="H451">
        <v>1</v>
      </c>
      <c r="I451">
        <f t="shared" ref="I451:I514" si="35">IF(B451="","",
VALUE(SUBSTITUTE(SUBSTITUTE(B451,"$",""),"B","")))</f>
        <v>3</v>
      </c>
      <c r="J451" s="2">
        <f t="shared" ref="J451:J514" si="36">IF(C451="","",
IF(C451="$0",0,
IF(RIGHT(C451,1)="B",
VALUE(SUBSTITUTE(SUBSTITUTE(C451,"$",""),"B","")),
IF(RIGHT(C451,1)="M",
VALUE(SUBSTITUTE(SUBSTITUTE(C451,"$",""),"M",""))/1000,
IF(RIGHT(C451,1)="K",
VALUE(SUBSTITUTE(SUBSTITUTE(C451,"$",""),"K",""))/1000000,
VALUE(SUBSTITUTE(C451,"$",""))
)))))</f>
        <v>2</v>
      </c>
      <c r="K451">
        <f t="shared" ref="K451:K514" si="37">IF(J451&gt;0,I451/J451,"")</f>
        <v>1.5</v>
      </c>
      <c r="L451" t="str">
        <f t="shared" ref="L451:L514" si="38">IF(J451=0,"Bootstrapped","Funded")</f>
        <v>Funded</v>
      </c>
      <c r="M451">
        <f t="shared" ref="M451:M514" si="39">IF(AND(I451&gt;0,J451&gt;0),LN(I451/J451),"")</f>
        <v>0.40546510810816438</v>
      </c>
    </row>
    <row r="452" spans="1:13" x14ac:dyDescent="0.25">
      <c r="A452" t="s">
        <v>1097</v>
      </c>
      <c r="B452" t="s">
        <v>81</v>
      </c>
      <c r="C452" t="s">
        <v>1098</v>
      </c>
      <c r="D452" t="s">
        <v>1099</v>
      </c>
      <c r="E452" t="s">
        <v>49</v>
      </c>
      <c r="F452" t="s">
        <v>50</v>
      </c>
      <c r="H452">
        <v>1</v>
      </c>
      <c r="I452">
        <f t="shared" si="35"/>
        <v>3</v>
      </c>
      <c r="J452" s="2">
        <f t="shared" si="36"/>
        <v>0.38900000000000001</v>
      </c>
      <c r="K452">
        <f t="shared" si="37"/>
        <v>7.7120822622107967</v>
      </c>
      <c r="L452" t="str">
        <f t="shared" si="38"/>
        <v>Funded</v>
      </c>
      <c r="M452">
        <f t="shared" si="39"/>
        <v>2.0427882240318005</v>
      </c>
    </row>
    <row r="453" spans="1:13" x14ac:dyDescent="0.25">
      <c r="A453" t="s">
        <v>1100</v>
      </c>
      <c r="B453" t="s">
        <v>81</v>
      </c>
      <c r="C453" t="s">
        <v>1101</v>
      </c>
      <c r="D453" t="s">
        <v>1102</v>
      </c>
      <c r="E453" t="s">
        <v>10</v>
      </c>
      <c r="F453" t="s">
        <v>11</v>
      </c>
      <c r="H453">
        <v>1</v>
      </c>
      <c r="I453">
        <f t="shared" si="35"/>
        <v>3</v>
      </c>
      <c r="J453" s="2">
        <f t="shared" si="36"/>
        <v>0.44700000000000001</v>
      </c>
      <c r="K453">
        <f t="shared" si="37"/>
        <v>6.7114093959731544</v>
      </c>
      <c r="L453" t="str">
        <f t="shared" si="38"/>
        <v>Funded</v>
      </c>
      <c r="M453">
        <f t="shared" si="39"/>
        <v>1.9038089730366778</v>
      </c>
    </row>
    <row r="454" spans="1:13" x14ac:dyDescent="0.25">
      <c r="A454" t="s">
        <v>1103</v>
      </c>
      <c r="B454" t="s">
        <v>81</v>
      </c>
      <c r="C454" t="s">
        <v>1104</v>
      </c>
      <c r="D454" t="s">
        <v>66</v>
      </c>
      <c r="E454" t="s">
        <v>10</v>
      </c>
      <c r="F454" t="s">
        <v>11</v>
      </c>
      <c r="H454">
        <v>1</v>
      </c>
      <c r="I454">
        <f t="shared" si="35"/>
        <v>3</v>
      </c>
      <c r="J454" s="2">
        <f t="shared" si="36"/>
        <v>0.36</v>
      </c>
      <c r="K454">
        <f t="shared" si="37"/>
        <v>8.3333333333333339</v>
      </c>
      <c r="L454" t="str">
        <f t="shared" si="38"/>
        <v>Funded</v>
      </c>
      <c r="M454">
        <f t="shared" si="39"/>
        <v>2.120263536200091</v>
      </c>
    </row>
    <row r="455" spans="1:13" x14ac:dyDescent="0.25">
      <c r="A455" t="s">
        <v>1105</v>
      </c>
      <c r="B455" t="s">
        <v>81</v>
      </c>
      <c r="C455" t="s">
        <v>47</v>
      </c>
      <c r="D455" t="s">
        <v>1106</v>
      </c>
      <c r="E455" t="s">
        <v>20</v>
      </c>
      <c r="F455" t="s">
        <v>21</v>
      </c>
      <c r="H455">
        <v>1</v>
      </c>
      <c r="I455">
        <f t="shared" si="35"/>
        <v>3</v>
      </c>
      <c r="J455" s="2">
        <f t="shared" si="36"/>
        <v>2</v>
      </c>
      <c r="K455">
        <f t="shared" si="37"/>
        <v>1.5</v>
      </c>
      <c r="L455" t="str">
        <f t="shared" si="38"/>
        <v>Funded</v>
      </c>
      <c r="M455">
        <f t="shared" si="39"/>
        <v>0.40546510810816438</v>
      </c>
    </row>
    <row r="456" spans="1:13" x14ac:dyDescent="0.25">
      <c r="A456" t="s">
        <v>1107</v>
      </c>
      <c r="B456" t="s">
        <v>81</v>
      </c>
      <c r="C456" t="s">
        <v>1108</v>
      </c>
      <c r="D456" t="s">
        <v>1109</v>
      </c>
      <c r="E456" t="s">
        <v>20</v>
      </c>
      <c r="F456" t="s">
        <v>21</v>
      </c>
      <c r="H456">
        <v>1</v>
      </c>
      <c r="I456">
        <f t="shared" si="35"/>
        <v>3</v>
      </c>
      <c r="J456" s="2">
        <f t="shared" si="36"/>
        <v>0.52200000000000002</v>
      </c>
      <c r="K456">
        <f t="shared" si="37"/>
        <v>5.7471264367816088</v>
      </c>
      <c r="L456" t="str">
        <f t="shared" si="38"/>
        <v>Funded</v>
      </c>
      <c r="M456">
        <f t="shared" si="39"/>
        <v>1.7486999797676079</v>
      </c>
    </row>
    <row r="457" spans="1:13" x14ac:dyDescent="0.25">
      <c r="A457" t="s">
        <v>1110</v>
      </c>
      <c r="B457" t="s">
        <v>81</v>
      </c>
      <c r="C457" t="s">
        <v>1111</v>
      </c>
      <c r="D457" t="s">
        <v>66</v>
      </c>
      <c r="E457" t="s">
        <v>10</v>
      </c>
      <c r="F457" t="s">
        <v>11</v>
      </c>
      <c r="H457">
        <v>1</v>
      </c>
      <c r="I457">
        <f t="shared" si="35"/>
        <v>3</v>
      </c>
      <c r="J457" s="2">
        <f t="shared" si="36"/>
        <v>0.52500000000000002</v>
      </c>
      <c r="K457">
        <f t="shared" si="37"/>
        <v>5.7142857142857144</v>
      </c>
      <c r="L457" t="str">
        <f t="shared" si="38"/>
        <v>Funded</v>
      </c>
      <c r="M457">
        <f t="shared" si="39"/>
        <v>1.742969305058623</v>
      </c>
    </row>
    <row r="458" spans="1:13" x14ac:dyDescent="0.25">
      <c r="A458" t="s">
        <v>1112</v>
      </c>
      <c r="B458" t="s">
        <v>81</v>
      </c>
      <c r="C458" t="s">
        <v>1071</v>
      </c>
      <c r="D458" t="s">
        <v>1113</v>
      </c>
      <c r="E458" t="s">
        <v>20</v>
      </c>
      <c r="F458" t="s">
        <v>21</v>
      </c>
      <c r="H458">
        <v>1</v>
      </c>
      <c r="I458">
        <f t="shared" si="35"/>
        <v>3</v>
      </c>
      <c r="J458" s="2">
        <f t="shared" si="36"/>
        <v>0.77500000000000002</v>
      </c>
      <c r="K458">
        <f t="shared" si="37"/>
        <v>3.8709677419354835</v>
      </c>
      <c r="L458" t="str">
        <f t="shared" si="38"/>
        <v>Funded</v>
      </c>
      <c r="M458">
        <f t="shared" si="39"/>
        <v>1.3535045382968998</v>
      </c>
    </row>
    <row r="459" spans="1:13" x14ac:dyDescent="0.25">
      <c r="A459" t="s">
        <v>1114</v>
      </c>
      <c r="B459" t="s">
        <v>81</v>
      </c>
      <c r="C459" t="s">
        <v>1115</v>
      </c>
      <c r="D459" t="s">
        <v>1116</v>
      </c>
      <c r="E459" t="s">
        <v>10</v>
      </c>
      <c r="F459" t="s">
        <v>11</v>
      </c>
      <c r="H459">
        <v>1</v>
      </c>
      <c r="I459">
        <f t="shared" si="35"/>
        <v>3</v>
      </c>
      <c r="J459" s="2">
        <f t="shared" si="36"/>
        <v>0.24</v>
      </c>
      <c r="K459">
        <f t="shared" si="37"/>
        <v>12.5</v>
      </c>
      <c r="L459" t="str">
        <f t="shared" si="38"/>
        <v>Funded</v>
      </c>
      <c r="M459">
        <f t="shared" si="39"/>
        <v>2.5257286443082556</v>
      </c>
    </row>
    <row r="460" spans="1:13" x14ac:dyDescent="0.25">
      <c r="A460" t="s">
        <v>1117</v>
      </c>
      <c r="B460" t="s">
        <v>81</v>
      </c>
      <c r="C460" t="s">
        <v>1076</v>
      </c>
      <c r="D460" t="s">
        <v>1118</v>
      </c>
      <c r="E460" t="s">
        <v>10</v>
      </c>
      <c r="F460" t="s">
        <v>11</v>
      </c>
      <c r="H460">
        <v>1</v>
      </c>
      <c r="I460">
        <f t="shared" si="35"/>
        <v>3</v>
      </c>
      <c r="J460" s="2">
        <f t="shared" si="36"/>
        <v>0.33</v>
      </c>
      <c r="K460">
        <f t="shared" si="37"/>
        <v>9.0909090909090899</v>
      </c>
      <c r="L460" t="str">
        <f t="shared" si="38"/>
        <v>Funded</v>
      </c>
      <c r="M460">
        <f t="shared" si="39"/>
        <v>2.2072749131897207</v>
      </c>
    </row>
    <row r="461" spans="1:13" x14ac:dyDescent="0.25">
      <c r="A461" t="s">
        <v>1119</v>
      </c>
      <c r="B461" t="s">
        <v>81</v>
      </c>
      <c r="C461" t="s">
        <v>125</v>
      </c>
      <c r="D461" t="s">
        <v>1120</v>
      </c>
      <c r="E461" t="s">
        <v>49</v>
      </c>
      <c r="F461" t="s">
        <v>50</v>
      </c>
      <c r="H461">
        <v>1</v>
      </c>
      <c r="I461">
        <f t="shared" si="35"/>
        <v>3</v>
      </c>
      <c r="J461" s="2">
        <f t="shared" si="36"/>
        <v>1</v>
      </c>
      <c r="K461">
        <f t="shared" si="37"/>
        <v>3</v>
      </c>
      <c r="L461" t="str">
        <f t="shared" si="38"/>
        <v>Funded</v>
      </c>
      <c r="M461">
        <f t="shared" si="39"/>
        <v>1.0986122886681098</v>
      </c>
    </row>
    <row r="462" spans="1:13" x14ac:dyDescent="0.25">
      <c r="A462" t="s">
        <v>1121</v>
      </c>
      <c r="B462" t="s">
        <v>81</v>
      </c>
      <c r="C462" t="s">
        <v>1122</v>
      </c>
      <c r="D462" t="s">
        <v>1123</v>
      </c>
      <c r="E462" t="s">
        <v>10</v>
      </c>
      <c r="F462" t="s">
        <v>11</v>
      </c>
      <c r="H462">
        <v>1</v>
      </c>
      <c r="I462">
        <f t="shared" si="35"/>
        <v>3</v>
      </c>
      <c r="J462" s="2">
        <f t="shared" si="36"/>
        <v>0.29799999999999999</v>
      </c>
      <c r="K462">
        <f t="shared" si="37"/>
        <v>10.067114093959733</v>
      </c>
      <c r="L462" t="str">
        <f t="shared" si="38"/>
        <v>Funded</v>
      </c>
      <c r="M462">
        <f t="shared" si="39"/>
        <v>2.3092740811448422</v>
      </c>
    </row>
    <row r="463" spans="1:13" x14ac:dyDescent="0.25">
      <c r="A463" t="s">
        <v>1124</v>
      </c>
      <c r="B463" t="s">
        <v>81</v>
      </c>
      <c r="C463" t="s">
        <v>541</v>
      </c>
      <c r="D463" t="s">
        <v>1125</v>
      </c>
      <c r="E463" t="s">
        <v>10</v>
      </c>
      <c r="F463" t="s">
        <v>11</v>
      </c>
      <c r="H463">
        <v>1</v>
      </c>
      <c r="I463">
        <f t="shared" si="35"/>
        <v>3</v>
      </c>
      <c r="J463" s="2">
        <f t="shared" si="36"/>
        <v>0.42599999999999999</v>
      </c>
      <c r="K463">
        <f t="shared" si="37"/>
        <v>7.042253521126761</v>
      </c>
      <c r="L463" t="str">
        <f t="shared" si="38"/>
        <v>Funded</v>
      </c>
      <c r="M463">
        <f t="shared" si="39"/>
        <v>1.9519282213808764</v>
      </c>
    </row>
    <row r="464" spans="1:13" x14ac:dyDescent="0.25">
      <c r="A464" t="s">
        <v>1126</v>
      </c>
      <c r="B464" t="s">
        <v>81</v>
      </c>
      <c r="C464" t="s">
        <v>1127</v>
      </c>
      <c r="D464" t="s">
        <v>722</v>
      </c>
      <c r="E464" t="s">
        <v>10</v>
      </c>
      <c r="F464" t="s">
        <v>11</v>
      </c>
      <c r="H464">
        <v>1</v>
      </c>
      <c r="I464">
        <f t="shared" si="35"/>
        <v>3</v>
      </c>
      <c r="J464" s="2">
        <f t="shared" si="36"/>
        <v>0.87</v>
      </c>
      <c r="K464">
        <f t="shared" si="37"/>
        <v>3.4482758620689657</v>
      </c>
      <c r="L464" t="str">
        <f t="shared" si="38"/>
        <v>Funded</v>
      </c>
      <c r="M464">
        <f t="shared" si="39"/>
        <v>1.2378743560016174</v>
      </c>
    </row>
    <row r="465" spans="1:13" x14ac:dyDescent="0.25">
      <c r="A465" t="s">
        <v>1128</v>
      </c>
      <c r="B465" t="s">
        <v>81</v>
      </c>
      <c r="C465" t="s">
        <v>1129</v>
      </c>
      <c r="H465">
        <v>1</v>
      </c>
      <c r="I465">
        <f t="shared" si="35"/>
        <v>3</v>
      </c>
      <c r="J465" s="2">
        <f t="shared" si="36"/>
        <v>0.35799999999999998</v>
      </c>
      <c r="K465">
        <f t="shared" si="37"/>
        <v>8.3798882681564244</v>
      </c>
      <c r="L465" t="str">
        <f t="shared" si="38"/>
        <v>Funded</v>
      </c>
      <c r="M465">
        <f t="shared" si="39"/>
        <v>2.1258345812495465</v>
      </c>
    </row>
    <row r="466" spans="1:13" x14ac:dyDescent="0.25">
      <c r="A466" t="s">
        <v>1130</v>
      </c>
      <c r="B466" t="s">
        <v>81</v>
      </c>
      <c r="C466" t="s">
        <v>856</v>
      </c>
      <c r="D466" t="s">
        <v>1131</v>
      </c>
      <c r="E466" t="s">
        <v>20</v>
      </c>
      <c r="F466" t="s">
        <v>21</v>
      </c>
      <c r="H466">
        <v>1</v>
      </c>
      <c r="I466">
        <f t="shared" si="35"/>
        <v>3</v>
      </c>
      <c r="J466" s="2">
        <f t="shared" si="36"/>
        <v>0.65900000000000003</v>
      </c>
      <c r="K466">
        <f t="shared" si="37"/>
        <v>4.5523520485584212</v>
      </c>
      <c r="L466" t="str">
        <f t="shared" si="38"/>
        <v>Funded</v>
      </c>
      <c r="M466">
        <f t="shared" si="39"/>
        <v>1.5156440331477394</v>
      </c>
    </row>
    <row r="467" spans="1:13" x14ac:dyDescent="0.25">
      <c r="A467" t="s">
        <v>1132</v>
      </c>
      <c r="B467" t="s">
        <v>81</v>
      </c>
      <c r="C467" t="s">
        <v>125</v>
      </c>
      <c r="D467" t="s">
        <v>1133</v>
      </c>
      <c r="E467" t="s">
        <v>20</v>
      </c>
      <c r="F467" t="s">
        <v>21</v>
      </c>
      <c r="H467">
        <v>1</v>
      </c>
      <c r="I467">
        <f t="shared" si="35"/>
        <v>3</v>
      </c>
      <c r="J467" s="2">
        <f t="shared" si="36"/>
        <v>1</v>
      </c>
      <c r="K467">
        <f t="shared" si="37"/>
        <v>3</v>
      </c>
      <c r="L467" t="str">
        <f t="shared" si="38"/>
        <v>Funded</v>
      </c>
      <c r="M467">
        <f t="shared" si="39"/>
        <v>1.0986122886681098</v>
      </c>
    </row>
    <row r="468" spans="1:13" x14ac:dyDescent="0.25">
      <c r="A468" t="s">
        <v>1134</v>
      </c>
      <c r="B468" t="s">
        <v>81</v>
      </c>
      <c r="C468" t="s">
        <v>971</v>
      </c>
      <c r="D468" t="s">
        <v>1135</v>
      </c>
      <c r="E468" t="s">
        <v>20</v>
      </c>
      <c r="F468" t="s">
        <v>21</v>
      </c>
      <c r="H468">
        <v>1</v>
      </c>
      <c r="I468">
        <f t="shared" si="35"/>
        <v>3</v>
      </c>
      <c r="J468" s="2">
        <f t="shared" si="36"/>
        <v>0.53600000000000003</v>
      </c>
      <c r="K468">
        <f t="shared" si="37"/>
        <v>5.5970149253731343</v>
      </c>
      <c r="L468" t="str">
        <f t="shared" si="38"/>
        <v>Funded</v>
      </c>
      <c r="M468">
        <f t="shared" si="39"/>
        <v>1.7222334065794447</v>
      </c>
    </row>
    <row r="469" spans="1:13" x14ac:dyDescent="0.25">
      <c r="A469" t="s">
        <v>1136</v>
      </c>
      <c r="B469" t="s">
        <v>81</v>
      </c>
      <c r="C469" t="s">
        <v>125</v>
      </c>
      <c r="D469" t="s">
        <v>1137</v>
      </c>
      <c r="E469" t="s">
        <v>10</v>
      </c>
      <c r="F469" t="s">
        <v>11</v>
      </c>
      <c r="H469">
        <v>1</v>
      </c>
      <c r="I469">
        <f t="shared" si="35"/>
        <v>3</v>
      </c>
      <c r="J469" s="2">
        <f t="shared" si="36"/>
        <v>1</v>
      </c>
      <c r="K469">
        <f t="shared" si="37"/>
        <v>3</v>
      </c>
      <c r="L469" t="str">
        <f t="shared" si="38"/>
        <v>Funded</v>
      </c>
      <c r="M469">
        <f t="shared" si="39"/>
        <v>1.0986122886681098</v>
      </c>
    </row>
    <row r="470" spans="1:13" x14ac:dyDescent="0.25">
      <c r="A470" t="s">
        <v>1138</v>
      </c>
      <c r="B470" t="s">
        <v>81</v>
      </c>
      <c r="C470" t="s">
        <v>1139</v>
      </c>
      <c r="E470" t="s">
        <v>20</v>
      </c>
      <c r="F470" t="s">
        <v>21</v>
      </c>
      <c r="H470">
        <v>1</v>
      </c>
      <c r="I470">
        <f t="shared" si="35"/>
        <v>3</v>
      </c>
      <c r="J470" s="2">
        <f t="shared" si="36"/>
        <v>0.29499999999999998</v>
      </c>
      <c r="K470">
        <f t="shared" si="37"/>
        <v>10.16949152542373</v>
      </c>
      <c r="L470" t="str">
        <f t="shared" si="38"/>
        <v>Funded</v>
      </c>
      <c r="M470">
        <f t="shared" si="39"/>
        <v>2.3193922113104271</v>
      </c>
    </row>
    <row r="471" spans="1:13" x14ac:dyDescent="0.25">
      <c r="A471" t="s">
        <v>1140</v>
      </c>
      <c r="B471" t="s">
        <v>81</v>
      </c>
      <c r="C471" t="s">
        <v>234</v>
      </c>
      <c r="D471" t="s">
        <v>1141</v>
      </c>
      <c r="E471" t="s">
        <v>20</v>
      </c>
      <c r="F471" t="s">
        <v>21</v>
      </c>
      <c r="H471">
        <v>1</v>
      </c>
      <c r="I471">
        <f t="shared" si="35"/>
        <v>3</v>
      </c>
      <c r="J471" s="2">
        <f t="shared" si="36"/>
        <v>0.81299999999999994</v>
      </c>
      <c r="K471">
        <f t="shared" si="37"/>
        <v>3.6900369003690039</v>
      </c>
      <c r="L471" t="str">
        <f t="shared" si="38"/>
        <v>Funded</v>
      </c>
      <c r="M471">
        <f t="shared" si="39"/>
        <v>1.3056364581024362</v>
      </c>
    </row>
    <row r="472" spans="1:13" x14ac:dyDescent="0.25">
      <c r="A472" t="s">
        <v>1142</v>
      </c>
      <c r="B472" t="s">
        <v>81</v>
      </c>
      <c r="C472" t="s">
        <v>155</v>
      </c>
      <c r="D472" t="s">
        <v>1143</v>
      </c>
      <c r="E472" t="s">
        <v>20</v>
      </c>
      <c r="F472" t="s">
        <v>21</v>
      </c>
      <c r="H472">
        <v>1</v>
      </c>
      <c r="I472">
        <f t="shared" si="35"/>
        <v>3</v>
      </c>
      <c r="J472" s="2">
        <f t="shared" si="36"/>
        <v>0.98299999999999998</v>
      </c>
      <c r="K472">
        <f t="shared" si="37"/>
        <v>3.0518819938962363</v>
      </c>
      <c r="L472" t="str">
        <f t="shared" si="38"/>
        <v>Funded</v>
      </c>
      <c r="M472">
        <f t="shared" si="39"/>
        <v>1.1157584475030802</v>
      </c>
    </row>
    <row r="473" spans="1:13" x14ac:dyDescent="0.25">
      <c r="A473" t="s">
        <v>1144</v>
      </c>
      <c r="B473" t="s">
        <v>81</v>
      </c>
      <c r="C473" t="s">
        <v>1145</v>
      </c>
      <c r="D473" t="s">
        <v>1146</v>
      </c>
      <c r="E473" t="s">
        <v>10</v>
      </c>
      <c r="F473" t="s">
        <v>11</v>
      </c>
      <c r="H473">
        <v>1</v>
      </c>
      <c r="I473">
        <f t="shared" si="35"/>
        <v>3</v>
      </c>
      <c r="J473" s="2">
        <f t="shared" si="36"/>
        <v>0.72199999999999998</v>
      </c>
      <c r="K473">
        <f t="shared" si="37"/>
        <v>4.1551246537396125</v>
      </c>
      <c r="L473" t="str">
        <f t="shared" si="38"/>
        <v>Funded</v>
      </c>
      <c r="M473">
        <f t="shared" si="39"/>
        <v>1.4243424287574207</v>
      </c>
    </row>
    <row r="474" spans="1:13" x14ac:dyDescent="0.25">
      <c r="A474" t="s">
        <v>1147</v>
      </c>
      <c r="B474" t="s">
        <v>81</v>
      </c>
      <c r="C474" t="s">
        <v>1148</v>
      </c>
      <c r="D474" t="s">
        <v>1146</v>
      </c>
      <c r="E474" t="s">
        <v>554</v>
      </c>
      <c r="F474" t="s">
        <v>526</v>
      </c>
      <c r="H474">
        <v>1</v>
      </c>
      <c r="I474">
        <f t="shared" si="35"/>
        <v>3</v>
      </c>
      <c r="J474" s="2">
        <f t="shared" si="36"/>
        <v>0.88800000000000001</v>
      </c>
      <c r="K474">
        <f t="shared" si="37"/>
        <v>3.3783783783783785</v>
      </c>
      <c r="L474" t="str">
        <f t="shared" si="38"/>
        <v>Funded</v>
      </c>
      <c r="M474">
        <f t="shared" si="39"/>
        <v>1.2173958246580767</v>
      </c>
    </row>
    <row r="475" spans="1:13" x14ac:dyDescent="0.25">
      <c r="A475" t="s">
        <v>1149</v>
      </c>
      <c r="B475" t="s">
        <v>81</v>
      </c>
      <c r="C475" t="s">
        <v>1150</v>
      </c>
      <c r="D475" t="s">
        <v>1151</v>
      </c>
      <c r="E475" t="s">
        <v>10</v>
      </c>
      <c r="F475" t="s">
        <v>11</v>
      </c>
      <c r="H475">
        <v>1</v>
      </c>
      <c r="I475">
        <f t="shared" si="35"/>
        <v>3</v>
      </c>
      <c r="J475" s="2">
        <f t="shared" si="36"/>
        <v>0.55100000000000005</v>
      </c>
      <c r="K475">
        <f t="shared" si="37"/>
        <v>5.4446460980036298</v>
      </c>
      <c r="L475" t="str">
        <f t="shared" si="38"/>
        <v>Funded</v>
      </c>
      <c r="M475">
        <f t="shared" si="39"/>
        <v>1.6946327584973322</v>
      </c>
    </row>
    <row r="476" spans="1:13" x14ac:dyDescent="0.25">
      <c r="A476" t="s">
        <v>1152</v>
      </c>
      <c r="B476" t="s">
        <v>81</v>
      </c>
      <c r="C476" t="s">
        <v>393</v>
      </c>
      <c r="D476" t="s">
        <v>66</v>
      </c>
      <c r="E476" t="s">
        <v>44</v>
      </c>
      <c r="F476" t="s">
        <v>21</v>
      </c>
      <c r="H476">
        <v>1</v>
      </c>
      <c r="I476">
        <f t="shared" si="35"/>
        <v>3</v>
      </c>
      <c r="J476" s="2">
        <f t="shared" si="36"/>
        <v>0.6</v>
      </c>
      <c r="K476">
        <f t="shared" si="37"/>
        <v>5</v>
      </c>
      <c r="L476" t="str">
        <f t="shared" si="38"/>
        <v>Funded</v>
      </c>
      <c r="M476">
        <f t="shared" si="39"/>
        <v>1.6094379124341003</v>
      </c>
    </row>
    <row r="477" spans="1:13" x14ac:dyDescent="0.25">
      <c r="A477" t="s">
        <v>1153</v>
      </c>
      <c r="B477" t="s">
        <v>81</v>
      </c>
      <c r="C477" t="s">
        <v>1154</v>
      </c>
      <c r="D477" t="s">
        <v>1155</v>
      </c>
      <c r="E477" t="s">
        <v>10</v>
      </c>
      <c r="F477" t="s">
        <v>11</v>
      </c>
      <c r="H477">
        <v>1</v>
      </c>
      <c r="I477">
        <f t="shared" si="35"/>
        <v>3</v>
      </c>
      <c r="J477" s="2">
        <f t="shared" si="36"/>
        <v>0.71699999999999997</v>
      </c>
      <c r="K477">
        <f t="shared" si="37"/>
        <v>4.1841004184100417</v>
      </c>
      <c r="L477" t="str">
        <f t="shared" si="38"/>
        <v>Funded</v>
      </c>
      <c r="M477">
        <f t="shared" si="39"/>
        <v>1.4312917270506262</v>
      </c>
    </row>
    <row r="478" spans="1:13" x14ac:dyDescent="0.25">
      <c r="A478" t="s">
        <v>1156</v>
      </c>
      <c r="B478" t="s">
        <v>81</v>
      </c>
      <c r="C478" t="s">
        <v>1157</v>
      </c>
      <c r="E478" t="s">
        <v>20</v>
      </c>
      <c r="F478" t="s">
        <v>21</v>
      </c>
      <c r="H478">
        <v>1</v>
      </c>
      <c r="I478">
        <f t="shared" si="35"/>
        <v>3</v>
      </c>
      <c r="J478" s="2">
        <f t="shared" si="36"/>
        <v>0.11899999999999999</v>
      </c>
      <c r="K478">
        <f t="shared" si="37"/>
        <v>25.210084033613448</v>
      </c>
      <c r="L478" t="str">
        <f t="shared" si="38"/>
        <v>Funded</v>
      </c>
      <c r="M478">
        <f t="shared" si="39"/>
        <v>3.2272440745387176</v>
      </c>
    </row>
    <row r="479" spans="1:13" x14ac:dyDescent="0.25">
      <c r="A479" t="s">
        <v>1158</v>
      </c>
      <c r="B479" t="s">
        <v>81</v>
      </c>
      <c r="C479" t="s">
        <v>1159</v>
      </c>
      <c r="D479" t="s">
        <v>1068</v>
      </c>
      <c r="E479" t="s">
        <v>10</v>
      </c>
      <c r="F479" t="s">
        <v>11</v>
      </c>
      <c r="H479">
        <v>1</v>
      </c>
      <c r="I479">
        <f t="shared" si="35"/>
        <v>3</v>
      </c>
      <c r="J479" s="2">
        <f t="shared" si="36"/>
        <v>0.34100000000000003</v>
      </c>
      <c r="K479">
        <f t="shared" si="37"/>
        <v>8.7976539589442808</v>
      </c>
      <c r="L479" t="str">
        <f t="shared" si="38"/>
        <v>Funded</v>
      </c>
      <c r="M479">
        <f t="shared" si="39"/>
        <v>2.1744850903667299</v>
      </c>
    </row>
    <row r="480" spans="1:13" x14ac:dyDescent="0.25">
      <c r="A480" t="s">
        <v>1160</v>
      </c>
      <c r="B480" t="s">
        <v>81</v>
      </c>
      <c r="C480" t="s">
        <v>125</v>
      </c>
      <c r="D480" t="s">
        <v>254</v>
      </c>
      <c r="E480" t="s">
        <v>49</v>
      </c>
      <c r="F480" t="s">
        <v>50</v>
      </c>
      <c r="H480">
        <v>1</v>
      </c>
      <c r="I480">
        <f t="shared" si="35"/>
        <v>3</v>
      </c>
      <c r="J480" s="2">
        <f t="shared" si="36"/>
        <v>1</v>
      </c>
      <c r="K480">
        <f t="shared" si="37"/>
        <v>3</v>
      </c>
      <c r="L480" t="str">
        <f t="shared" si="38"/>
        <v>Funded</v>
      </c>
      <c r="M480">
        <f t="shared" si="39"/>
        <v>1.0986122886681098</v>
      </c>
    </row>
    <row r="481" spans="1:13" x14ac:dyDescent="0.25">
      <c r="A481" t="s">
        <v>1161</v>
      </c>
      <c r="B481" t="s">
        <v>81</v>
      </c>
      <c r="C481" t="s">
        <v>806</v>
      </c>
      <c r="D481" t="s">
        <v>1162</v>
      </c>
      <c r="E481" t="s">
        <v>10</v>
      </c>
      <c r="F481" t="s">
        <v>11</v>
      </c>
      <c r="H481">
        <v>1</v>
      </c>
      <c r="I481">
        <f t="shared" si="35"/>
        <v>3</v>
      </c>
      <c r="J481" s="2">
        <f t="shared" si="36"/>
        <v>0.36599999999999999</v>
      </c>
      <c r="K481">
        <f t="shared" si="37"/>
        <v>8.1967213114754092</v>
      </c>
      <c r="L481" t="str">
        <f t="shared" si="38"/>
        <v>Funded</v>
      </c>
      <c r="M481">
        <f t="shared" si="39"/>
        <v>2.1037342342488805</v>
      </c>
    </row>
    <row r="482" spans="1:13" x14ac:dyDescent="0.25">
      <c r="A482" t="s">
        <v>1163</v>
      </c>
      <c r="B482" t="s">
        <v>81</v>
      </c>
      <c r="C482" t="s">
        <v>715</v>
      </c>
      <c r="D482" t="s">
        <v>469</v>
      </c>
      <c r="E482" t="s">
        <v>230</v>
      </c>
      <c r="F482" t="s">
        <v>50</v>
      </c>
      <c r="H482">
        <v>1</v>
      </c>
      <c r="I482">
        <f t="shared" si="35"/>
        <v>3</v>
      </c>
      <c r="J482" s="2">
        <f t="shared" si="36"/>
        <v>0.64300000000000002</v>
      </c>
      <c r="K482">
        <f t="shared" si="37"/>
        <v>4.6656298600311041</v>
      </c>
      <c r="L482" t="str">
        <f t="shared" si="38"/>
        <v>Funded</v>
      </c>
      <c r="M482">
        <f t="shared" si="39"/>
        <v>1.5402228434126273</v>
      </c>
    </row>
    <row r="483" spans="1:13" x14ac:dyDescent="0.25">
      <c r="A483" t="s">
        <v>1164</v>
      </c>
      <c r="B483" t="s">
        <v>81</v>
      </c>
      <c r="C483" t="s">
        <v>1165</v>
      </c>
      <c r="D483" t="s">
        <v>1166</v>
      </c>
      <c r="E483" t="s">
        <v>44</v>
      </c>
      <c r="F483" t="s">
        <v>21</v>
      </c>
      <c r="H483">
        <v>1</v>
      </c>
      <c r="I483">
        <f t="shared" si="35"/>
        <v>3</v>
      </c>
      <c r="J483" s="2">
        <f t="shared" si="36"/>
        <v>0.57799999999999996</v>
      </c>
      <c r="K483">
        <f t="shared" si="37"/>
        <v>5.1903114186851216</v>
      </c>
      <c r="L483" t="str">
        <f t="shared" si="38"/>
        <v>Funded</v>
      </c>
      <c r="M483">
        <f t="shared" si="39"/>
        <v>1.6467936989778693</v>
      </c>
    </row>
    <row r="484" spans="1:13" x14ac:dyDescent="0.25">
      <c r="A484" t="s">
        <v>1167</v>
      </c>
      <c r="B484" t="s">
        <v>81</v>
      </c>
      <c r="C484" t="s">
        <v>1168</v>
      </c>
      <c r="D484" t="s">
        <v>722</v>
      </c>
      <c r="E484" t="s">
        <v>294</v>
      </c>
      <c r="F484" t="s">
        <v>21</v>
      </c>
      <c r="H484">
        <v>1</v>
      </c>
      <c r="I484">
        <f t="shared" si="35"/>
        <v>3</v>
      </c>
      <c r="J484" s="2">
        <f t="shared" si="36"/>
        <v>0.50800000000000001</v>
      </c>
      <c r="K484">
        <f t="shared" si="37"/>
        <v>5.9055118110236222</v>
      </c>
      <c r="L484" t="str">
        <f t="shared" si="38"/>
        <v>Funded</v>
      </c>
      <c r="M484">
        <f t="shared" si="39"/>
        <v>1.7758861200717648</v>
      </c>
    </row>
    <row r="485" spans="1:13" x14ac:dyDescent="0.25">
      <c r="A485" t="s">
        <v>1169</v>
      </c>
      <c r="B485" t="s">
        <v>81</v>
      </c>
      <c r="C485" s="1">
        <v>0</v>
      </c>
      <c r="E485" t="s">
        <v>384</v>
      </c>
      <c r="F485" t="s">
        <v>21</v>
      </c>
      <c r="H485">
        <v>1</v>
      </c>
      <c r="I485">
        <f t="shared" si="35"/>
        <v>3</v>
      </c>
      <c r="J485" s="2">
        <f t="shared" si="36"/>
        <v>0</v>
      </c>
      <c r="K485" t="str">
        <f t="shared" si="37"/>
        <v/>
      </c>
      <c r="L485" t="str">
        <f t="shared" si="38"/>
        <v>Bootstrapped</v>
      </c>
      <c r="M485" t="str">
        <f t="shared" si="39"/>
        <v/>
      </c>
    </row>
    <row r="486" spans="1:13" x14ac:dyDescent="0.25">
      <c r="A486" t="s">
        <v>1170</v>
      </c>
      <c r="B486" t="s">
        <v>81</v>
      </c>
      <c r="C486" t="s">
        <v>125</v>
      </c>
      <c r="D486" t="s">
        <v>1171</v>
      </c>
      <c r="E486" t="s">
        <v>1172</v>
      </c>
      <c r="F486" t="s">
        <v>21</v>
      </c>
      <c r="H486">
        <v>1</v>
      </c>
      <c r="I486">
        <f t="shared" si="35"/>
        <v>3</v>
      </c>
      <c r="J486" s="2">
        <f t="shared" si="36"/>
        <v>1</v>
      </c>
      <c r="K486">
        <f t="shared" si="37"/>
        <v>3</v>
      </c>
      <c r="L486" t="str">
        <f t="shared" si="38"/>
        <v>Funded</v>
      </c>
      <c r="M486">
        <f t="shared" si="39"/>
        <v>1.0986122886681098</v>
      </c>
    </row>
    <row r="487" spans="1:13" x14ac:dyDescent="0.25">
      <c r="A487" t="s">
        <v>1173</v>
      </c>
      <c r="B487" t="s">
        <v>81</v>
      </c>
      <c r="C487" t="s">
        <v>1174</v>
      </c>
      <c r="D487" t="s">
        <v>1175</v>
      </c>
      <c r="E487" t="s">
        <v>10</v>
      </c>
      <c r="F487" t="s">
        <v>11</v>
      </c>
      <c r="H487">
        <v>1</v>
      </c>
      <c r="I487">
        <f t="shared" si="35"/>
        <v>3</v>
      </c>
      <c r="J487" s="2">
        <f t="shared" si="36"/>
        <v>0.55800000000000005</v>
      </c>
      <c r="K487">
        <f t="shared" si="37"/>
        <v>5.376344086021505</v>
      </c>
      <c r="L487" t="str">
        <f t="shared" si="38"/>
        <v>Funded</v>
      </c>
      <c r="M487">
        <f t="shared" si="39"/>
        <v>1.6820086052689358</v>
      </c>
    </row>
    <row r="488" spans="1:13" x14ac:dyDescent="0.25">
      <c r="A488" t="s">
        <v>1176</v>
      </c>
      <c r="B488" t="s">
        <v>81</v>
      </c>
      <c r="C488" t="s">
        <v>1177</v>
      </c>
      <c r="D488" t="s">
        <v>97</v>
      </c>
      <c r="E488" t="s">
        <v>10</v>
      </c>
      <c r="F488" t="s">
        <v>11</v>
      </c>
      <c r="H488">
        <v>1</v>
      </c>
      <c r="I488">
        <f t="shared" si="35"/>
        <v>3</v>
      </c>
      <c r="J488" s="2">
        <f t="shared" si="36"/>
        <v>0.46100000000000002</v>
      </c>
      <c r="K488">
        <f t="shared" si="37"/>
        <v>6.5075921908893708</v>
      </c>
      <c r="L488" t="str">
        <f t="shared" si="38"/>
        <v>Funded</v>
      </c>
      <c r="M488">
        <f t="shared" si="39"/>
        <v>1.8729695246535982</v>
      </c>
    </row>
    <row r="489" spans="1:13" x14ac:dyDescent="0.25">
      <c r="A489" t="s">
        <v>1178</v>
      </c>
      <c r="B489" t="s">
        <v>81</v>
      </c>
      <c r="C489" t="s">
        <v>47</v>
      </c>
      <c r="D489" t="s">
        <v>1179</v>
      </c>
      <c r="E489" t="s">
        <v>20</v>
      </c>
      <c r="F489" t="s">
        <v>21</v>
      </c>
      <c r="H489">
        <v>1</v>
      </c>
      <c r="I489">
        <f t="shared" si="35"/>
        <v>3</v>
      </c>
      <c r="J489" s="2">
        <f t="shared" si="36"/>
        <v>2</v>
      </c>
      <c r="K489">
        <f t="shared" si="37"/>
        <v>1.5</v>
      </c>
      <c r="L489" t="str">
        <f t="shared" si="38"/>
        <v>Funded</v>
      </c>
      <c r="M489">
        <f t="shared" si="39"/>
        <v>0.40546510810816438</v>
      </c>
    </row>
    <row r="490" spans="1:13" x14ac:dyDescent="0.25">
      <c r="A490" t="s">
        <v>1180</v>
      </c>
      <c r="B490" t="s">
        <v>81</v>
      </c>
      <c r="C490" t="s">
        <v>386</v>
      </c>
      <c r="D490" t="s">
        <v>1181</v>
      </c>
      <c r="E490" t="s">
        <v>10</v>
      </c>
      <c r="F490" t="s">
        <v>11</v>
      </c>
      <c r="H490">
        <v>1</v>
      </c>
      <c r="I490">
        <f t="shared" si="35"/>
        <v>3</v>
      </c>
      <c r="J490" s="2">
        <f t="shared" si="36"/>
        <v>0.58299999999999996</v>
      </c>
      <c r="K490">
        <f t="shared" si="37"/>
        <v>5.1457975986277873</v>
      </c>
      <c r="L490" t="str">
        <f t="shared" si="38"/>
        <v>Funded</v>
      </c>
      <c r="M490">
        <f t="shared" si="39"/>
        <v>1.6381803812997544</v>
      </c>
    </row>
    <row r="491" spans="1:13" x14ac:dyDescent="0.25">
      <c r="A491" t="s">
        <v>1182</v>
      </c>
      <c r="B491" t="s">
        <v>81</v>
      </c>
      <c r="C491" t="s">
        <v>645</v>
      </c>
      <c r="D491" t="s">
        <v>1183</v>
      </c>
      <c r="E491" t="s">
        <v>10</v>
      </c>
      <c r="F491" t="s">
        <v>11</v>
      </c>
      <c r="H491">
        <v>1</v>
      </c>
      <c r="I491">
        <f t="shared" si="35"/>
        <v>3</v>
      </c>
      <c r="J491" s="2">
        <f t="shared" si="36"/>
        <v>0.2</v>
      </c>
      <c r="K491">
        <f t="shared" si="37"/>
        <v>15</v>
      </c>
      <c r="L491" t="str">
        <f t="shared" si="38"/>
        <v>Funded</v>
      </c>
      <c r="M491">
        <f t="shared" si="39"/>
        <v>2.7080502011022101</v>
      </c>
    </row>
    <row r="492" spans="1:13" x14ac:dyDescent="0.25">
      <c r="A492" t="s">
        <v>1184</v>
      </c>
      <c r="B492" t="s">
        <v>81</v>
      </c>
      <c r="C492" t="s">
        <v>1185</v>
      </c>
      <c r="D492" t="s">
        <v>1186</v>
      </c>
      <c r="E492" t="s">
        <v>294</v>
      </c>
      <c r="F492" t="s">
        <v>21</v>
      </c>
      <c r="H492">
        <v>1</v>
      </c>
      <c r="I492">
        <f t="shared" si="35"/>
        <v>3</v>
      </c>
      <c r="J492" s="2">
        <f t="shared" si="36"/>
        <v>0.23499999999999999</v>
      </c>
      <c r="K492">
        <f t="shared" si="37"/>
        <v>12.765957446808512</v>
      </c>
      <c r="L492" t="str">
        <f t="shared" si="38"/>
        <v>Funded</v>
      </c>
      <c r="M492">
        <f t="shared" si="39"/>
        <v>2.5467820535060879</v>
      </c>
    </row>
    <row r="493" spans="1:13" x14ac:dyDescent="0.25">
      <c r="A493" t="s">
        <v>1187</v>
      </c>
      <c r="B493" t="s">
        <v>81</v>
      </c>
      <c r="C493" t="s">
        <v>610</v>
      </c>
      <c r="D493" t="s">
        <v>159</v>
      </c>
      <c r="E493" t="s">
        <v>49</v>
      </c>
      <c r="F493" t="s">
        <v>50</v>
      </c>
      <c r="H493">
        <v>1</v>
      </c>
      <c r="I493">
        <f t="shared" si="35"/>
        <v>3</v>
      </c>
      <c r="J493" s="2">
        <f t="shared" si="36"/>
        <v>0.625</v>
      </c>
      <c r="K493">
        <f t="shared" si="37"/>
        <v>4.8</v>
      </c>
      <c r="L493" t="str">
        <f t="shared" si="38"/>
        <v>Funded</v>
      </c>
      <c r="M493">
        <f t="shared" si="39"/>
        <v>1.5686159179138452</v>
      </c>
    </row>
    <row r="494" spans="1:13" x14ac:dyDescent="0.25">
      <c r="A494" t="s">
        <v>1188</v>
      </c>
      <c r="B494" t="s">
        <v>81</v>
      </c>
      <c r="C494" t="s">
        <v>47</v>
      </c>
      <c r="D494" t="s">
        <v>61</v>
      </c>
      <c r="E494" t="s">
        <v>10</v>
      </c>
      <c r="F494" t="s">
        <v>11</v>
      </c>
      <c r="H494">
        <v>1</v>
      </c>
      <c r="I494">
        <f t="shared" si="35"/>
        <v>3</v>
      </c>
      <c r="J494" s="2">
        <f t="shared" si="36"/>
        <v>2</v>
      </c>
      <c r="K494">
        <f t="shared" si="37"/>
        <v>1.5</v>
      </c>
      <c r="L494" t="str">
        <f t="shared" si="38"/>
        <v>Funded</v>
      </c>
      <c r="M494">
        <f t="shared" si="39"/>
        <v>0.40546510810816438</v>
      </c>
    </row>
    <row r="495" spans="1:13" x14ac:dyDescent="0.25">
      <c r="A495" t="s">
        <v>1189</v>
      </c>
      <c r="B495" t="s">
        <v>81</v>
      </c>
      <c r="C495" t="s">
        <v>1190</v>
      </c>
      <c r="D495" t="s">
        <v>1191</v>
      </c>
      <c r="E495" t="s">
        <v>350</v>
      </c>
      <c r="F495" t="s">
        <v>21</v>
      </c>
      <c r="H495">
        <v>1</v>
      </c>
      <c r="I495">
        <f t="shared" si="35"/>
        <v>3</v>
      </c>
      <c r="J495" s="2">
        <f t="shared" si="36"/>
        <v>0.57399999999999995</v>
      </c>
      <c r="K495">
        <f t="shared" si="37"/>
        <v>5.2264808362369344</v>
      </c>
      <c r="L495" t="str">
        <f t="shared" si="38"/>
        <v>Funded</v>
      </c>
      <c r="M495">
        <f t="shared" si="39"/>
        <v>1.6537381713306805</v>
      </c>
    </row>
    <row r="496" spans="1:13" x14ac:dyDescent="0.25">
      <c r="A496" t="s">
        <v>1192</v>
      </c>
      <c r="B496" t="s">
        <v>81</v>
      </c>
      <c r="C496" t="s">
        <v>1193</v>
      </c>
      <c r="D496" t="s">
        <v>1194</v>
      </c>
      <c r="E496" t="s">
        <v>1195</v>
      </c>
      <c r="F496" t="s">
        <v>50</v>
      </c>
      <c r="H496">
        <v>1</v>
      </c>
      <c r="I496">
        <f t="shared" si="35"/>
        <v>3</v>
      </c>
      <c r="J496" s="2">
        <f t="shared" si="36"/>
        <v>0.73099999999999998</v>
      </c>
      <c r="K496">
        <f t="shared" si="37"/>
        <v>4.1039671682626544</v>
      </c>
      <c r="L496" t="str">
        <f t="shared" si="38"/>
        <v>Funded</v>
      </c>
      <c r="M496">
        <f t="shared" si="39"/>
        <v>1.4119541079004683</v>
      </c>
    </row>
    <row r="497" spans="1:13" x14ac:dyDescent="0.25">
      <c r="A497" t="s">
        <v>1196</v>
      </c>
      <c r="B497" t="s">
        <v>81</v>
      </c>
      <c r="C497" t="s">
        <v>125</v>
      </c>
      <c r="D497" t="s">
        <v>1197</v>
      </c>
      <c r="E497" t="s">
        <v>365</v>
      </c>
      <c r="F497" t="s">
        <v>11</v>
      </c>
      <c r="H497">
        <v>1</v>
      </c>
      <c r="I497">
        <f t="shared" si="35"/>
        <v>3</v>
      </c>
      <c r="J497" s="2">
        <f t="shared" si="36"/>
        <v>1</v>
      </c>
      <c r="K497">
        <f t="shared" si="37"/>
        <v>3</v>
      </c>
      <c r="L497" t="str">
        <f t="shared" si="38"/>
        <v>Funded</v>
      </c>
      <c r="M497">
        <f t="shared" si="39"/>
        <v>1.0986122886681098</v>
      </c>
    </row>
    <row r="498" spans="1:13" x14ac:dyDescent="0.25">
      <c r="A498" t="s">
        <v>1198</v>
      </c>
      <c r="B498" t="s">
        <v>81</v>
      </c>
      <c r="C498" t="s">
        <v>1199</v>
      </c>
      <c r="D498" t="s">
        <v>1200</v>
      </c>
      <c r="E498" t="s">
        <v>294</v>
      </c>
      <c r="F498" t="s">
        <v>21</v>
      </c>
      <c r="H498">
        <v>1</v>
      </c>
      <c r="I498">
        <f t="shared" si="35"/>
        <v>3</v>
      </c>
      <c r="J498" s="2">
        <f t="shared" si="36"/>
        <v>0.114</v>
      </c>
      <c r="K498">
        <f t="shared" si="37"/>
        <v>26.315789473684209</v>
      </c>
      <c r="L498" t="str">
        <f t="shared" si="38"/>
        <v>Funded</v>
      </c>
      <c r="M498">
        <f t="shared" si="39"/>
        <v>3.2701691192557512</v>
      </c>
    </row>
    <row r="499" spans="1:13" x14ac:dyDescent="0.25">
      <c r="A499" t="s">
        <v>1201</v>
      </c>
      <c r="B499" t="s">
        <v>81</v>
      </c>
      <c r="C499" t="s">
        <v>1202</v>
      </c>
      <c r="D499" t="s">
        <v>1203</v>
      </c>
      <c r="E499" t="s">
        <v>445</v>
      </c>
      <c r="F499" t="s">
        <v>50</v>
      </c>
      <c r="H499">
        <v>1</v>
      </c>
      <c r="I499">
        <f t="shared" si="35"/>
        <v>3</v>
      </c>
      <c r="J499" s="2">
        <f t="shared" si="36"/>
        <v>0.127</v>
      </c>
      <c r="K499">
        <f t="shared" si="37"/>
        <v>23.622047244094489</v>
      </c>
      <c r="L499" t="str">
        <f t="shared" si="38"/>
        <v>Funded</v>
      </c>
      <c r="M499">
        <f t="shared" si="39"/>
        <v>3.1621804811916556</v>
      </c>
    </row>
    <row r="500" spans="1:13" x14ac:dyDescent="0.25">
      <c r="A500" t="s">
        <v>1204</v>
      </c>
      <c r="B500" t="s">
        <v>81</v>
      </c>
      <c r="C500" t="s">
        <v>1205</v>
      </c>
      <c r="D500" t="s">
        <v>545</v>
      </c>
      <c r="E500" t="s">
        <v>445</v>
      </c>
      <c r="F500" t="s">
        <v>50</v>
      </c>
      <c r="H500">
        <v>1</v>
      </c>
      <c r="I500">
        <f t="shared" si="35"/>
        <v>3</v>
      </c>
      <c r="J500" s="2">
        <f t="shared" si="36"/>
        <v>0.3</v>
      </c>
      <c r="K500">
        <f t="shared" si="37"/>
        <v>10</v>
      </c>
      <c r="L500" t="str">
        <f t="shared" si="38"/>
        <v>Funded</v>
      </c>
      <c r="M500">
        <f t="shared" si="39"/>
        <v>2.3025850929940459</v>
      </c>
    </row>
    <row r="501" spans="1:13" x14ac:dyDescent="0.25">
      <c r="A501" t="s">
        <v>1206</v>
      </c>
      <c r="B501" t="s">
        <v>81</v>
      </c>
      <c r="C501" t="s">
        <v>1207</v>
      </c>
      <c r="D501" t="s">
        <v>15</v>
      </c>
      <c r="E501" t="s">
        <v>10</v>
      </c>
      <c r="F501" t="s">
        <v>11</v>
      </c>
      <c r="H501">
        <v>1</v>
      </c>
      <c r="I501">
        <f t="shared" si="35"/>
        <v>3</v>
      </c>
      <c r="J501" s="2">
        <f t="shared" si="36"/>
        <v>0.248</v>
      </c>
      <c r="K501">
        <f t="shared" si="37"/>
        <v>12.096774193548388</v>
      </c>
      <c r="L501" t="str">
        <f t="shared" si="38"/>
        <v>Funded</v>
      </c>
      <c r="M501">
        <f t="shared" si="39"/>
        <v>2.4929388214852648</v>
      </c>
    </row>
    <row r="502" spans="1:13" x14ac:dyDescent="0.25">
      <c r="A502" t="s">
        <v>1208</v>
      </c>
      <c r="B502" t="s">
        <v>81</v>
      </c>
      <c r="C502" t="s">
        <v>1209</v>
      </c>
      <c r="D502" t="s">
        <v>1210</v>
      </c>
      <c r="E502" t="s">
        <v>10</v>
      </c>
      <c r="F502" t="s">
        <v>11</v>
      </c>
      <c r="H502">
        <v>1</v>
      </c>
      <c r="I502">
        <f t="shared" si="35"/>
        <v>3</v>
      </c>
      <c r="J502" s="2">
        <f t="shared" si="36"/>
        <v>0.40699999999999997</v>
      </c>
      <c r="K502">
        <f t="shared" si="37"/>
        <v>7.3710073710073711</v>
      </c>
      <c r="L502" t="str">
        <f t="shared" si="38"/>
        <v>Funded</v>
      </c>
      <c r="M502">
        <f t="shared" si="39"/>
        <v>1.9975543822076518</v>
      </c>
    </row>
    <row r="503" spans="1:13" x14ac:dyDescent="0.25">
      <c r="A503" t="s">
        <v>1211</v>
      </c>
      <c r="B503" t="s">
        <v>81</v>
      </c>
      <c r="C503" t="s">
        <v>1212</v>
      </c>
      <c r="D503" t="s">
        <v>1213</v>
      </c>
      <c r="E503" t="s">
        <v>10</v>
      </c>
      <c r="F503" t="s">
        <v>11</v>
      </c>
      <c r="H503">
        <v>1</v>
      </c>
      <c r="I503">
        <f t="shared" si="35"/>
        <v>3</v>
      </c>
      <c r="J503" s="2">
        <f t="shared" si="36"/>
        <v>0.94299999999999995</v>
      </c>
      <c r="K503">
        <f t="shared" si="37"/>
        <v>3.1813361611876991</v>
      </c>
      <c r="L503" t="str">
        <f t="shared" si="38"/>
        <v>Funded</v>
      </c>
      <c r="M503">
        <f t="shared" si="39"/>
        <v>1.1573012850167894</v>
      </c>
    </row>
    <row r="504" spans="1:13" x14ac:dyDescent="0.25">
      <c r="A504" t="s">
        <v>1214</v>
      </c>
      <c r="B504" t="s">
        <v>81</v>
      </c>
      <c r="C504" t="s">
        <v>1215</v>
      </c>
      <c r="D504" t="s">
        <v>1216</v>
      </c>
      <c r="E504" t="s">
        <v>10</v>
      </c>
      <c r="F504" t="s">
        <v>11</v>
      </c>
      <c r="H504">
        <v>1</v>
      </c>
      <c r="I504">
        <f t="shared" si="35"/>
        <v>3</v>
      </c>
      <c r="J504" s="2">
        <f t="shared" si="36"/>
        <v>0.59499999999999997</v>
      </c>
      <c r="K504">
        <f t="shared" si="37"/>
        <v>5.0420168067226889</v>
      </c>
      <c r="L504" t="str">
        <f t="shared" si="38"/>
        <v>Funded</v>
      </c>
      <c r="M504">
        <f t="shared" si="39"/>
        <v>1.6178061621046169</v>
      </c>
    </row>
    <row r="505" spans="1:13" x14ac:dyDescent="0.25">
      <c r="A505" t="s">
        <v>1217</v>
      </c>
      <c r="B505" t="s">
        <v>81</v>
      </c>
      <c r="C505" t="s">
        <v>1027</v>
      </c>
      <c r="D505" t="s">
        <v>302</v>
      </c>
      <c r="E505" t="s">
        <v>10</v>
      </c>
      <c r="F505" t="s">
        <v>11</v>
      </c>
      <c r="H505">
        <v>1</v>
      </c>
      <c r="I505">
        <f t="shared" si="35"/>
        <v>3</v>
      </c>
      <c r="J505" s="2">
        <f t="shared" si="36"/>
        <v>0.496</v>
      </c>
      <c r="K505">
        <f t="shared" si="37"/>
        <v>6.0483870967741939</v>
      </c>
      <c r="L505" t="str">
        <f t="shared" si="38"/>
        <v>Funded</v>
      </c>
      <c r="M505">
        <f t="shared" si="39"/>
        <v>1.7997916409253194</v>
      </c>
    </row>
    <row r="506" spans="1:13" x14ac:dyDescent="0.25">
      <c r="A506" t="s">
        <v>1218</v>
      </c>
      <c r="B506" t="s">
        <v>81</v>
      </c>
      <c r="C506" t="s">
        <v>1219</v>
      </c>
      <c r="D506" t="s">
        <v>254</v>
      </c>
      <c r="E506" t="s">
        <v>10</v>
      </c>
      <c r="F506" t="s">
        <v>11</v>
      </c>
      <c r="H506">
        <v>1</v>
      </c>
      <c r="I506">
        <f t="shared" si="35"/>
        <v>3</v>
      </c>
      <c r="J506" s="2">
        <f t="shared" si="36"/>
        <v>0.69699999999999995</v>
      </c>
      <c r="K506">
        <f t="shared" si="37"/>
        <v>4.3041606886657107</v>
      </c>
      <c r="L506" t="str">
        <f t="shared" si="38"/>
        <v>Funded</v>
      </c>
      <c r="M506">
        <f t="shared" si="39"/>
        <v>1.4595821568897229</v>
      </c>
    </row>
    <row r="507" spans="1:13" x14ac:dyDescent="0.25">
      <c r="A507" t="s">
        <v>1220</v>
      </c>
      <c r="B507" t="s">
        <v>81</v>
      </c>
      <c r="C507" t="s">
        <v>1221</v>
      </c>
      <c r="D507" t="s">
        <v>1068</v>
      </c>
      <c r="E507" t="s">
        <v>10</v>
      </c>
      <c r="F507" t="s">
        <v>11</v>
      </c>
      <c r="H507">
        <v>1</v>
      </c>
      <c r="I507">
        <f t="shared" si="35"/>
        <v>3</v>
      </c>
      <c r="J507" s="2">
        <f t="shared" si="36"/>
        <v>0.36699999999999999</v>
      </c>
      <c r="K507">
        <f t="shared" si="37"/>
        <v>8.1743869209809272</v>
      </c>
      <c r="L507" t="str">
        <f t="shared" si="38"/>
        <v>Funded</v>
      </c>
      <c r="M507">
        <f t="shared" si="39"/>
        <v>2.1010057195956766</v>
      </c>
    </row>
    <row r="508" spans="1:13" x14ac:dyDescent="0.25">
      <c r="A508" t="s">
        <v>1222</v>
      </c>
      <c r="B508" t="s">
        <v>81</v>
      </c>
      <c r="C508" t="s">
        <v>393</v>
      </c>
      <c r="D508" t="s">
        <v>1223</v>
      </c>
      <c r="E508" t="s">
        <v>20</v>
      </c>
      <c r="F508" t="s">
        <v>21</v>
      </c>
      <c r="H508">
        <v>1</v>
      </c>
      <c r="I508">
        <f t="shared" si="35"/>
        <v>3</v>
      </c>
      <c r="J508" s="2">
        <f t="shared" si="36"/>
        <v>0.6</v>
      </c>
      <c r="K508">
        <f t="shared" si="37"/>
        <v>5</v>
      </c>
      <c r="L508" t="str">
        <f t="shared" si="38"/>
        <v>Funded</v>
      </c>
      <c r="M508">
        <f t="shared" si="39"/>
        <v>1.6094379124341003</v>
      </c>
    </row>
    <row r="509" spans="1:13" x14ac:dyDescent="0.25">
      <c r="A509" t="s">
        <v>1224</v>
      </c>
      <c r="B509" t="s">
        <v>81</v>
      </c>
      <c r="C509" t="s">
        <v>1225</v>
      </c>
      <c r="D509" t="s">
        <v>156</v>
      </c>
      <c r="E509" t="s">
        <v>187</v>
      </c>
      <c r="F509" t="s">
        <v>50</v>
      </c>
      <c r="H509">
        <v>1</v>
      </c>
      <c r="I509">
        <f t="shared" si="35"/>
        <v>3</v>
      </c>
      <c r="J509" s="2">
        <f t="shared" si="36"/>
        <v>0.70599999999999996</v>
      </c>
      <c r="K509">
        <f t="shared" si="37"/>
        <v>4.2492917847025495</v>
      </c>
      <c r="L509" t="str">
        <f t="shared" si="38"/>
        <v>Funded</v>
      </c>
      <c r="M509">
        <f t="shared" si="39"/>
        <v>1.4467523301570047</v>
      </c>
    </row>
    <row r="510" spans="1:13" x14ac:dyDescent="0.25">
      <c r="A510" t="s">
        <v>1226</v>
      </c>
      <c r="B510" t="s">
        <v>81</v>
      </c>
      <c r="C510" t="s">
        <v>1227</v>
      </c>
      <c r="D510" t="s">
        <v>1228</v>
      </c>
      <c r="E510" t="s">
        <v>49</v>
      </c>
      <c r="F510" t="s">
        <v>50</v>
      </c>
      <c r="H510">
        <v>1</v>
      </c>
      <c r="I510">
        <f t="shared" si="35"/>
        <v>3</v>
      </c>
      <c r="J510" s="2">
        <f t="shared" si="36"/>
        <v>0.54500000000000004</v>
      </c>
      <c r="K510">
        <f t="shared" si="37"/>
        <v>5.5045871559633026</v>
      </c>
      <c r="L510" t="str">
        <f t="shared" si="38"/>
        <v>Funded</v>
      </c>
      <c r="M510">
        <f t="shared" si="39"/>
        <v>1.7055817729870026</v>
      </c>
    </row>
    <row r="511" spans="1:13" x14ac:dyDescent="0.25">
      <c r="A511" t="s">
        <v>1229</v>
      </c>
      <c r="B511" t="s">
        <v>81</v>
      </c>
      <c r="C511" t="s">
        <v>694</v>
      </c>
      <c r="D511" t="s">
        <v>1230</v>
      </c>
      <c r="E511" t="s">
        <v>554</v>
      </c>
      <c r="F511" t="s">
        <v>526</v>
      </c>
      <c r="H511">
        <v>1</v>
      </c>
      <c r="I511">
        <f t="shared" si="35"/>
        <v>3</v>
      </c>
      <c r="J511" s="2">
        <f t="shared" si="36"/>
        <v>0.33700000000000002</v>
      </c>
      <c r="K511">
        <f t="shared" si="37"/>
        <v>8.9020771513353107</v>
      </c>
      <c r="L511" t="str">
        <f t="shared" si="38"/>
        <v>Funded</v>
      </c>
      <c r="M511">
        <f t="shared" si="39"/>
        <v>2.1862846372978848</v>
      </c>
    </row>
    <row r="512" spans="1:13" x14ac:dyDescent="0.25">
      <c r="A512" t="s">
        <v>1231</v>
      </c>
      <c r="B512" t="s">
        <v>81</v>
      </c>
      <c r="C512" t="s">
        <v>1029</v>
      </c>
      <c r="D512" t="s">
        <v>1232</v>
      </c>
      <c r="E512" t="s">
        <v>1035</v>
      </c>
      <c r="F512" t="s">
        <v>21</v>
      </c>
      <c r="H512">
        <v>1</v>
      </c>
      <c r="I512">
        <f t="shared" si="35"/>
        <v>3</v>
      </c>
      <c r="J512" s="2">
        <f t="shared" si="36"/>
        <v>0.47199999999999998</v>
      </c>
      <c r="K512">
        <f t="shared" si="37"/>
        <v>6.3559322033898304</v>
      </c>
      <c r="L512" t="str">
        <f t="shared" si="38"/>
        <v>Funded</v>
      </c>
      <c r="M512">
        <f t="shared" si="39"/>
        <v>1.8493885820646914</v>
      </c>
    </row>
    <row r="513" spans="1:13" x14ac:dyDescent="0.25">
      <c r="A513" t="s">
        <v>1233</v>
      </c>
      <c r="B513" t="s">
        <v>81</v>
      </c>
      <c r="C513" t="s">
        <v>1234</v>
      </c>
      <c r="D513" t="s">
        <v>932</v>
      </c>
      <c r="E513" t="s">
        <v>384</v>
      </c>
      <c r="F513" t="s">
        <v>21</v>
      </c>
      <c r="H513">
        <v>1</v>
      </c>
      <c r="I513">
        <f t="shared" si="35"/>
        <v>3</v>
      </c>
      <c r="J513" s="2">
        <f t="shared" si="36"/>
        <v>0.36799999999999999</v>
      </c>
      <c r="K513">
        <f t="shared" si="37"/>
        <v>8.1521739130434785</v>
      </c>
      <c r="L513" t="str">
        <f t="shared" si="38"/>
        <v>Funded</v>
      </c>
      <c r="M513">
        <f t="shared" si="39"/>
        <v>2.098284629481316</v>
      </c>
    </row>
    <row r="514" spans="1:13" x14ac:dyDescent="0.25">
      <c r="A514" t="s">
        <v>1235</v>
      </c>
      <c r="B514" t="s">
        <v>81</v>
      </c>
      <c r="C514" t="s">
        <v>702</v>
      </c>
      <c r="D514" t="s">
        <v>1236</v>
      </c>
      <c r="E514" t="s">
        <v>20</v>
      </c>
      <c r="F514" t="s">
        <v>21</v>
      </c>
      <c r="H514">
        <v>1</v>
      </c>
      <c r="I514">
        <f t="shared" si="35"/>
        <v>3</v>
      </c>
      <c r="J514" s="2">
        <f t="shared" si="36"/>
        <v>0.48</v>
      </c>
      <c r="K514">
        <f t="shared" si="37"/>
        <v>6.25</v>
      </c>
      <c r="L514" t="str">
        <f t="shared" si="38"/>
        <v>Funded</v>
      </c>
      <c r="M514">
        <f t="shared" si="39"/>
        <v>1.8325814637483102</v>
      </c>
    </row>
    <row r="515" spans="1:13" x14ac:dyDescent="0.25">
      <c r="A515" t="s">
        <v>1237</v>
      </c>
      <c r="B515" t="s">
        <v>81</v>
      </c>
      <c r="C515" t="s">
        <v>1238</v>
      </c>
      <c r="D515" t="s">
        <v>1239</v>
      </c>
      <c r="E515" t="s">
        <v>20</v>
      </c>
      <c r="F515" t="s">
        <v>21</v>
      </c>
      <c r="H515">
        <v>1</v>
      </c>
      <c r="I515">
        <f t="shared" ref="I515:I578" si="40">IF(B515="","",
VALUE(SUBSTITUTE(SUBSTITUTE(B515,"$",""),"B","")))</f>
        <v>3</v>
      </c>
      <c r="J515" s="2">
        <f t="shared" ref="J515:J578" si="41">IF(C515="","",
IF(C515="$0",0,
IF(RIGHT(C515,1)="B",
VALUE(SUBSTITUTE(SUBSTITUTE(C515,"$",""),"B","")),
IF(RIGHT(C515,1)="M",
VALUE(SUBSTITUTE(SUBSTITUTE(C515,"$",""),"M",""))/1000,
IF(RIGHT(C515,1)="K",
VALUE(SUBSTITUTE(SUBSTITUTE(C515,"$",""),"K",""))/1000000,
VALUE(SUBSTITUTE(C515,"$",""))
)))))</f>
        <v>0.35599999999999998</v>
      </c>
      <c r="K515">
        <f t="shared" ref="K515:K578" si="42">IF(J515&gt;0,I515/J515,"")</f>
        <v>8.4269662921348321</v>
      </c>
      <c r="L515" t="str">
        <f t="shared" ref="L515:L578" si="43">IF(J515=0,"Bootstrapped","Funded")</f>
        <v>Funded</v>
      </c>
      <c r="M515">
        <f t="shared" ref="M515:M578" si="44">IF(AND(I515&gt;0,J515&gt;0),LN(I515/J515),"")</f>
        <v>2.1314368367982164</v>
      </c>
    </row>
    <row r="516" spans="1:13" x14ac:dyDescent="0.25">
      <c r="A516" t="s">
        <v>1240</v>
      </c>
      <c r="B516" t="s">
        <v>81</v>
      </c>
      <c r="C516" t="s">
        <v>815</v>
      </c>
      <c r="D516" t="s">
        <v>248</v>
      </c>
      <c r="E516" t="s">
        <v>10</v>
      </c>
      <c r="F516" t="s">
        <v>11</v>
      </c>
      <c r="H516">
        <v>1</v>
      </c>
      <c r="I516">
        <f t="shared" si="40"/>
        <v>3</v>
      </c>
      <c r="J516" s="2">
        <f t="shared" si="41"/>
        <v>0.53700000000000003</v>
      </c>
      <c r="K516">
        <f t="shared" si="42"/>
        <v>5.5865921787709496</v>
      </c>
      <c r="L516" t="str">
        <f t="shared" si="43"/>
        <v>Funded</v>
      </c>
      <c r="M516">
        <f t="shared" si="44"/>
        <v>1.7203694731413821</v>
      </c>
    </row>
    <row r="517" spans="1:13" x14ac:dyDescent="0.25">
      <c r="A517" t="s">
        <v>1241</v>
      </c>
      <c r="B517" t="s">
        <v>81</v>
      </c>
      <c r="C517" t="s">
        <v>1242</v>
      </c>
      <c r="D517" t="s">
        <v>66</v>
      </c>
      <c r="E517" t="s">
        <v>10</v>
      </c>
      <c r="F517" t="s">
        <v>11</v>
      </c>
      <c r="H517">
        <v>1</v>
      </c>
      <c r="I517">
        <f t="shared" si="40"/>
        <v>3</v>
      </c>
      <c r="J517" s="2">
        <f t="shared" si="41"/>
        <v>0.26400000000000001</v>
      </c>
      <c r="K517">
        <f t="shared" si="42"/>
        <v>11.363636363636363</v>
      </c>
      <c r="L517" t="str">
        <f t="shared" si="43"/>
        <v>Funded</v>
      </c>
      <c r="M517">
        <f t="shared" si="44"/>
        <v>2.4304184645039304</v>
      </c>
    </row>
    <row r="518" spans="1:13" x14ac:dyDescent="0.25">
      <c r="A518" t="s">
        <v>1243</v>
      </c>
      <c r="B518" t="s">
        <v>81</v>
      </c>
      <c r="C518" t="s">
        <v>1244</v>
      </c>
      <c r="D518" t="s">
        <v>389</v>
      </c>
      <c r="E518" t="s">
        <v>10</v>
      </c>
      <c r="F518" t="s">
        <v>11</v>
      </c>
      <c r="H518">
        <v>1</v>
      </c>
      <c r="I518">
        <f t="shared" si="40"/>
        <v>3</v>
      </c>
      <c r="J518" s="2">
        <f t="shared" si="41"/>
        <v>0.46500000000000002</v>
      </c>
      <c r="K518">
        <f t="shared" si="42"/>
        <v>6.4516129032258061</v>
      </c>
      <c r="L518" t="str">
        <f t="shared" si="43"/>
        <v>Funded</v>
      </c>
      <c r="M518">
        <f t="shared" si="44"/>
        <v>1.8643301620628903</v>
      </c>
    </row>
    <row r="519" spans="1:13" x14ac:dyDescent="0.25">
      <c r="A519" t="s">
        <v>1245</v>
      </c>
      <c r="B519" t="s">
        <v>81</v>
      </c>
      <c r="C519" t="s">
        <v>806</v>
      </c>
      <c r="D519" t="s">
        <v>148</v>
      </c>
      <c r="E519" t="s">
        <v>10</v>
      </c>
      <c r="F519" t="s">
        <v>11</v>
      </c>
      <c r="H519">
        <v>1</v>
      </c>
      <c r="I519">
        <f t="shared" si="40"/>
        <v>3</v>
      </c>
      <c r="J519" s="2">
        <f t="shared" si="41"/>
        <v>0.36599999999999999</v>
      </c>
      <c r="K519">
        <f t="shared" si="42"/>
        <v>8.1967213114754092</v>
      </c>
      <c r="L519" t="str">
        <f t="shared" si="43"/>
        <v>Funded</v>
      </c>
      <c r="M519">
        <f t="shared" si="44"/>
        <v>2.1037342342488805</v>
      </c>
    </row>
    <row r="520" spans="1:13" x14ac:dyDescent="0.25">
      <c r="A520" t="s">
        <v>1246</v>
      </c>
      <c r="B520" t="s">
        <v>81</v>
      </c>
      <c r="C520" t="s">
        <v>1247</v>
      </c>
      <c r="D520" t="s">
        <v>1248</v>
      </c>
      <c r="E520" t="s">
        <v>44</v>
      </c>
      <c r="F520" t="s">
        <v>21</v>
      </c>
      <c r="H520">
        <v>1</v>
      </c>
      <c r="I520">
        <f t="shared" si="40"/>
        <v>3</v>
      </c>
      <c r="J520" s="2">
        <f t="shared" si="41"/>
        <v>7.4999999999999997E-2</v>
      </c>
      <c r="K520">
        <f t="shared" si="42"/>
        <v>40</v>
      </c>
      <c r="L520" t="str">
        <f t="shared" si="43"/>
        <v>Funded</v>
      </c>
      <c r="M520">
        <f t="shared" si="44"/>
        <v>3.6888794541139363</v>
      </c>
    </row>
    <row r="521" spans="1:13" x14ac:dyDescent="0.25">
      <c r="A521" t="s">
        <v>1249</v>
      </c>
      <c r="B521" t="s">
        <v>81</v>
      </c>
      <c r="C521" t="s">
        <v>1250</v>
      </c>
      <c r="D521" t="s">
        <v>1251</v>
      </c>
      <c r="E521" t="s">
        <v>10</v>
      </c>
      <c r="F521" t="s">
        <v>11</v>
      </c>
      <c r="H521">
        <v>1</v>
      </c>
      <c r="I521">
        <f t="shared" si="40"/>
        <v>3</v>
      </c>
      <c r="J521" s="2">
        <f t="shared" si="41"/>
        <v>0.86699999999999999</v>
      </c>
      <c r="K521">
        <f t="shared" si="42"/>
        <v>3.4602076124567476</v>
      </c>
      <c r="L521" t="str">
        <f t="shared" si="43"/>
        <v>Funded</v>
      </c>
      <c r="M521">
        <f t="shared" si="44"/>
        <v>1.2413285908697049</v>
      </c>
    </row>
    <row r="522" spans="1:13" x14ac:dyDescent="0.25">
      <c r="A522" t="s">
        <v>1252</v>
      </c>
      <c r="B522" t="s">
        <v>81</v>
      </c>
      <c r="C522" t="s">
        <v>1253</v>
      </c>
      <c r="D522" t="s">
        <v>1102</v>
      </c>
      <c r="E522" t="s">
        <v>10</v>
      </c>
      <c r="F522" t="s">
        <v>11</v>
      </c>
      <c r="H522">
        <v>1</v>
      </c>
      <c r="I522">
        <f t="shared" si="40"/>
        <v>3</v>
      </c>
      <c r="J522" s="2">
        <f t="shared" si="41"/>
        <v>0.73</v>
      </c>
      <c r="K522">
        <f t="shared" si="42"/>
        <v>4.1095890410958908</v>
      </c>
      <c r="L522" t="str">
        <f t="shared" si="43"/>
        <v>Funded</v>
      </c>
      <c r="M522">
        <f t="shared" si="44"/>
        <v>1.41332303350781</v>
      </c>
    </row>
    <row r="523" spans="1:13" x14ac:dyDescent="0.25">
      <c r="A523" t="s">
        <v>1254</v>
      </c>
      <c r="B523" t="s">
        <v>81</v>
      </c>
      <c r="C523" t="s">
        <v>1255</v>
      </c>
      <c r="D523" t="s">
        <v>1256</v>
      </c>
      <c r="E523" t="s">
        <v>10</v>
      </c>
      <c r="F523" t="s">
        <v>11</v>
      </c>
      <c r="H523">
        <v>1</v>
      </c>
      <c r="I523">
        <f t="shared" si="40"/>
        <v>3</v>
      </c>
      <c r="J523" s="2">
        <f t="shared" si="41"/>
        <v>0.58199999999999996</v>
      </c>
      <c r="K523">
        <f t="shared" si="42"/>
        <v>5.1546391752577323</v>
      </c>
      <c r="L523" t="str">
        <f t="shared" si="43"/>
        <v>Funded</v>
      </c>
      <c r="M523">
        <f t="shared" si="44"/>
        <v>1.639897119918809</v>
      </c>
    </row>
    <row r="524" spans="1:13" x14ac:dyDescent="0.25">
      <c r="A524" t="s">
        <v>1257</v>
      </c>
      <c r="B524" t="s">
        <v>81</v>
      </c>
      <c r="C524" t="s">
        <v>125</v>
      </c>
      <c r="D524" t="s">
        <v>1258</v>
      </c>
      <c r="E524" t="s">
        <v>10</v>
      </c>
      <c r="F524" t="s">
        <v>11</v>
      </c>
      <c r="H524">
        <v>1</v>
      </c>
      <c r="I524">
        <f t="shared" si="40"/>
        <v>3</v>
      </c>
      <c r="J524" s="2">
        <f t="shared" si="41"/>
        <v>1</v>
      </c>
      <c r="K524">
        <f t="shared" si="42"/>
        <v>3</v>
      </c>
      <c r="L524" t="str">
        <f t="shared" si="43"/>
        <v>Funded</v>
      </c>
      <c r="M524">
        <f t="shared" si="44"/>
        <v>1.0986122886681098</v>
      </c>
    </row>
    <row r="525" spans="1:13" x14ac:dyDescent="0.25">
      <c r="A525" t="s">
        <v>1259</v>
      </c>
      <c r="B525" t="s">
        <v>81</v>
      </c>
      <c r="C525" t="s">
        <v>1260</v>
      </c>
      <c r="D525" t="s">
        <v>1261</v>
      </c>
      <c r="E525" t="s">
        <v>10</v>
      </c>
      <c r="F525" t="s">
        <v>11</v>
      </c>
      <c r="H525">
        <v>1</v>
      </c>
      <c r="I525">
        <f t="shared" si="40"/>
        <v>3</v>
      </c>
      <c r="J525" s="2">
        <f t="shared" si="41"/>
        <v>0.753</v>
      </c>
      <c r="K525">
        <f t="shared" si="42"/>
        <v>3.9840637450199203</v>
      </c>
      <c r="L525" t="str">
        <f t="shared" si="43"/>
        <v>Funded</v>
      </c>
      <c r="M525">
        <f t="shared" si="44"/>
        <v>1.3823023398503531</v>
      </c>
    </row>
    <row r="526" spans="1:13" x14ac:dyDescent="0.25">
      <c r="A526" t="s">
        <v>1262</v>
      </c>
      <c r="B526" t="s">
        <v>81</v>
      </c>
      <c r="C526" t="s">
        <v>936</v>
      </c>
      <c r="D526" t="s">
        <v>1263</v>
      </c>
      <c r="E526" t="s">
        <v>10</v>
      </c>
      <c r="F526" t="s">
        <v>11</v>
      </c>
      <c r="H526">
        <v>1</v>
      </c>
      <c r="I526">
        <f t="shared" si="40"/>
        <v>3</v>
      </c>
      <c r="J526" s="2">
        <f t="shared" si="41"/>
        <v>0.15</v>
      </c>
      <c r="K526">
        <f t="shared" si="42"/>
        <v>20</v>
      </c>
      <c r="L526" t="str">
        <f t="shared" si="43"/>
        <v>Funded</v>
      </c>
      <c r="M526">
        <f t="shared" si="44"/>
        <v>2.9957322735539909</v>
      </c>
    </row>
    <row r="527" spans="1:13" x14ac:dyDescent="0.25">
      <c r="A527" t="s">
        <v>1264</v>
      </c>
      <c r="B527" t="s">
        <v>81</v>
      </c>
      <c r="C527" t="s">
        <v>125</v>
      </c>
      <c r="D527" t="s">
        <v>1265</v>
      </c>
      <c r="E527" t="s">
        <v>20</v>
      </c>
      <c r="F527" t="s">
        <v>21</v>
      </c>
      <c r="H527">
        <v>1</v>
      </c>
      <c r="I527">
        <f t="shared" si="40"/>
        <v>3</v>
      </c>
      <c r="J527" s="2">
        <f t="shared" si="41"/>
        <v>1</v>
      </c>
      <c r="K527">
        <f t="shared" si="42"/>
        <v>3</v>
      </c>
      <c r="L527" t="str">
        <f t="shared" si="43"/>
        <v>Funded</v>
      </c>
      <c r="M527">
        <f t="shared" si="44"/>
        <v>1.0986122886681098</v>
      </c>
    </row>
    <row r="528" spans="1:13" x14ac:dyDescent="0.25">
      <c r="A528" t="s">
        <v>1266</v>
      </c>
      <c r="B528" t="s">
        <v>81</v>
      </c>
      <c r="C528" t="s">
        <v>780</v>
      </c>
      <c r="D528" t="s">
        <v>15</v>
      </c>
      <c r="E528" t="s">
        <v>10</v>
      </c>
      <c r="F528" t="s">
        <v>11</v>
      </c>
      <c r="H528">
        <v>1</v>
      </c>
      <c r="I528">
        <f t="shared" si="40"/>
        <v>3</v>
      </c>
      <c r="J528" s="2">
        <f t="shared" si="41"/>
        <v>0.45</v>
      </c>
      <c r="K528">
        <f t="shared" si="42"/>
        <v>6.6666666666666661</v>
      </c>
      <c r="L528" t="str">
        <f t="shared" si="43"/>
        <v>Funded</v>
      </c>
      <c r="M528">
        <f t="shared" si="44"/>
        <v>1.8971199848858813</v>
      </c>
    </row>
    <row r="529" spans="1:13" x14ac:dyDescent="0.25">
      <c r="A529" t="s">
        <v>1267</v>
      </c>
      <c r="B529" t="s">
        <v>81</v>
      </c>
      <c r="C529" t="s">
        <v>1268</v>
      </c>
      <c r="D529" t="s">
        <v>1269</v>
      </c>
      <c r="E529" t="s">
        <v>10</v>
      </c>
      <c r="F529" t="s">
        <v>11</v>
      </c>
      <c r="H529">
        <v>1</v>
      </c>
      <c r="I529">
        <f t="shared" si="40"/>
        <v>3</v>
      </c>
      <c r="J529" s="2">
        <f t="shared" si="41"/>
        <v>0.93500000000000005</v>
      </c>
      <c r="K529">
        <f t="shared" si="42"/>
        <v>3.2085561497326203</v>
      </c>
      <c r="L529" t="str">
        <f t="shared" si="43"/>
        <v>Funded</v>
      </c>
      <c r="M529">
        <f t="shared" si="44"/>
        <v>1.1658210383615597</v>
      </c>
    </row>
    <row r="530" spans="1:13" x14ac:dyDescent="0.25">
      <c r="A530" t="s">
        <v>1270</v>
      </c>
      <c r="B530" t="s">
        <v>81</v>
      </c>
      <c r="C530" t="s">
        <v>1271</v>
      </c>
      <c r="D530" t="s">
        <v>1272</v>
      </c>
      <c r="E530" t="s">
        <v>10</v>
      </c>
      <c r="F530" t="s">
        <v>11</v>
      </c>
      <c r="H530">
        <v>1</v>
      </c>
      <c r="I530">
        <f t="shared" si="40"/>
        <v>3</v>
      </c>
      <c r="J530" s="2">
        <f t="shared" si="41"/>
        <v>0.16900000000000001</v>
      </c>
      <c r="K530">
        <f t="shared" si="42"/>
        <v>17.751479289940828</v>
      </c>
      <c r="L530" t="str">
        <f t="shared" si="43"/>
        <v>Funded</v>
      </c>
      <c r="M530">
        <f t="shared" si="44"/>
        <v>2.8764688527271733</v>
      </c>
    </row>
    <row r="531" spans="1:13" x14ac:dyDescent="0.25">
      <c r="A531" t="s">
        <v>1273</v>
      </c>
      <c r="B531" t="s">
        <v>81</v>
      </c>
      <c r="C531" t="s">
        <v>1154</v>
      </c>
      <c r="D531" t="s">
        <v>1274</v>
      </c>
      <c r="E531" t="s">
        <v>49</v>
      </c>
      <c r="F531" t="s">
        <v>50</v>
      </c>
      <c r="H531">
        <v>1</v>
      </c>
      <c r="I531">
        <f t="shared" si="40"/>
        <v>3</v>
      </c>
      <c r="J531" s="2">
        <f t="shared" si="41"/>
        <v>0.71699999999999997</v>
      </c>
      <c r="K531">
        <f t="shared" si="42"/>
        <v>4.1841004184100417</v>
      </c>
      <c r="L531" t="str">
        <f t="shared" si="43"/>
        <v>Funded</v>
      </c>
      <c r="M531">
        <f t="shared" si="44"/>
        <v>1.4312917270506262</v>
      </c>
    </row>
    <row r="532" spans="1:13" x14ac:dyDescent="0.25">
      <c r="A532" t="s">
        <v>1275</v>
      </c>
      <c r="B532" t="s">
        <v>81</v>
      </c>
      <c r="C532" t="s">
        <v>1276</v>
      </c>
      <c r="D532" t="s">
        <v>159</v>
      </c>
      <c r="E532" t="s">
        <v>62</v>
      </c>
      <c r="F532" t="s">
        <v>63</v>
      </c>
      <c r="H532">
        <v>1</v>
      </c>
      <c r="I532">
        <f t="shared" si="40"/>
        <v>3</v>
      </c>
      <c r="J532" s="2">
        <f t="shared" si="41"/>
        <v>0.27700000000000002</v>
      </c>
      <c r="K532">
        <f t="shared" si="42"/>
        <v>10.830324909747292</v>
      </c>
      <c r="L532" t="str">
        <f t="shared" si="43"/>
        <v>Funded</v>
      </c>
      <c r="M532">
        <f t="shared" si="44"/>
        <v>2.3823500614629083</v>
      </c>
    </row>
    <row r="533" spans="1:13" x14ac:dyDescent="0.25">
      <c r="A533" t="s">
        <v>1277</v>
      </c>
      <c r="B533" t="s">
        <v>81</v>
      </c>
      <c r="C533" t="s">
        <v>1278</v>
      </c>
      <c r="E533" t="s">
        <v>1279</v>
      </c>
      <c r="F533" t="s">
        <v>11</v>
      </c>
      <c r="H533">
        <v>1</v>
      </c>
      <c r="I533">
        <f t="shared" si="40"/>
        <v>3</v>
      </c>
      <c r="J533" s="2">
        <f t="shared" si="41"/>
        <v>0.22500000000000001</v>
      </c>
      <c r="K533">
        <f t="shared" si="42"/>
        <v>13.333333333333332</v>
      </c>
      <c r="L533" t="str">
        <f t="shared" si="43"/>
        <v>Funded</v>
      </c>
      <c r="M533">
        <f t="shared" si="44"/>
        <v>2.5902671654458267</v>
      </c>
    </row>
    <row r="534" spans="1:13" x14ac:dyDescent="0.25">
      <c r="A534" t="s">
        <v>1280</v>
      </c>
      <c r="B534" t="s">
        <v>81</v>
      </c>
      <c r="C534" t="s">
        <v>1281</v>
      </c>
      <c r="D534" t="s">
        <v>1282</v>
      </c>
      <c r="E534" t="s">
        <v>10</v>
      </c>
      <c r="F534" t="s">
        <v>11</v>
      </c>
      <c r="H534">
        <v>1</v>
      </c>
      <c r="I534">
        <f t="shared" si="40"/>
        <v>3</v>
      </c>
      <c r="J534" s="2">
        <f t="shared" si="41"/>
        <v>0.254</v>
      </c>
      <c r="K534">
        <f t="shared" si="42"/>
        <v>11.811023622047244</v>
      </c>
      <c r="L534" t="str">
        <f t="shared" si="43"/>
        <v>Funded</v>
      </c>
      <c r="M534">
        <f t="shared" si="44"/>
        <v>2.4690333006317102</v>
      </c>
    </row>
    <row r="535" spans="1:13" x14ac:dyDescent="0.25">
      <c r="A535" t="s">
        <v>1283</v>
      </c>
      <c r="B535" t="s">
        <v>81</v>
      </c>
      <c r="C535" t="s">
        <v>47</v>
      </c>
      <c r="D535" t="s">
        <v>1284</v>
      </c>
      <c r="E535" t="s">
        <v>10</v>
      </c>
      <c r="F535" t="s">
        <v>11</v>
      </c>
      <c r="H535">
        <v>1</v>
      </c>
      <c r="I535">
        <f t="shared" si="40"/>
        <v>3</v>
      </c>
      <c r="J535" s="2">
        <f t="shared" si="41"/>
        <v>2</v>
      </c>
      <c r="K535">
        <f t="shared" si="42"/>
        <v>1.5</v>
      </c>
      <c r="L535" t="str">
        <f t="shared" si="43"/>
        <v>Funded</v>
      </c>
      <c r="M535">
        <f t="shared" si="44"/>
        <v>0.40546510810816438</v>
      </c>
    </row>
    <row r="536" spans="1:13" x14ac:dyDescent="0.25">
      <c r="A536" t="s">
        <v>1285</v>
      </c>
      <c r="B536" t="s">
        <v>81</v>
      </c>
      <c r="C536" t="s">
        <v>1286</v>
      </c>
      <c r="D536" t="s">
        <v>1287</v>
      </c>
      <c r="E536" t="s">
        <v>10</v>
      </c>
      <c r="F536" t="s">
        <v>11</v>
      </c>
      <c r="H536">
        <v>1</v>
      </c>
      <c r="I536">
        <f t="shared" si="40"/>
        <v>3</v>
      </c>
      <c r="J536" s="2">
        <f t="shared" si="41"/>
        <v>0.06</v>
      </c>
      <c r="K536">
        <f t="shared" si="42"/>
        <v>50</v>
      </c>
      <c r="L536" t="str">
        <f t="shared" si="43"/>
        <v>Funded</v>
      </c>
      <c r="M536">
        <f t="shared" si="44"/>
        <v>3.912023005428146</v>
      </c>
    </row>
    <row r="537" spans="1:13" x14ac:dyDescent="0.25">
      <c r="A537" t="s">
        <v>1288</v>
      </c>
      <c r="B537" t="s">
        <v>81</v>
      </c>
      <c r="C537" t="s">
        <v>815</v>
      </c>
      <c r="D537" t="s">
        <v>1228</v>
      </c>
      <c r="E537" t="s">
        <v>365</v>
      </c>
      <c r="F537" t="s">
        <v>11</v>
      </c>
      <c r="H537">
        <v>1</v>
      </c>
      <c r="I537">
        <f t="shared" si="40"/>
        <v>3</v>
      </c>
      <c r="J537" s="2">
        <f t="shared" si="41"/>
        <v>0.53700000000000003</v>
      </c>
      <c r="K537">
        <f t="shared" si="42"/>
        <v>5.5865921787709496</v>
      </c>
      <c r="L537" t="str">
        <f t="shared" si="43"/>
        <v>Funded</v>
      </c>
      <c r="M537">
        <f t="shared" si="44"/>
        <v>1.7203694731413821</v>
      </c>
    </row>
    <row r="538" spans="1:13" x14ac:dyDescent="0.25">
      <c r="A538" t="s">
        <v>1289</v>
      </c>
      <c r="B538" t="s">
        <v>81</v>
      </c>
      <c r="C538" t="s">
        <v>785</v>
      </c>
      <c r="D538" t="s">
        <v>225</v>
      </c>
      <c r="E538" t="s">
        <v>10</v>
      </c>
      <c r="F538" t="s">
        <v>11</v>
      </c>
      <c r="H538">
        <v>1</v>
      </c>
      <c r="I538">
        <f t="shared" si="40"/>
        <v>3</v>
      </c>
      <c r="J538" s="2">
        <f t="shared" si="41"/>
        <v>0.25</v>
      </c>
      <c r="K538">
        <f t="shared" si="42"/>
        <v>12</v>
      </c>
      <c r="L538" t="str">
        <f t="shared" si="43"/>
        <v>Funded</v>
      </c>
      <c r="M538">
        <f t="shared" si="44"/>
        <v>2.4849066497880004</v>
      </c>
    </row>
    <row r="539" spans="1:13" x14ac:dyDescent="0.25">
      <c r="A539" t="s">
        <v>1290</v>
      </c>
      <c r="B539" t="s">
        <v>81</v>
      </c>
      <c r="C539" t="s">
        <v>1291</v>
      </c>
      <c r="D539" t="s">
        <v>130</v>
      </c>
      <c r="E539" t="s">
        <v>170</v>
      </c>
      <c r="F539" t="s">
        <v>50</v>
      </c>
      <c r="H539">
        <v>1</v>
      </c>
      <c r="I539">
        <f t="shared" si="40"/>
        <v>3</v>
      </c>
      <c r="J539" s="2">
        <f t="shared" si="41"/>
        <v>0.25800000000000001</v>
      </c>
      <c r="K539">
        <f t="shared" si="42"/>
        <v>11.627906976744185</v>
      </c>
      <c r="L539" t="str">
        <f t="shared" si="43"/>
        <v>Funded</v>
      </c>
      <c r="M539">
        <f t="shared" si="44"/>
        <v>2.4534079827286295</v>
      </c>
    </row>
    <row r="540" spans="1:13" x14ac:dyDescent="0.25">
      <c r="A540" t="s">
        <v>1292</v>
      </c>
      <c r="B540" t="s">
        <v>81</v>
      </c>
      <c r="C540" t="s">
        <v>1293</v>
      </c>
      <c r="D540" t="s">
        <v>1125</v>
      </c>
      <c r="E540" t="s">
        <v>10</v>
      </c>
      <c r="F540" t="s">
        <v>11</v>
      </c>
      <c r="H540">
        <v>1</v>
      </c>
      <c r="I540">
        <f t="shared" si="40"/>
        <v>3</v>
      </c>
      <c r="J540" s="2">
        <f t="shared" si="41"/>
        <v>0.35399999999999998</v>
      </c>
      <c r="K540">
        <f t="shared" si="42"/>
        <v>8.4745762711864412</v>
      </c>
      <c r="L540" t="str">
        <f t="shared" si="43"/>
        <v>Funded</v>
      </c>
      <c r="M540">
        <f t="shared" si="44"/>
        <v>2.1370706545164722</v>
      </c>
    </row>
    <row r="541" spans="1:13" x14ac:dyDescent="0.25">
      <c r="A541" t="s">
        <v>1294</v>
      </c>
      <c r="B541" t="s">
        <v>81</v>
      </c>
      <c r="C541" t="s">
        <v>1295</v>
      </c>
      <c r="D541" t="s">
        <v>1296</v>
      </c>
      <c r="E541" t="s">
        <v>10</v>
      </c>
      <c r="F541" t="s">
        <v>11</v>
      </c>
      <c r="H541">
        <v>1</v>
      </c>
      <c r="I541">
        <f t="shared" si="40"/>
        <v>3</v>
      </c>
      <c r="J541" s="2">
        <f t="shared" si="41"/>
        <v>0.85</v>
      </c>
      <c r="K541">
        <f t="shared" si="42"/>
        <v>3.5294117647058822</v>
      </c>
      <c r="L541" t="str">
        <f t="shared" si="43"/>
        <v>Funded</v>
      </c>
      <c r="M541">
        <f t="shared" si="44"/>
        <v>1.2611312181658845</v>
      </c>
    </row>
    <row r="542" spans="1:13" x14ac:dyDescent="0.25">
      <c r="A542" t="s">
        <v>1297</v>
      </c>
      <c r="B542" t="s">
        <v>81</v>
      </c>
      <c r="C542" t="s">
        <v>1298</v>
      </c>
      <c r="D542" t="s">
        <v>1299</v>
      </c>
      <c r="E542" t="s">
        <v>350</v>
      </c>
      <c r="F542" t="s">
        <v>21</v>
      </c>
      <c r="H542">
        <v>1</v>
      </c>
      <c r="I542">
        <f t="shared" si="40"/>
        <v>3</v>
      </c>
      <c r="J542" s="2">
        <f t="shared" si="41"/>
        <v>0.58699999999999997</v>
      </c>
      <c r="K542">
        <f t="shared" si="42"/>
        <v>5.1107325383304945</v>
      </c>
      <c r="L542" t="str">
        <f t="shared" si="43"/>
        <v>Funded</v>
      </c>
      <c r="M542">
        <f t="shared" si="44"/>
        <v>1.6313427478221503</v>
      </c>
    </row>
    <row r="543" spans="1:13" x14ac:dyDescent="0.25">
      <c r="A543" t="s">
        <v>1300</v>
      </c>
      <c r="B543" t="s">
        <v>81</v>
      </c>
      <c r="C543" t="s">
        <v>1301</v>
      </c>
      <c r="D543" t="s">
        <v>1302</v>
      </c>
      <c r="E543" t="s">
        <v>1035</v>
      </c>
      <c r="F543" t="s">
        <v>21</v>
      </c>
      <c r="H543">
        <v>1</v>
      </c>
      <c r="I543">
        <f t="shared" si="40"/>
        <v>3</v>
      </c>
      <c r="J543" s="2">
        <f t="shared" si="41"/>
        <v>0.71499999999999997</v>
      </c>
      <c r="K543">
        <f t="shared" si="42"/>
        <v>4.1958041958041958</v>
      </c>
      <c r="L543" t="str">
        <f t="shared" si="43"/>
        <v>Funded</v>
      </c>
      <c r="M543">
        <f t="shared" si="44"/>
        <v>1.4340850249562391</v>
      </c>
    </row>
    <row r="544" spans="1:13" x14ac:dyDescent="0.25">
      <c r="A544" t="s">
        <v>1303</v>
      </c>
      <c r="B544" t="s">
        <v>47</v>
      </c>
      <c r="C544" s="1">
        <v>0</v>
      </c>
      <c r="D544" t="s">
        <v>1304</v>
      </c>
      <c r="E544" t="s">
        <v>170</v>
      </c>
      <c r="F544" t="s">
        <v>50</v>
      </c>
      <c r="H544">
        <v>1</v>
      </c>
      <c r="I544">
        <f t="shared" si="40"/>
        <v>2</v>
      </c>
      <c r="J544" s="2">
        <f t="shared" si="41"/>
        <v>0</v>
      </c>
      <c r="K544" t="str">
        <f t="shared" si="42"/>
        <v/>
      </c>
      <c r="L544" t="str">
        <f t="shared" si="43"/>
        <v>Bootstrapped</v>
      </c>
      <c r="M544" t="str">
        <f t="shared" si="44"/>
        <v/>
      </c>
    </row>
    <row r="545" spans="1:13" x14ac:dyDescent="0.25">
      <c r="A545" t="s">
        <v>1305</v>
      </c>
      <c r="B545" t="s">
        <v>47</v>
      </c>
      <c r="C545" t="s">
        <v>780</v>
      </c>
      <c r="D545" t="s">
        <v>1306</v>
      </c>
      <c r="E545" t="s">
        <v>10</v>
      </c>
      <c r="F545" t="s">
        <v>11</v>
      </c>
      <c r="H545">
        <v>1</v>
      </c>
      <c r="I545">
        <f t="shared" si="40"/>
        <v>2</v>
      </c>
      <c r="J545" s="2">
        <f t="shared" si="41"/>
        <v>0.45</v>
      </c>
      <c r="K545">
        <f t="shared" si="42"/>
        <v>4.4444444444444446</v>
      </c>
      <c r="L545" t="str">
        <f t="shared" si="43"/>
        <v>Funded</v>
      </c>
      <c r="M545">
        <f t="shared" si="44"/>
        <v>1.4916548767777169</v>
      </c>
    </row>
    <row r="546" spans="1:13" x14ac:dyDescent="0.25">
      <c r="A546" t="s">
        <v>1307</v>
      </c>
      <c r="B546" t="s">
        <v>47</v>
      </c>
      <c r="C546" t="s">
        <v>1308</v>
      </c>
      <c r="D546" t="s">
        <v>1309</v>
      </c>
      <c r="E546" t="s">
        <v>44</v>
      </c>
      <c r="F546" t="s">
        <v>21</v>
      </c>
      <c r="H546">
        <v>1</v>
      </c>
      <c r="I546">
        <f t="shared" si="40"/>
        <v>2</v>
      </c>
      <c r="J546" s="2">
        <f t="shared" si="41"/>
        <v>0.247</v>
      </c>
      <c r="K546">
        <f t="shared" si="42"/>
        <v>8.097165991902834</v>
      </c>
      <c r="L546" t="str">
        <f t="shared" si="43"/>
        <v>Funded</v>
      </c>
      <c r="M546">
        <f t="shared" si="44"/>
        <v>2.0915141229141052</v>
      </c>
    </row>
    <row r="547" spans="1:13" x14ac:dyDescent="0.25">
      <c r="A547" t="s">
        <v>1310</v>
      </c>
      <c r="B547" t="s">
        <v>47</v>
      </c>
      <c r="C547" t="s">
        <v>1311</v>
      </c>
      <c r="D547" t="s">
        <v>1312</v>
      </c>
      <c r="E547" t="s">
        <v>10</v>
      </c>
      <c r="F547" t="s">
        <v>11</v>
      </c>
      <c r="H547">
        <v>1</v>
      </c>
      <c r="I547">
        <f t="shared" si="40"/>
        <v>2</v>
      </c>
      <c r="J547" s="2">
        <f t="shared" si="41"/>
        <v>0.375</v>
      </c>
      <c r="K547">
        <f t="shared" si="42"/>
        <v>5.333333333333333</v>
      </c>
      <c r="L547" t="str">
        <f t="shared" si="43"/>
        <v>Funded</v>
      </c>
      <c r="M547">
        <f t="shared" si="44"/>
        <v>1.6739764335716716</v>
      </c>
    </row>
    <row r="548" spans="1:13" x14ac:dyDescent="0.25">
      <c r="A548" t="s">
        <v>1313</v>
      </c>
      <c r="B548" t="s">
        <v>47</v>
      </c>
      <c r="C548" t="s">
        <v>1314</v>
      </c>
      <c r="D548" t="s">
        <v>1315</v>
      </c>
      <c r="E548" t="s">
        <v>1316</v>
      </c>
      <c r="F548" t="s">
        <v>21</v>
      </c>
      <c r="H548">
        <v>1</v>
      </c>
      <c r="I548">
        <f t="shared" si="40"/>
        <v>2</v>
      </c>
      <c r="J548" s="2">
        <f t="shared" si="41"/>
        <v>0.252</v>
      </c>
      <c r="K548">
        <f t="shared" si="42"/>
        <v>7.9365079365079367</v>
      </c>
      <c r="L548" t="str">
        <f t="shared" si="43"/>
        <v>Funded</v>
      </c>
      <c r="M548">
        <f t="shared" si="44"/>
        <v>2.0714733720306593</v>
      </c>
    </row>
    <row r="549" spans="1:13" x14ac:dyDescent="0.25">
      <c r="A549" t="s">
        <v>1317</v>
      </c>
      <c r="B549" t="s">
        <v>47</v>
      </c>
      <c r="C549" t="s">
        <v>1129</v>
      </c>
      <c r="D549" t="s">
        <v>1318</v>
      </c>
      <c r="E549" t="s">
        <v>1035</v>
      </c>
      <c r="F549" t="s">
        <v>21</v>
      </c>
      <c r="H549">
        <v>1</v>
      </c>
      <c r="I549">
        <f t="shared" si="40"/>
        <v>2</v>
      </c>
      <c r="J549" s="2">
        <f t="shared" si="41"/>
        <v>0.35799999999999998</v>
      </c>
      <c r="K549">
        <f t="shared" si="42"/>
        <v>5.5865921787709496</v>
      </c>
      <c r="L549" t="str">
        <f t="shared" si="43"/>
        <v>Funded</v>
      </c>
      <c r="M549">
        <f t="shared" si="44"/>
        <v>1.7203694731413821</v>
      </c>
    </row>
    <row r="550" spans="1:13" x14ac:dyDescent="0.25">
      <c r="A550" t="s">
        <v>1319</v>
      </c>
      <c r="B550" t="s">
        <v>47</v>
      </c>
      <c r="C550" t="s">
        <v>715</v>
      </c>
      <c r="D550" t="s">
        <v>955</v>
      </c>
      <c r="E550" t="s">
        <v>170</v>
      </c>
      <c r="F550" t="s">
        <v>50</v>
      </c>
      <c r="H550">
        <v>1</v>
      </c>
      <c r="I550">
        <f t="shared" si="40"/>
        <v>2</v>
      </c>
      <c r="J550" s="2">
        <f t="shared" si="41"/>
        <v>0.64300000000000002</v>
      </c>
      <c r="K550">
        <f t="shared" si="42"/>
        <v>3.1104199066874028</v>
      </c>
      <c r="L550" t="str">
        <f t="shared" si="43"/>
        <v>Funded</v>
      </c>
      <c r="M550">
        <f t="shared" si="44"/>
        <v>1.1347577353044629</v>
      </c>
    </row>
    <row r="551" spans="1:13" x14ac:dyDescent="0.25">
      <c r="A551" t="s">
        <v>1320</v>
      </c>
      <c r="B551" t="s">
        <v>47</v>
      </c>
      <c r="C551" t="s">
        <v>1212</v>
      </c>
      <c r="D551" t="s">
        <v>1321</v>
      </c>
      <c r="E551" t="s">
        <v>10</v>
      </c>
      <c r="F551" t="s">
        <v>11</v>
      </c>
      <c r="H551">
        <v>1</v>
      </c>
      <c r="I551">
        <f t="shared" si="40"/>
        <v>2</v>
      </c>
      <c r="J551" s="2">
        <f t="shared" si="41"/>
        <v>0.94299999999999995</v>
      </c>
      <c r="K551">
        <f t="shared" si="42"/>
        <v>2.1208907741251326</v>
      </c>
      <c r="L551" t="str">
        <f t="shared" si="43"/>
        <v>Funded</v>
      </c>
      <c r="M551">
        <f t="shared" si="44"/>
        <v>0.75183617690862492</v>
      </c>
    </row>
    <row r="552" spans="1:13" x14ac:dyDescent="0.25">
      <c r="A552" t="s">
        <v>1322</v>
      </c>
      <c r="B552" t="s">
        <v>47</v>
      </c>
      <c r="C552" t="s">
        <v>1323</v>
      </c>
      <c r="D552" t="s">
        <v>1324</v>
      </c>
      <c r="E552" t="s">
        <v>10</v>
      </c>
      <c r="F552" t="s">
        <v>11</v>
      </c>
      <c r="H552">
        <v>1</v>
      </c>
      <c r="I552">
        <f t="shared" si="40"/>
        <v>2</v>
      </c>
      <c r="J552" s="2">
        <f t="shared" si="41"/>
        <v>0.45800000000000002</v>
      </c>
      <c r="K552">
        <f t="shared" si="42"/>
        <v>4.3668122270742353</v>
      </c>
      <c r="L552" t="str">
        <f t="shared" si="43"/>
        <v>Funded</v>
      </c>
      <c r="M552">
        <f t="shared" si="44"/>
        <v>1.4740332754278973</v>
      </c>
    </row>
    <row r="553" spans="1:13" x14ac:dyDescent="0.25">
      <c r="A553" t="s">
        <v>1325</v>
      </c>
      <c r="B553" t="s">
        <v>47</v>
      </c>
      <c r="C553" t="s">
        <v>1326</v>
      </c>
      <c r="D553" t="s">
        <v>225</v>
      </c>
      <c r="E553" t="s">
        <v>10</v>
      </c>
      <c r="F553" t="s">
        <v>11</v>
      </c>
      <c r="H553">
        <v>1</v>
      </c>
      <c r="I553">
        <f t="shared" si="40"/>
        <v>2</v>
      </c>
      <c r="J553" s="2">
        <f t="shared" si="41"/>
        <v>0.74299999999999999</v>
      </c>
      <c r="K553">
        <f t="shared" si="42"/>
        <v>2.6917900403768504</v>
      </c>
      <c r="L553" t="str">
        <f t="shared" si="43"/>
        <v>Funded</v>
      </c>
      <c r="M553">
        <f t="shared" si="44"/>
        <v>0.99020641482432314</v>
      </c>
    </row>
    <row r="554" spans="1:13" x14ac:dyDescent="0.25">
      <c r="A554" t="s">
        <v>1327</v>
      </c>
      <c r="B554" t="s">
        <v>47</v>
      </c>
      <c r="C554" t="s">
        <v>1328</v>
      </c>
      <c r="D554" t="s">
        <v>1329</v>
      </c>
      <c r="E554" t="s">
        <v>10</v>
      </c>
      <c r="F554" t="s">
        <v>11</v>
      </c>
      <c r="H554">
        <v>1</v>
      </c>
      <c r="I554">
        <f t="shared" si="40"/>
        <v>2</v>
      </c>
      <c r="J554" s="2">
        <f t="shared" si="41"/>
        <v>0.54300000000000004</v>
      </c>
      <c r="K554">
        <f t="shared" si="42"/>
        <v>3.6832412523020257</v>
      </c>
      <c r="L554" t="str">
        <f t="shared" si="43"/>
        <v>Funded</v>
      </c>
      <c r="M554">
        <f t="shared" si="44"/>
        <v>1.3037931396081468</v>
      </c>
    </row>
    <row r="555" spans="1:13" x14ac:dyDescent="0.25">
      <c r="A555" t="s">
        <v>1330</v>
      </c>
      <c r="B555" t="s">
        <v>47</v>
      </c>
      <c r="C555" t="s">
        <v>1331</v>
      </c>
      <c r="D555" t="s">
        <v>1332</v>
      </c>
      <c r="E555" t="s">
        <v>10</v>
      </c>
      <c r="F555" t="s">
        <v>11</v>
      </c>
      <c r="H555">
        <v>1</v>
      </c>
      <c r="I555">
        <f t="shared" si="40"/>
        <v>2</v>
      </c>
      <c r="J555" s="2">
        <f t="shared" si="41"/>
        <v>0.39800000000000002</v>
      </c>
      <c r="K555">
        <f t="shared" si="42"/>
        <v>5.0251256281407031</v>
      </c>
      <c r="L555" t="str">
        <f t="shared" si="43"/>
        <v>Funded</v>
      </c>
      <c r="M555">
        <f t="shared" si="44"/>
        <v>1.6144504542576446</v>
      </c>
    </row>
    <row r="556" spans="1:13" x14ac:dyDescent="0.25">
      <c r="A556" t="s">
        <v>1333</v>
      </c>
      <c r="B556" t="s">
        <v>47</v>
      </c>
      <c r="C556" t="s">
        <v>1334</v>
      </c>
      <c r="D556" t="s">
        <v>727</v>
      </c>
      <c r="E556" t="s">
        <v>10</v>
      </c>
      <c r="F556" t="s">
        <v>11</v>
      </c>
      <c r="H556">
        <v>1</v>
      </c>
      <c r="I556">
        <f t="shared" si="40"/>
        <v>2</v>
      </c>
      <c r="J556" s="2">
        <f t="shared" si="41"/>
        <v>0.39100000000000001</v>
      </c>
      <c r="K556">
        <f t="shared" si="42"/>
        <v>5.1150895140664963</v>
      </c>
      <c r="L556" t="str">
        <f t="shared" si="43"/>
        <v>Funded</v>
      </c>
      <c r="M556">
        <f t="shared" si="44"/>
        <v>1.6321948995567166</v>
      </c>
    </row>
    <row r="557" spans="1:13" x14ac:dyDescent="0.25">
      <c r="A557" t="s">
        <v>1335</v>
      </c>
      <c r="B557" t="s">
        <v>47</v>
      </c>
      <c r="C557" t="s">
        <v>1336</v>
      </c>
      <c r="D557" t="s">
        <v>1337</v>
      </c>
      <c r="E557" t="s">
        <v>10</v>
      </c>
      <c r="F557" t="s">
        <v>11</v>
      </c>
      <c r="H557">
        <v>1</v>
      </c>
      <c r="I557">
        <f t="shared" si="40"/>
        <v>2</v>
      </c>
      <c r="J557" s="2">
        <f t="shared" si="41"/>
        <v>0.60499999999999998</v>
      </c>
      <c r="K557">
        <f t="shared" si="42"/>
        <v>3.3057851239669422</v>
      </c>
      <c r="L557" t="str">
        <f t="shared" si="43"/>
        <v>Funded</v>
      </c>
      <c r="M557">
        <f t="shared" si="44"/>
        <v>1.195674001511241</v>
      </c>
    </row>
    <row r="558" spans="1:13" x14ac:dyDescent="0.25">
      <c r="A558" t="s">
        <v>1338</v>
      </c>
      <c r="B558" t="s">
        <v>47</v>
      </c>
      <c r="C558" t="s">
        <v>1339</v>
      </c>
      <c r="D558" t="s">
        <v>221</v>
      </c>
      <c r="E558" t="s">
        <v>10</v>
      </c>
      <c r="F558" t="s">
        <v>11</v>
      </c>
      <c r="H558">
        <v>1</v>
      </c>
      <c r="I558">
        <f t="shared" si="40"/>
        <v>2</v>
      </c>
      <c r="J558" s="2">
        <f t="shared" si="41"/>
        <v>0.45900000000000002</v>
      </c>
      <c r="K558">
        <f t="shared" si="42"/>
        <v>4.3572984749455337</v>
      </c>
      <c r="L558" t="str">
        <f t="shared" si="43"/>
        <v>Funded</v>
      </c>
      <c r="M558">
        <f t="shared" si="44"/>
        <v>1.4718522494815371</v>
      </c>
    </row>
    <row r="559" spans="1:13" x14ac:dyDescent="0.25">
      <c r="A559" t="s">
        <v>1340</v>
      </c>
      <c r="B559" t="s">
        <v>47</v>
      </c>
      <c r="C559" t="s">
        <v>726</v>
      </c>
      <c r="D559" t="s">
        <v>655</v>
      </c>
      <c r="E559" t="s">
        <v>10</v>
      </c>
      <c r="F559" t="s">
        <v>11</v>
      </c>
      <c r="H559">
        <v>1</v>
      </c>
      <c r="I559">
        <f t="shared" si="40"/>
        <v>2</v>
      </c>
      <c r="J559" s="2">
        <f t="shared" si="41"/>
        <v>0.498</v>
      </c>
      <c r="K559">
        <f t="shared" si="42"/>
        <v>4.0160642570281126</v>
      </c>
      <c r="L559" t="str">
        <f t="shared" si="43"/>
        <v>Funded</v>
      </c>
      <c r="M559">
        <f t="shared" si="44"/>
        <v>1.3903023825174294</v>
      </c>
    </row>
    <row r="560" spans="1:13" x14ac:dyDescent="0.25">
      <c r="A560" t="s">
        <v>1341</v>
      </c>
      <c r="B560" t="s">
        <v>47</v>
      </c>
      <c r="C560" t="s">
        <v>1342</v>
      </c>
      <c r="D560" t="s">
        <v>1343</v>
      </c>
      <c r="E560" t="s">
        <v>20</v>
      </c>
      <c r="F560" t="s">
        <v>21</v>
      </c>
      <c r="H560">
        <v>1</v>
      </c>
      <c r="I560">
        <f t="shared" si="40"/>
        <v>2</v>
      </c>
      <c r="J560" s="2">
        <f t="shared" si="41"/>
        <v>0.40100000000000002</v>
      </c>
      <c r="K560">
        <f t="shared" si="42"/>
        <v>4.9875311720698248</v>
      </c>
      <c r="L560" t="str">
        <f t="shared" si="43"/>
        <v>Funded</v>
      </c>
      <c r="M560">
        <f t="shared" si="44"/>
        <v>1.6069410322355131</v>
      </c>
    </row>
    <row r="561" spans="1:13" x14ac:dyDescent="0.25">
      <c r="A561" t="s">
        <v>1344</v>
      </c>
      <c r="B561" t="s">
        <v>47</v>
      </c>
      <c r="C561" t="s">
        <v>931</v>
      </c>
      <c r="D561" t="s">
        <v>496</v>
      </c>
      <c r="E561" t="s">
        <v>62</v>
      </c>
      <c r="F561" t="s">
        <v>63</v>
      </c>
      <c r="H561">
        <v>1</v>
      </c>
      <c r="I561">
        <f t="shared" si="40"/>
        <v>2</v>
      </c>
      <c r="J561" s="2">
        <f t="shared" si="41"/>
        <v>0.41399999999999998</v>
      </c>
      <c r="K561">
        <f t="shared" si="42"/>
        <v>4.8309178743961354</v>
      </c>
      <c r="L561" t="str">
        <f t="shared" si="43"/>
        <v>Funded</v>
      </c>
      <c r="M561">
        <f t="shared" si="44"/>
        <v>1.575036485716768</v>
      </c>
    </row>
    <row r="562" spans="1:13" x14ac:dyDescent="0.25">
      <c r="A562" t="s">
        <v>1345</v>
      </c>
      <c r="B562" t="s">
        <v>47</v>
      </c>
      <c r="C562" t="s">
        <v>1346</v>
      </c>
      <c r="D562" t="s">
        <v>1347</v>
      </c>
      <c r="E562" t="s">
        <v>20</v>
      </c>
      <c r="F562" t="s">
        <v>21</v>
      </c>
      <c r="H562">
        <v>1</v>
      </c>
      <c r="I562">
        <f t="shared" si="40"/>
        <v>2</v>
      </c>
      <c r="J562" s="2">
        <f t="shared" si="41"/>
        <v>0.30299999999999999</v>
      </c>
      <c r="K562">
        <f t="shared" si="42"/>
        <v>6.6006600660066006</v>
      </c>
      <c r="L562" t="str">
        <f t="shared" si="43"/>
        <v>Funded</v>
      </c>
      <c r="M562">
        <f t="shared" si="44"/>
        <v>1.8871696540327132</v>
      </c>
    </row>
    <row r="563" spans="1:13" x14ac:dyDescent="0.25">
      <c r="A563" t="s">
        <v>1348</v>
      </c>
      <c r="B563" t="s">
        <v>47</v>
      </c>
      <c r="C563" t="s">
        <v>1349</v>
      </c>
      <c r="D563" t="s">
        <v>1350</v>
      </c>
      <c r="E563" t="s">
        <v>49</v>
      </c>
      <c r="F563" t="s">
        <v>50</v>
      </c>
      <c r="H563">
        <v>1</v>
      </c>
      <c r="I563">
        <f t="shared" si="40"/>
        <v>2</v>
      </c>
      <c r="J563" s="2">
        <f t="shared" si="41"/>
        <v>0.69599999999999995</v>
      </c>
      <c r="K563">
        <f t="shared" si="42"/>
        <v>2.8735632183908049</v>
      </c>
      <c r="L563" t="str">
        <f t="shared" si="43"/>
        <v>Funded</v>
      </c>
      <c r="M563">
        <f t="shared" si="44"/>
        <v>1.0555527992076628</v>
      </c>
    </row>
    <row r="564" spans="1:13" x14ac:dyDescent="0.25">
      <c r="A564" t="s">
        <v>1351</v>
      </c>
      <c r="B564" t="s">
        <v>47</v>
      </c>
      <c r="C564" s="1">
        <v>0</v>
      </c>
      <c r="E564" t="s">
        <v>62</v>
      </c>
      <c r="F564" t="s">
        <v>63</v>
      </c>
      <c r="H564">
        <v>1</v>
      </c>
      <c r="I564">
        <f t="shared" si="40"/>
        <v>2</v>
      </c>
      <c r="J564" s="2">
        <f t="shared" si="41"/>
        <v>0</v>
      </c>
      <c r="K564" t="str">
        <f t="shared" si="42"/>
        <v/>
      </c>
      <c r="L564" t="str">
        <f t="shared" si="43"/>
        <v>Bootstrapped</v>
      </c>
      <c r="M564" t="str">
        <f t="shared" si="44"/>
        <v/>
      </c>
    </row>
    <row r="565" spans="1:13" x14ac:dyDescent="0.25">
      <c r="A565" t="s">
        <v>1352</v>
      </c>
      <c r="B565" t="s">
        <v>47</v>
      </c>
      <c r="C565" t="s">
        <v>1291</v>
      </c>
      <c r="D565" t="s">
        <v>1146</v>
      </c>
      <c r="E565" t="s">
        <v>10</v>
      </c>
      <c r="F565" t="s">
        <v>11</v>
      </c>
      <c r="H565">
        <v>1</v>
      </c>
      <c r="I565">
        <f t="shared" si="40"/>
        <v>2</v>
      </c>
      <c r="J565" s="2">
        <f t="shared" si="41"/>
        <v>0.25800000000000001</v>
      </c>
      <c r="K565">
        <f t="shared" si="42"/>
        <v>7.7519379844961236</v>
      </c>
      <c r="L565" t="str">
        <f t="shared" si="43"/>
        <v>Funded</v>
      </c>
      <c r="M565">
        <f t="shared" si="44"/>
        <v>2.0479428746204649</v>
      </c>
    </row>
    <row r="566" spans="1:13" x14ac:dyDescent="0.25">
      <c r="A566" t="s">
        <v>1353</v>
      </c>
      <c r="B566" t="s">
        <v>47</v>
      </c>
      <c r="C566" t="s">
        <v>1354</v>
      </c>
      <c r="D566" t="s">
        <v>15</v>
      </c>
      <c r="E566" t="s">
        <v>10</v>
      </c>
      <c r="F566" t="s">
        <v>11</v>
      </c>
      <c r="H566">
        <v>1</v>
      </c>
      <c r="I566">
        <f t="shared" si="40"/>
        <v>2</v>
      </c>
      <c r="J566" s="2">
        <f t="shared" si="41"/>
        <v>0.55700000000000005</v>
      </c>
      <c r="K566">
        <f t="shared" si="42"/>
        <v>3.5906642728904843</v>
      </c>
      <c r="L566" t="str">
        <f t="shared" si="43"/>
        <v>Funded</v>
      </c>
      <c r="M566">
        <f t="shared" si="44"/>
        <v>1.2783372196147982</v>
      </c>
    </row>
    <row r="567" spans="1:13" x14ac:dyDescent="0.25">
      <c r="A567" t="s">
        <v>1355</v>
      </c>
      <c r="B567" t="s">
        <v>47</v>
      </c>
      <c r="C567" t="s">
        <v>1356</v>
      </c>
      <c r="D567" t="s">
        <v>1357</v>
      </c>
      <c r="E567" t="s">
        <v>44</v>
      </c>
      <c r="F567" t="s">
        <v>21</v>
      </c>
      <c r="H567">
        <v>1</v>
      </c>
      <c r="I567">
        <f t="shared" si="40"/>
        <v>2</v>
      </c>
      <c r="J567" s="2">
        <f t="shared" si="41"/>
        <v>0.55500000000000005</v>
      </c>
      <c r="K567">
        <f t="shared" si="42"/>
        <v>3.6036036036036032</v>
      </c>
      <c r="L567" t="str">
        <f t="shared" si="43"/>
        <v>Funded</v>
      </c>
      <c r="M567">
        <f t="shared" si="44"/>
        <v>1.2819343457956478</v>
      </c>
    </row>
    <row r="568" spans="1:13" x14ac:dyDescent="0.25">
      <c r="A568" t="s">
        <v>1358</v>
      </c>
      <c r="B568" t="s">
        <v>47</v>
      </c>
      <c r="C568" t="s">
        <v>1359</v>
      </c>
      <c r="D568" t="s">
        <v>1074</v>
      </c>
      <c r="E568" t="s">
        <v>10</v>
      </c>
      <c r="F568" t="s">
        <v>11</v>
      </c>
      <c r="H568">
        <v>1</v>
      </c>
      <c r="I568">
        <f t="shared" si="40"/>
        <v>2</v>
      </c>
      <c r="J568" s="2">
        <f t="shared" si="41"/>
        <v>0.32600000000000001</v>
      </c>
      <c r="K568">
        <f t="shared" si="42"/>
        <v>6.1349693251533743</v>
      </c>
      <c r="L568" t="str">
        <f t="shared" si="43"/>
        <v>Funded</v>
      </c>
      <c r="M568">
        <f t="shared" si="44"/>
        <v>1.8140050781753747</v>
      </c>
    </row>
    <row r="569" spans="1:13" x14ac:dyDescent="0.25">
      <c r="A569" t="s">
        <v>1360</v>
      </c>
      <c r="B569" t="s">
        <v>47</v>
      </c>
      <c r="C569" t="s">
        <v>1334</v>
      </c>
      <c r="D569" t="s">
        <v>1361</v>
      </c>
      <c r="E569" t="s">
        <v>44</v>
      </c>
      <c r="F569" t="s">
        <v>21</v>
      </c>
      <c r="H569">
        <v>1</v>
      </c>
      <c r="I569">
        <f t="shared" si="40"/>
        <v>2</v>
      </c>
      <c r="J569" s="2">
        <f t="shared" si="41"/>
        <v>0.39100000000000001</v>
      </c>
      <c r="K569">
        <f t="shared" si="42"/>
        <v>5.1150895140664963</v>
      </c>
      <c r="L569" t="str">
        <f t="shared" si="43"/>
        <v>Funded</v>
      </c>
      <c r="M569">
        <f t="shared" si="44"/>
        <v>1.6321948995567166</v>
      </c>
    </row>
    <row r="570" spans="1:13" x14ac:dyDescent="0.25">
      <c r="A570" t="s">
        <v>1362</v>
      </c>
      <c r="B570" t="s">
        <v>47</v>
      </c>
      <c r="C570" t="s">
        <v>1363</v>
      </c>
      <c r="D570" t="s">
        <v>1364</v>
      </c>
      <c r="E570" t="s">
        <v>10</v>
      </c>
      <c r="F570" t="s">
        <v>11</v>
      </c>
      <c r="H570">
        <v>1</v>
      </c>
      <c r="I570">
        <f t="shared" si="40"/>
        <v>2</v>
      </c>
      <c r="J570" s="2">
        <f t="shared" si="41"/>
        <v>0.29299999999999998</v>
      </c>
      <c r="K570">
        <f t="shared" si="42"/>
        <v>6.8259385665529013</v>
      </c>
      <c r="L570" t="str">
        <f t="shared" si="43"/>
        <v>Funded</v>
      </c>
      <c r="M570">
        <f t="shared" si="44"/>
        <v>1.920729850525015</v>
      </c>
    </row>
    <row r="571" spans="1:13" x14ac:dyDescent="0.25">
      <c r="A571" t="s">
        <v>1365</v>
      </c>
      <c r="B571" t="s">
        <v>47</v>
      </c>
      <c r="C571" t="s">
        <v>1366</v>
      </c>
      <c r="D571" t="s">
        <v>1367</v>
      </c>
      <c r="E571" t="s">
        <v>10</v>
      </c>
      <c r="F571" t="s">
        <v>11</v>
      </c>
      <c r="H571">
        <v>1</v>
      </c>
      <c r="I571">
        <f t="shared" si="40"/>
        <v>2</v>
      </c>
      <c r="J571" s="2">
        <f t="shared" si="41"/>
        <v>0.84299999999999997</v>
      </c>
      <c r="K571">
        <f t="shared" si="42"/>
        <v>2.3724792408066429</v>
      </c>
      <c r="L571" t="str">
        <f t="shared" si="43"/>
        <v>Funded</v>
      </c>
      <c r="M571">
        <f t="shared" si="44"/>
        <v>0.86393550154022691</v>
      </c>
    </row>
    <row r="572" spans="1:13" x14ac:dyDescent="0.25">
      <c r="A572" t="s">
        <v>1368</v>
      </c>
      <c r="B572" t="s">
        <v>47</v>
      </c>
      <c r="C572" t="s">
        <v>1369</v>
      </c>
      <c r="D572" t="s">
        <v>1370</v>
      </c>
      <c r="E572" t="s">
        <v>20</v>
      </c>
      <c r="F572" t="s">
        <v>21</v>
      </c>
      <c r="H572">
        <v>1</v>
      </c>
      <c r="I572">
        <f t="shared" si="40"/>
        <v>2</v>
      </c>
      <c r="J572" s="2">
        <f t="shared" si="41"/>
        <v>5.8000000000000003E-2</v>
      </c>
      <c r="K572">
        <f t="shared" si="42"/>
        <v>34.482758620689651</v>
      </c>
      <c r="L572" t="str">
        <f t="shared" si="43"/>
        <v>Funded</v>
      </c>
      <c r="M572">
        <f t="shared" si="44"/>
        <v>3.5404594489956631</v>
      </c>
    </row>
    <row r="573" spans="1:13" x14ac:dyDescent="0.25">
      <c r="A573" t="s">
        <v>1371</v>
      </c>
      <c r="B573" t="s">
        <v>47</v>
      </c>
      <c r="C573" t="s">
        <v>1145</v>
      </c>
      <c r="D573" t="s">
        <v>159</v>
      </c>
      <c r="E573" t="s">
        <v>44</v>
      </c>
      <c r="F573" t="s">
        <v>21</v>
      </c>
      <c r="H573">
        <v>1</v>
      </c>
      <c r="I573">
        <f t="shared" si="40"/>
        <v>2</v>
      </c>
      <c r="J573" s="2">
        <f t="shared" si="41"/>
        <v>0.72199999999999998</v>
      </c>
      <c r="K573">
        <f t="shared" si="42"/>
        <v>2.770083102493075</v>
      </c>
      <c r="L573" t="str">
        <f t="shared" si="43"/>
        <v>Funded</v>
      </c>
      <c r="M573">
        <f t="shared" si="44"/>
        <v>1.0188773206492563</v>
      </c>
    </row>
    <row r="574" spans="1:13" x14ac:dyDescent="0.25">
      <c r="A574" t="s">
        <v>1372</v>
      </c>
      <c r="B574" t="s">
        <v>47</v>
      </c>
      <c r="C574" t="s">
        <v>995</v>
      </c>
      <c r="D574" t="s">
        <v>1373</v>
      </c>
      <c r="E574" t="s">
        <v>10</v>
      </c>
      <c r="F574" t="s">
        <v>11</v>
      </c>
      <c r="H574">
        <v>1</v>
      </c>
      <c r="I574">
        <f t="shared" si="40"/>
        <v>2</v>
      </c>
      <c r="J574" s="2">
        <f t="shared" si="41"/>
        <v>0.33400000000000002</v>
      </c>
      <c r="K574">
        <f t="shared" si="42"/>
        <v>5.9880239520958076</v>
      </c>
      <c r="L574" t="str">
        <f t="shared" si="43"/>
        <v>Funded</v>
      </c>
      <c r="M574">
        <f t="shared" si="44"/>
        <v>1.7897614665653818</v>
      </c>
    </row>
    <row r="575" spans="1:13" x14ac:dyDescent="0.25">
      <c r="A575" t="s">
        <v>1374</v>
      </c>
      <c r="B575" t="s">
        <v>47</v>
      </c>
      <c r="C575" t="s">
        <v>1375</v>
      </c>
      <c r="D575" t="s">
        <v>1065</v>
      </c>
      <c r="E575" t="s">
        <v>10</v>
      </c>
      <c r="F575" t="s">
        <v>11</v>
      </c>
      <c r="H575">
        <v>1</v>
      </c>
      <c r="I575">
        <f t="shared" si="40"/>
        <v>2</v>
      </c>
      <c r="J575" s="2">
        <f t="shared" si="41"/>
        <v>0.19</v>
      </c>
      <c r="K575">
        <f t="shared" si="42"/>
        <v>10.526315789473685</v>
      </c>
      <c r="L575" t="str">
        <f t="shared" si="43"/>
        <v>Funded</v>
      </c>
      <c r="M575">
        <f t="shared" si="44"/>
        <v>2.3538783873815965</v>
      </c>
    </row>
    <row r="576" spans="1:13" x14ac:dyDescent="0.25">
      <c r="A576" t="s">
        <v>1376</v>
      </c>
      <c r="B576" t="s">
        <v>47</v>
      </c>
      <c r="C576" t="s">
        <v>1377</v>
      </c>
      <c r="D576" t="s">
        <v>15</v>
      </c>
      <c r="E576" t="s">
        <v>10</v>
      </c>
      <c r="F576" t="s">
        <v>11</v>
      </c>
      <c r="H576">
        <v>1</v>
      </c>
      <c r="I576">
        <f t="shared" si="40"/>
        <v>2</v>
      </c>
      <c r="J576" s="2">
        <f t="shared" si="41"/>
        <v>0.13400000000000001</v>
      </c>
      <c r="K576">
        <f t="shared" si="42"/>
        <v>14.925373134328357</v>
      </c>
      <c r="L576" t="str">
        <f t="shared" si="43"/>
        <v>Funded</v>
      </c>
      <c r="M576">
        <f t="shared" si="44"/>
        <v>2.7030626595911711</v>
      </c>
    </row>
    <row r="577" spans="1:13" x14ac:dyDescent="0.25">
      <c r="A577" t="s">
        <v>1378</v>
      </c>
      <c r="B577" t="s">
        <v>47</v>
      </c>
      <c r="C577" t="s">
        <v>1379</v>
      </c>
      <c r="D577" t="s">
        <v>1380</v>
      </c>
      <c r="E577" t="s">
        <v>20</v>
      </c>
      <c r="F577" t="s">
        <v>21</v>
      </c>
      <c r="H577">
        <v>1</v>
      </c>
      <c r="I577">
        <f t="shared" si="40"/>
        <v>2</v>
      </c>
      <c r="J577" s="2">
        <f t="shared" si="41"/>
        <v>0.27800000000000002</v>
      </c>
      <c r="K577">
        <f t="shared" si="42"/>
        <v>7.1942446043165464</v>
      </c>
      <c r="L577" t="str">
        <f t="shared" si="43"/>
        <v>Funded</v>
      </c>
      <c r="M577">
        <f t="shared" si="44"/>
        <v>1.9732813458514453</v>
      </c>
    </row>
    <row r="578" spans="1:13" x14ac:dyDescent="0.25">
      <c r="A578" t="s">
        <v>1381</v>
      </c>
      <c r="B578" t="s">
        <v>47</v>
      </c>
      <c r="C578" t="s">
        <v>1382</v>
      </c>
      <c r="D578" t="s">
        <v>1383</v>
      </c>
      <c r="E578" t="s">
        <v>20</v>
      </c>
      <c r="F578" t="s">
        <v>21</v>
      </c>
      <c r="H578">
        <v>1</v>
      </c>
      <c r="I578">
        <f t="shared" si="40"/>
        <v>2</v>
      </c>
      <c r="J578" s="2">
        <f t="shared" si="41"/>
        <v>0.52</v>
      </c>
      <c r="K578">
        <f t="shared" si="42"/>
        <v>3.8461538461538458</v>
      </c>
      <c r="L578" t="str">
        <f t="shared" si="43"/>
        <v>Funded</v>
      </c>
      <c r="M578">
        <f t="shared" si="44"/>
        <v>1.3470736479666092</v>
      </c>
    </row>
    <row r="579" spans="1:13" x14ac:dyDescent="0.25">
      <c r="A579" t="s">
        <v>1384</v>
      </c>
      <c r="B579" t="s">
        <v>47</v>
      </c>
      <c r="C579" t="s">
        <v>47</v>
      </c>
      <c r="D579" t="s">
        <v>1385</v>
      </c>
      <c r="E579" t="s">
        <v>1008</v>
      </c>
      <c r="F579" t="s">
        <v>11</v>
      </c>
      <c r="H579">
        <v>1</v>
      </c>
      <c r="I579">
        <f t="shared" ref="I579:I642" si="45">IF(B579="","",
VALUE(SUBSTITUTE(SUBSTITUTE(B579,"$",""),"B","")))</f>
        <v>2</v>
      </c>
      <c r="J579" s="2">
        <f t="shared" ref="J579:J642" si="46">IF(C579="","",
IF(C579="$0",0,
IF(RIGHT(C579,1)="B",
VALUE(SUBSTITUTE(SUBSTITUTE(C579,"$",""),"B","")),
IF(RIGHT(C579,1)="M",
VALUE(SUBSTITUTE(SUBSTITUTE(C579,"$",""),"M",""))/1000,
IF(RIGHT(C579,1)="K",
VALUE(SUBSTITUTE(SUBSTITUTE(C579,"$",""),"K",""))/1000000,
VALUE(SUBSTITUTE(C579,"$",""))
)))))</f>
        <v>2</v>
      </c>
      <c r="K579">
        <f t="shared" ref="K579:K642" si="47">IF(J579&gt;0,I579/J579,"")</f>
        <v>1</v>
      </c>
      <c r="L579" t="str">
        <f t="shared" ref="L579:L642" si="48">IF(J579=0,"Bootstrapped","Funded")</f>
        <v>Funded</v>
      </c>
      <c r="M579">
        <f t="shared" ref="M579:M642" si="49">IF(AND(I579&gt;0,J579&gt;0),LN(I579/J579),"")</f>
        <v>0</v>
      </c>
    </row>
    <row r="580" spans="1:13" x14ac:dyDescent="0.25">
      <c r="A580" t="s">
        <v>1386</v>
      </c>
      <c r="B580" t="s">
        <v>47</v>
      </c>
      <c r="C580" t="s">
        <v>1308</v>
      </c>
      <c r="D580" t="s">
        <v>1387</v>
      </c>
      <c r="E580" t="s">
        <v>10</v>
      </c>
      <c r="F580" t="s">
        <v>11</v>
      </c>
      <c r="H580">
        <v>1</v>
      </c>
      <c r="I580">
        <f t="shared" si="45"/>
        <v>2</v>
      </c>
      <c r="J580" s="2">
        <f t="shared" si="46"/>
        <v>0.247</v>
      </c>
      <c r="K580">
        <f t="shared" si="47"/>
        <v>8.097165991902834</v>
      </c>
      <c r="L580" t="str">
        <f t="shared" si="48"/>
        <v>Funded</v>
      </c>
      <c r="M580">
        <f t="shared" si="49"/>
        <v>2.0915141229141052</v>
      </c>
    </row>
    <row r="581" spans="1:13" x14ac:dyDescent="0.25">
      <c r="A581" t="s">
        <v>1388</v>
      </c>
      <c r="B581" t="s">
        <v>47</v>
      </c>
      <c r="C581" t="s">
        <v>906</v>
      </c>
      <c r="D581" t="s">
        <v>15</v>
      </c>
      <c r="E581" t="s">
        <v>10</v>
      </c>
      <c r="F581" t="s">
        <v>11</v>
      </c>
      <c r="H581">
        <v>1</v>
      </c>
      <c r="I581">
        <f t="shared" si="45"/>
        <v>2</v>
      </c>
      <c r="J581" s="2">
        <f t="shared" si="46"/>
        <v>0.60199999999999998</v>
      </c>
      <c r="K581">
        <f t="shared" si="47"/>
        <v>3.3222591362126246</v>
      </c>
      <c r="L581" t="str">
        <f t="shared" si="48"/>
        <v>Funded</v>
      </c>
      <c r="M581">
        <f t="shared" si="49"/>
        <v>1.2006450142332614</v>
      </c>
    </row>
    <row r="582" spans="1:13" x14ac:dyDescent="0.25">
      <c r="A582" t="s">
        <v>1389</v>
      </c>
      <c r="B582" t="s">
        <v>47</v>
      </c>
      <c r="C582" t="s">
        <v>1390</v>
      </c>
      <c r="D582" t="s">
        <v>921</v>
      </c>
      <c r="E582" t="s">
        <v>1008</v>
      </c>
      <c r="F582" t="s">
        <v>11</v>
      </c>
      <c r="H582">
        <v>1</v>
      </c>
      <c r="I582">
        <f t="shared" si="45"/>
        <v>2</v>
      </c>
      <c r="J582" s="2">
        <f t="shared" si="46"/>
        <v>0.315</v>
      </c>
      <c r="K582">
        <f t="shared" si="47"/>
        <v>6.3492063492063489</v>
      </c>
      <c r="L582" t="str">
        <f t="shared" si="48"/>
        <v>Funded</v>
      </c>
      <c r="M582">
        <f t="shared" si="49"/>
        <v>1.8483298207164491</v>
      </c>
    </row>
    <row r="583" spans="1:13" x14ac:dyDescent="0.25">
      <c r="A583" t="s">
        <v>1391</v>
      </c>
      <c r="B583" t="s">
        <v>47</v>
      </c>
      <c r="C583" t="s">
        <v>575</v>
      </c>
      <c r="D583" t="s">
        <v>835</v>
      </c>
      <c r="E583" t="s">
        <v>10</v>
      </c>
      <c r="F583" t="s">
        <v>11</v>
      </c>
      <c r="H583">
        <v>1</v>
      </c>
      <c r="I583">
        <f t="shared" si="45"/>
        <v>2</v>
      </c>
      <c r="J583" s="2">
        <f t="shared" si="46"/>
        <v>0.183</v>
      </c>
      <c r="K583">
        <f t="shared" si="47"/>
        <v>10.928961748633879</v>
      </c>
      <c r="L583" t="str">
        <f t="shared" si="48"/>
        <v>Funded</v>
      </c>
      <c r="M583">
        <f t="shared" si="49"/>
        <v>2.3914163067006613</v>
      </c>
    </row>
    <row r="584" spans="1:13" x14ac:dyDescent="0.25">
      <c r="A584" t="s">
        <v>1392</v>
      </c>
      <c r="B584" t="s">
        <v>47</v>
      </c>
      <c r="C584" t="s">
        <v>640</v>
      </c>
      <c r="D584" t="s">
        <v>1393</v>
      </c>
      <c r="E584" t="s">
        <v>20</v>
      </c>
      <c r="F584" t="s">
        <v>21</v>
      </c>
      <c r="H584">
        <v>1</v>
      </c>
      <c r="I584">
        <f t="shared" si="45"/>
        <v>2</v>
      </c>
      <c r="J584" s="2">
        <f t="shared" si="46"/>
        <v>0.71</v>
      </c>
      <c r="K584">
        <f t="shared" si="47"/>
        <v>2.8169014084507045</v>
      </c>
      <c r="L584" t="str">
        <f t="shared" si="48"/>
        <v>Funded</v>
      </c>
      <c r="M584">
        <f t="shared" si="49"/>
        <v>1.0356374895067213</v>
      </c>
    </row>
    <row r="585" spans="1:13" x14ac:dyDescent="0.25">
      <c r="A585" t="s">
        <v>1394</v>
      </c>
      <c r="B585" t="s">
        <v>47</v>
      </c>
      <c r="C585" t="s">
        <v>1395</v>
      </c>
      <c r="D585" t="s">
        <v>1396</v>
      </c>
      <c r="E585" t="s">
        <v>10</v>
      </c>
      <c r="F585" t="s">
        <v>11</v>
      </c>
      <c r="H585">
        <v>1</v>
      </c>
      <c r="I585">
        <f t="shared" si="45"/>
        <v>2</v>
      </c>
      <c r="J585" s="2">
        <f t="shared" si="46"/>
        <v>0.61499999999999999</v>
      </c>
      <c r="K585">
        <f t="shared" si="47"/>
        <v>3.2520325203252032</v>
      </c>
      <c r="L585" t="str">
        <f t="shared" si="48"/>
        <v>Funded</v>
      </c>
      <c r="M585">
        <f t="shared" si="49"/>
        <v>1.1792801917355644</v>
      </c>
    </row>
    <row r="586" spans="1:13" x14ac:dyDescent="0.25">
      <c r="A586" t="s">
        <v>1397</v>
      </c>
      <c r="B586" t="s">
        <v>47</v>
      </c>
      <c r="C586" t="s">
        <v>1314</v>
      </c>
      <c r="D586" t="s">
        <v>1398</v>
      </c>
      <c r="E586" t="s">
        <v>10</v>
      </c>
      <c r="F586" t="s">
        <v>11</v>
      </c>
      <c r="H586">
        <v>1</v>
      </c>
      <c r="I586">
        <f t="shared" si="45"/>
        <v>2</v>
      </c>
      <c r="J586" s="2">
        <f t="shared" si="46"/>
        <v>0.252</v>
      </c>
      <c r="K586">
        <f t="shared" si="47"/>
        <v>7.9365079365079367</v>
      </c>
      <c r="L586" t="str">
        <f t="shared" si="48"/>
        <v>Funded</v>
      </c>
      <c r="M586">
        <f t="shared" si="49"/>
        <v>2.0714733720306593</v>
      </c>
    </row>
    <row r="587" spans="1:13" x14ac:dyDescent="0.25">
      <c r="A587" t="s">
        <v>1399</v>
      </c>
      <c r="B587" t="s">
        <v>47</v>
      </c>
      <c r="C587" t="s">
        <v>1400</v>
      </c>
      <c r="D587" t="s">
        <v>15</v>
      </c>
      <c r="E587" t="s">
        <v>10</v>
      </c>
      <c r="F587" t="s">
        <v>11</v>
      </c>
      <c r="H587">
        <v>1</v>
      </c>
      <c r="I587">
        <f t="shared" si="45"/>
        <v>2</v>
      </c>
      <c r="J587" s="2">
        <f t="shared" si="46"/>
        <v>0.39200000000000002</v>
      </c>
      <c r="K587">
        <f t="shared" si="47"/>
        <v>5.1020408163265305</v>
      </c>
      <c r="L587" t="str">
        <f t="shared" si="48"/>
        <v>Funded</v>
      </c>
      <c r="M587">
        <f t="shared" si="49"/>
        <v>1.6296406197516198</v>
      </c>
    </row>
    <row r="588" spans="1:13" x14ac:dyDescent="0.25">
      <c r="A588" t="s">
        <v>1401</v>
      </c>
      <c r="B588" t="s">
        <v>47</v>
      </c>
      <c r="C588" t="s">
        <v>1402</v>
      </c>
      <c r="D588" t="s">
        <v>786</v>
      </c>
      <c r="E588" t="s">
        <v>10</v>
      </c>
      <c r="F588" t="s">
        <v>11</v>
      </c>
      <c r="H588">
        <v>1</v>
      </c>
      <c r="I588">
        <f t="shared" si="45"/>
        <v>2</v>
      </c>
      <c r="J588" s="2">
        <f t="shared" si="46"/>
        <v>0.371</v>
      </c>
      <c r="K588">
        <f t="shared" si="47"/>
        <v>5.3908355795148246</v>
      </c>
      <c r="L588" t="str">
        <f t="shared" si="48"/>
        <v>Funded</v>
      </c>
      <c r="M588">
        <f t="shared" si="49"/>
        <v>1.6847003969346472</v>
      </c>
    </row>
    <row r="589" spans="1:13" x14ac:dyDescent="0.25">
      <c r="A589" t="s">
        <v>1403</v>
      </c>
      <c r="B589" t="s">
        <v>47</v>
      </c>
      <c r="C589" t="s">
        <v>1404</v>
      </c>
      <c r="D589" t="s">
        <v>641</v>
      </c>
      <c r="E589" t="s">
        <v>62</v>
      </c>
      <c r="F589" t="s">
        <v>63</v>
      </c>
      <c r="H589">
        <v>1</v>
      </c>
      <c r="I589">
        <f t="shared" si="45"/>
        <v>2</v>
      </c>
      <c r="J589" s="2">
        <f t="shared" si="46"/>
        <v>0.46</v>
      </c>
      <c r="K589">
        <f t="shared" si="47"/>
        <v>4.3478260869565215</v>
      </c>
      <c r="L589" t="str">
        <f t="shared" si="48"/>
        <v>Funded</v>
      </c>
      <c r="M589">
        <f t="shared" si="49"/>
        <v>1.4696759700589417</v>
      </c>
    </row>
    <row r="590" spans="1:13" x14ac:dyDescent="0.25">
      <c r="A590" t="s">
        <v>1405</v>
      </c>
      <c r="B590" t="s">
        <v>47</v>
      </c>
      <c r="C590" t="s">
        <v>1406</v>
      </c>
      <c r="D590" t="s">
        <v>1183</v>
      </c>
      <c r="E590" t="s">
        <v>10</v>
      </c>
      <c r="F590" t="s">
        <v>11</v>
      </c>
      <c r="H590">
        <v>1</v>
      </c>
      <c r="I590">
        <f t="shared" si="45"/>
        <v>2</v>
      </c>
      <c r="J590" s="2">
        <f t="shared" si="46"/>
        <v>0.42199999999999999</v>
      </c>
      <c r="K590">
        <f t="shared" si="47"/>
        <v>4.7393364928909953</v>
      </c>
      <c r="L590" t="str">
        <f t="shared" si="48"/>
        <v>Funded</v>
      </c>
      <c r="M590">
        <f t="shared" si="49"/>
        <v>1.5558971455060706</v>
      </c>
    </row>
    <row r="591" spans="1:13" x14ac:dyDescent="0.25">
      <c r="A591" t="s">
        <v>1407</v>
      </c>
      <c r="B591" t="s">
        <v>47</v>
      </c>
      <c r="C591" t="s">
        <v>780</v>
      </c>
      <c r="D591" t="s">
        <v>137</v>
      </c>
      <c r="E591" t="s">
        <v>10</v>
      </c>
      <c r="F591" t="s">
        <v>11</v>
      </c>
      <c r="H591">
        <v>1</v>
      </c>
      <c r="I591">
        <f t="shared" si="45"/>
        <v>2</v>
      </c>
      <c r="J591" s="2">
        <f t="shared" si="46"/>
        <v>0.45</v>
      </c>
      <c r="K591">
        <f t="shared" si="47"/>
        <v>4.4444444444444446</v>
      </c>
      <c r="L591" t="str">
        <f t="shared" si="48"/>
        <v>Funded</v>
      </c>
      <c r="M591">
        <f t="shared" si="49"/>
        <v>1.4916548767777169</v>
      </c>
    </row>
    <row r="592" spans="1:13" x14ac:dyDescent="0.25">
      <c r="A592" t="s">
        <v>1408</v>
      </c>
      <c r="B592" t="s">
        <v>47</v>
      </c>
      <c r="C592" t="s">
        <v>1409</v>
      </c>
      <c r="D592" t="s">
        <v>177</v>
      </c>
      <c r="E592" t="s">
        <v>170</v>
      </c>
      <c r="F592" t="s">
        <v>50</v>
      </c>
      <c r="H592">
        <v>1</v>
      </c>
      <c r="I592">
        <f t="shared" si="45"/>
        <v>2</v>
      </c>
      <c r="J592" s="2">
        <f t="shared" si="46"/>
        <v>0.55000000000000004</v>
      </c>
      <c r="K592">
        <f t="shared" si="47"/>
        <v>3.6363636363636362</v>
      </c>
      <c r="L592" t="str">
        <f t="shared" si="48"/>
        <v>Funded</v>
      </c>
      <c r="M592">
        <f t="shared" si="49"/>
        <v>1.2909841813155658</v>
      </c>
    </row>
    <row r="593" spans="1:13" x14ac:dyDescent="0.25">
      <c r="A593" t="s">
        <v>1410</v>
      </c>
      <c r="B593" t="s">
        <v>47</v>
      </c>
      <c r="C593" t="s">
        <v>1411</v>
      </c>
      <c r="D593" t="s">
        <v>1412</v>
      </c>
      <c r="E593" t="s">
        <v>10</v>
      </c>
      <c r="F593" t="s">
        <v>11</v>
      </c>
      <c r="H593">
        <v>1</v>
      </c>
      <c r="I593">
        <f t="shared" si="45"/>
        <v>2</v>
      </c>
      <c r="J593" s="2">
        <f t="shared" si="46"/>
        <v>0.90500000000000003</v>
      </c>
      <c r="K593">
        <f t="shared" si="47"/>
        <v>2.2099447513812156</v>
      </c>
      <c r="L593" t="str">
        <f t="shared" si="48"/>
        <v>Funded</v>
      </c>
      <c r="M593">
        <f t="shared" si="49"/>
        <v>0.7929675158421563</v>
      </c>
    </row>
    <row r="594" spans="1:13" x14ac:dyDescent="0.25">
      <c r="A594" t="s">
        <v>1413</v>
      </c>
      <c r="B594" t="s">
        <v>47</v>
      </c>
      <c r="C594" t="s">
        <v>1414</v>
      </c>
      <c r="D594" t="s">
        <v>225</v>
      </c>
      <c r="E594" t="s">
        <v>10</v>
      </c>
      <c r="F594" t="s">
        <v>11</v>
      </c>
      <c r="H594">
        <v>1</v>
      </c>
      <c r="I594">
        <f t="shared" si="45"/>
        <v>2</v>
      </c>
      <c r="J594" s="2">
        <f t="shared" si="46"/>
        <v>0.152</v>
      </c>
      <c r="K594">
        <f t="shared" si="47"/>
        <v>13.157894736842106</v>
      </c>
      <c r="L594" t="str">
        <f t="shared" si="48"/>
        <v>Funded</v>
      </c>
      <c r="M594">
        <f t="shared" si="49"/>
        <v>2.5770219386958062</v>
      </c>
    </row>
    <row r="595" spans="1:13" x14ac:dyDescent="0.25">
      <c r="A595" t="s">
        <v>1415</v>
      </c>
      <c r="B595" t="s">
        <v>47</v>
      </c>
      <c r="C595" t="s">
        <v>654</v>
      </c>
      <c r="D595" t="s">
        <v>1416</v>
      </c>
      <c r="E595" t="s">
        <v>10</v>
      </c>
      <c r="F595" t="s">
        <v>11</v>
      </c>
      <c r="H595">
        <v>1</v>
      </c>
      <c r="I595">
        <f t="shared" si="45"/>
        <v>2</v>
      </c>
      <c r="J595" s="2">
        <f t="shared" si="46"/>
        <v>0.74</v>
      </c>
      <c r="K595">
        <f t="shared" si="47"/>
        <v>2.7027027027027026</v>
      </c>
      <c r="L595" t="str">
        <f t="shared" si="48"/>
        <v>Funded</v>
      </c>
      <c r="M595">
        <f t="shared" si="49"/>
        <v>0.9942522733438669</v>
      </c>
    </row>
    <row r="596" spans="1:13" x14ac:dyDescent="0.25">
      <c r="A596" t="s">
        <v>1417</v>
      </c>
      <c r="B596" t="s">
        <v>47</v>
      </c>
      <c r="C596" t="s">
        <v>1418</v>
      </c>
      <c r="D596" t="s">
        <v>383</v>
      </c>
      <c r="E596" t="s">
        <v>294</v>
      </c>
      <c r="F596" t="s">
        <v>21</v>
      </c>
      <c r="H596">
        <v>1</v>
      </c>
      <c r="I596">
        <f t="shared" si="45"/>
        <v>2</v>
      </c>
      <c r="J596" s="2">
        <f t="shared" si="46"/>
        <v>0.85799999999999998</v>
      </c>
      <c r="K596">
        <f t="shared" si="47"/>
        <v>2.3310023310023311</v>
      </c>
      <c r="L596" t="str">
        <f t="shared" si="48"/>
        <v>Funded</v>
      </c>
      <c r="M596">
        <f t="shared" si="49"/>
        <v>0.84629836005412018</v>
      </c>
    </row>
    <row r="597" spans="1:13" x14ac:dyDescent="0.25">
      <c r="A597" t="s">
        <v>1419</v>
      </c>
      <c r="B597" t="s">
        <v>47</v>
      </c>
      <c r="C597" t="s">
        <v>1420</v>
      </c>
      <c r="D597" t="s">
        <v>1421</v>
      </c>
      <c r="E597" t="s">
        <v>787</v>
      </c>
      <c r="F597" t="s">
        <v>50</v>
      </c>
      <c r="H597">
        <v>1</v>
      </c>
      <c r="I597">
        <f t="shared" si="45"/>
        <v>2</v>
      </c>
      <c r="J597" s="2">
        <f t="shared" si="46"/>
        <v>2.1000000000000001E-2</v>
      </c>
      <c r="K597">
        <f t="shared" si="47"/>
        <v>95.238095238095227</v>
      </c>
      <c r="L597" t="str">
        <f t="shared" si="48"/>
        <v>Funded</v>
      </c>
      <c r="M597">
        <f t="shared" si="49"/>
        <v>4.5563800218186596</v>
      </c>
    </row>
    <row r="598" spans="1:13" x14ac:dyDescent="0.25">
      <c r="A598" t="s">
        <v>1422</v>
      </c>
      <c r="B598" t="s">
        <v>47</v>
      </c>
      <c r="C598" t="s">
        <v>1423</v>
      </c>
      <c r="D598" t="s">
        <v>1424</v>
      </c>
      <c r="E598" t="s">
        <v>10</v>
      </c>
      <c r="F598" t="s">
        <v>11</v>
      </c>
      <c r="H598">
        <v>1</v>
      </c>
      <c r="I598">
        <f t="shared" si="45"/>
        <v>2</v>
      </c>
      <c r="J598" s="2">
        <f t="shared" si="46"/>
        <v>0.70799999999999996</v>
      </c>
      <c r="K598">
        <f t="shared" si="47"/>
        <v>2.8248587570621471</v>
      </c>
      <c r="L598" t="str">
        <f t="shared" si="48"/>
        <v>Funded</v>
      </c>
      <c r="M598">
        <f t="shared" si="49"/>
        <v>1.0384583658483626</v>
      </c>
    </row>
    <row r="599" spans="1:13" x14ac:dyDescent="0.25">
      <c r="A599" t="s">
        <v>1425</v>
      </c>
      <c r="B599" t="s">
        <v>47</v>
      </c>
      <c r="C599" t="s">
        <v>1426</v>
      </c>
      <c r="E599" t="s">
        <v>20</v>
      </c>
      <c r="F599" t="s">
        <v>21</v>
      </c>
      <c r="H599">
        <v>1</v>
      </c>
      <c r="I599">
        <f t="shared" si="45"/>
        <v>2</v>
      </c>
      <c r="J599" s="2">
        <f t="shared" si="46"/>
        <v>0.72899999999999998</v>
      </c>
      <c r="K599">
        <f t="shared" si="47"/>
        <v>2.7434842249657065</v>
      </c>
      <c r="L599" t="str">
        <f t="shared" si="48"/>
        <v>Funded</v>
      </c>
      <c r="M599">
        <f t="shared" si="49"/>
        <v>1.0092287275334242</v>
      </c>
    </row>
    <row r="600" spans="1:13" x14ac:dyDescent="0.25">
      <c r="A600" t="s">
        <v>1427</v>
      </c>
      <c r="B600" t="s">
        <v>47</v>
      </c>
      <c r="C600" t="s">
        <v>1428</v>
      </c>
      <c r="D600" t="s">
        <v>1429</v>
      </c>
      <c r="E600" t="s">
        <v>10</v>
      </c>
      <c r="F600" t="s">
        <v>11</v>
      </c>
      <c r="H600">
        <v>1</v>
      </c>
      <c r="I600">
        <f t="shared" si="45"/>
        <v>2</v>
      </c>
      <c r="J600" s="2">
        <f t="shared" si="46"/>
        <v>0.311</v>
      </c>
      <c r="K600">
        <f t="shared" si="47"/>
        <v>6.430868167202572</v>
      </c>
      <c r="L600" t="str">
        <f t="shared" si="48"/>
        <v>Funded</v>
      </c>
      <c r="M600">
        <f t="shared" si="49"/>
        <v>1.8611095473628483</v>
      </c>
    </row>
    <row r="601" spans="1:13" x14ac:dyDescent="0.25">
      <c r="A601" t="s">
        <v>1430</v>
      </c>
      <c r="B601" t="s">
        <v>47</v>
      </c>
      <c r="C601" t="s">
        <v>1431</v>
      </c>
      <c r="D601" t="s">
        <v>148</v>
      </c>
      <c r="E601" t="s">
        <v>554</v>
      </c>
      <c r="F601" t="s">
        <v>526</v>
      </c>
      <c r="H601">
        <v>1</v>
      </c>
      <c r="I601">
        <f t="shared" si="45"/>
        <v>2</v>
      </c>
      <c r="J601" s="2">
        <f t="shared" si="46"/>
        <v>0.34499999999999997</v>
      </c>
      <c r="K601">
        <f t="shared" si="47"/>
        <v>5.7971014492753632</v>
      </c>
      <c r="L601" t="str">
        <f t="shared" si="48"/>
        <v>Funded</v>
      </c>
      <c r="M601">
        <f t="shared" si="49"/>
        <v>1.7573580425107227</v>
      </c>
    </row>
    <row r="602" spans="1:13" x14ac:dyDescent="0.25">
      <c r="A602" t="s">
        <v>1432</v>
      </c>
      <c r="B602" t="s">
        <v>47</v>
      </c>
      <c r="C602" t="s">
        <v>1433</v>
      </c>
      <c r="D602" t="s">
        <v>1434</v>
      </c>
      <c r="E602" t="s">
        <v>20</v>
      </c>
      <c r="F602" t="s">
        <v>21</v>
      </c>
      <c r="H602">
        <v>1</v>
      </c>
      <c r="I602">
        <f t="shared" si="45"/>
        <v>2</v>
      </c>
      <c r="J602" s="2">
        <f t="shared" si="46"/>
        <v>0.53</v>
      </c>
      <c r="K602">
        <f t="shared" si="47"/>
        <v>3.773584905660377</v>
      </c>
      <c r="L602" t="str">
        <f t="shared" si="48"/>
        <v>Funded</v>
      </c>
      <c r="M602">
        <f t="shared" si="49"/>
        <v>1.3280254529959148</v>
      </c>
    </row>
    <row r="603" spans="1:13" x14ac:dyDescent="0.25">
      <c r="A603" t="s">
        <v>1435</v>
      </c>
      <c r="B603" t="s">
        <v>47</v>
      </c>
      <c r="C603" t="s">
        <v>1436</v>
      </c>
      <c r="D603" t="s">
        <v>1437</v>
      </c>
      <c r="E603" t="s">
        <v>1438</v>
      </c>
      <c r="F603" t="s">
        <v>50</v>
      </c>
      <c r="H603">
        <v>1</v>
      </c>
      <c r="I603">
        <f t="shared" si="45"/>
        <v>2</v>
      </c>
      <c r="J603" s="2">
        <f t="shared" si="46"/>
        <v>0.876</v>
      </c>
      <c r="K603">
        <f t="shared" si="47"/>
        <v>2.2831050228310503</v>
      </c>
      <c r="L603" t="str">
        <f t="shared" si="48"/>
        <v>Funded</v>
      </c>
      <c r="M603">
        <f t="shared" si="49"/>
        <v>0.82553636860569102</v>
      </c>
    </row>
    <row r="604" spans="1:13" x14ac:dyDescent="0.25">
      <c r="A604" t="s">
        <v>1439</v>
      </c>
      <c r="B604" t="s">
        <v>47</v>
      </c>
      <c r="C604" t="s">
        <v>1440</v>
      </c>
      <c r="D604" t="s">
        <v>454</v>
      </c>
      <c r="E604" t="s">
        <v>294</v>
      </c>
      <c r="F604" t="s">
        <v>21</v>
      </c>
      <c r="H604">
        <v>1</v>
      </c>
      <c r="I604">
        <f t="shared" si="45"/>
        <v>2</v>
      </c>
      <c r="J604" s="2">
        <f t="shared" si="46"/>
        <v>0.22</v>
      </c>
      <c r="K604">
        <f t="shared" si="47"/>
        <v>9.0909090909090917</v>
      </c>
      <c r="L604" t="str">
        <f t="shared" si="48"/>
        <v>Funded</v>
      </c>
      <c r="M604">
        <f t="shared" si="49"/>
        <v>2.2072749131897211</v>
      </c>
    </row>
    <row r="605" spans="1:13" x14ac:dyDescent="0.25">
      <c r="A605" t="s">
        <v>1441</v>
      </c>
      <c r="B605" t="s">
        <v>47</v>
      </c>
      <c r="C605" t="s">
        <v>1442</v>
      </c>
      <c r="D605" t="s">
        <v>1443</v>
      </c>
      <c r="E605" t="s">
        <v>1035</v>
      </c>
      <c r="F605" t="s">
        <v>21</v>
      </c>
      <c r="H605">
        <v>1</v>
      </c>
      <c r="I605">
        <f t="shared" si="45"/>
        <v>2</v>
      </c>
      <c r="J605" s="2">
        <f t="shared" si="46"/>
        <v>0.64</v>
      </c>
      <c r="K605">
        <f t="shared" si="47"/>
        <v>3.125</v>
      </c>
      <c r="L605" t="str">
        <f t="shared" si="48"/>
        <v>Funded</v>
      </c>
      <c r="M605">
        <f t="shared" si="49"/>
        <v>1.1394342831883648</v>
      </c>
    </row>
    <row r="606" spans="1:13" x14ac:dyDescent="0.25">
      <c r="A606" t="s">
        <v>1444</v>
      </c>
      <c r="B606" t="s">
        <v>47</v>
      </c>
      <c r="C606" t="s">
        <v>785</v>
      </c>
      <c r="D606" t="s">
        <v>1329</v>
      </c>
      <c r="E606" t="s">
        <v>554</v>
      </c>
      <c r="F606" t="s">
        <v>526</v>
      </c>
      <c r="H606">
        <v>1</v>
      </c>
      <c r="I606">
        <f t="shared" si="45"/>
        <v>2</v>
      </c>
      <c r="J606" s="2">
        <f t="shared" si="46"/>
        <v>0.25</v>
      </c>
      <c r="K606">
        <f t="shared" si="47"/>
        <v>8</v>
      </c>
      <c r="L606" t="str">
        <f t="shared" si="48"/>
        <v>Funded</v>
      </c>
      <c r="M606">
        <f t="shared" si="49"/>
        <v>2.0794415416798357</v>
      </c>
    </row>
    <row r="607" spans="1:13" x14ac:dyDescent="0.25">
      <c r="A607" t="s">
        <v>1445</v>
      </c>
      <c r="B607" t="s">
        <v>47</v>
      </c>
      <c r="C607" t="s">
        <v>1446</v>
      </c>
      <c r="D607" t="s">
        <v>1042</v>
      </c>
      <c r="E607" t="s">
        <v>10</v>
      </c>
      <c r="F607" t="s">
        <v>11</v>
      </c>
      <c r="H607">
        <v>1</v>
      </c>
      <c r="I607">
        <f t="shared" si="45"/>
        <v>2</v>
      </c>
      <c r="J607" s="2">
        <f t="shared" si="46"/>
        <v>0.436</v>
      </c>
      <c r="K607">
        <f t="shared" si="47"/>
        <v>4.5871559633027523</v>
      </c>
      <c r="L607" t="str">
        <f t="shared" si="48"/>
        <v>Funded</v>
      </c>
      <c r="M607">
        <f t="shared" si="49"/>
        <v>1.523260216193048</v>
      </c>
    </row>
    <row r="608" spans="1:13" x14ac:dyDescent="0.25">
      <c r="A608" t="s">
        <v>1447</v>
      </c>
      <c r="B608" t="s">
        <v>47</v>
      </c>
      <c r="C608" t="s">
        <v>1055</v>
      </c>
      <c r="D608" t="s">
        <v>576</v>
      </c>
      <c r="E608" t="s">
        <v>10</v>
      </c>
      <c r="F608" t="s">
        <v>11</v>
      </c>
      <c r="H608">
        <v>1</v>
      </c>
      <c r="I608">
        <f t="shared" si="45"/>
        <v>2</v>
      </c>
      <c r="J608" s="2">
        <f t="shared" si="46"/>
        <v>0.26800000000000002</v>
      </c>
      <c r="K608">
        <f t="shared" si="47"/>
        <v>7.4626865671641784</v>
      </c>
      <c r="L608" t="str">
        <f t="shared" si="48"/>
        <v>Funded</v>
      </c>
      <c r="M608">
        <f t="shared" si="49"/>
        <v>2.0099154790312257</v>
      </c>
    </row>
    <row r="609" spans="1:13" x14ac:dyDescent="0.25">
      <c r="A609" t="s">
        <v>1448</v>
      </c>
      <c r="B609" t="s">
        <v>47</v>
      </c>
      <c r="C609" t="s">
        <v>1449</v>
      </c>
      <c r="D609" t="s">
        <v>424</v>
      </c>
      <c r="E609" t="s">
        <v>170</v>
      </c>
      <c r="F609" t="s">
        <v>50</v>
      </c>
      <c r="H609">
        <v>1</v>
      </c>
      <c r="I609">
        <f t="shared" si="45"/>
        <v>2</v>
      </c>
      <c r="J609" s="2">
        <f t="shared" si="46"/>
        <v>0.59299999999999997</v>
      </c>
      <c r="K609">
        <f t="shared" si="47"/>
        <v>3.3726812816188874</v>
      </c>
      <c r="L609" t="str">
        <f t="shared" si="48"/>
        <v>Funded</v>
      </c>
      <c r="M609">
        <f t="shared" si="49"/>
        <v>1.2157080605443571</v>
      </c>
    </row>
    <row r="610" spans="1:13" x14ac:dyDescent="0.25">
      <c r="A610" t="s">
        <v>1450</v>
      </c>
      <c r="B610" t="s">
        <v>47</v>
      </c>
      <c r="C610" t="s">
        <v>1276</v>
      </c>
      <c r="D610" t="s">
        <v>1451</v>
      </c>
      <c r="E610" t="s">
        <v>10</v>
      </c>
      <c r="F610" t="s">
        <v>11</v>
      </c>
      <c r="H610">
        <v>1</v>
      </c>
      <c r="I610">
        <f t="shared" si="45"/>
        <v>2</v>
      </c>
      <c r="J610" s="2">
        <f t="shared" si="46"/>
        <v>0.27700000000000002</v>
      </c>
      <c r="K610">
        <f t="shared" si="47"/>
        <v>7.2202166064981945</v>
      </c>
      <c r="L610" t="str">
        <f t="shared" si="48"/>
        <v>Funded</v>
      </c>
      <c r="M610">
        <f t="shared" si="49"/>
        <v>1.9768849533547439</v>
      </c>
    </row>
    <row r="611" spans="1:13" x14ac:dyDescent="0.25">
      <c r="A611" t="s">
        <v>1452</v>
      </c>
      <c r="B611" t="s">
        <v>47</v>
      </c>
      <c r="C611" t="s">
        <v>1453</v>
      </c>
      <c r="D611" t="s">
        <v>1454</v>
      </c>
      <c r="E611" t="s">
        <v>10</v>
      </c>
      <c r="F611" t="s">
        <v>11</v>
      </c>
      <c r="H611">
        <v>1</v>
      </c>
      <c r="I611">
        <f t="shared" si="45"/>
        <v>2</v>
      </c>
      <c r="J611" s="2">
        <f t="shared" si="46"/>
        <v>0.50700000000000001</v>
      </c>
      <c r="K611">
        <f t="shared" si="47"/>
        <v>3.9447731755424065</v>
      </c>
      <c r="L611" t="str">
        <f t="shared" si="48"/>
        <v>Funded</v>
      </c>
      <c r="M611">
        <f t="shared" si="49"/>
        <v>1.3723914559508992</v>
      </c>
    </row>
    <row r="612" spans="1:13" x14ac:dyDescent="0.25">
      <c r="A612" t="s">
        <v>1455</v>
      </c>
      <c r="B612" t="s">
        <v>47</v>
      </c>
      <c r="C612" t="s">
        <v>1456</v>
      </c>
      <c r="D612" t="s">
        <v>254</v>
      </c>
      <c r="E612" t="s">
        <v>10</v>
      </c>
      <c r="F612" t="s">
        <v>11</v>
      </c>
      <c r="H612">
        <v>1</v>
      </c>
      <c r="I612">
        <f t="shared" si="45"/>
        <v>2</v>
      </c>
      <c r="J612" s="2">
        <f t="shared" si="46"/>
        <v>0.39700000000000002</v>
      </c>
      <c r="K612">
        <f t="shared" si="47"/>
        <v>5.0377833753148611</v>
      </c>
      <c r="L612" t="str">
        <f t="shared" si="48"/>
        <v>Funded</v>
      </c>
      <c r="M612">
        <f t="shared" si="49"/>
        <v>1.6169661788548919</v>
      </c>
    </row>
    <row r="613" spans="1:13" x14ac:dyDescent="0.25">
      <c r="A613" t="s">
        <v>1457</v>
      </c>
      <c r="B613" t="s">
        <v>47</v>
      </c>
      <c r="C613" t="s">
        <v>1458</v>
      </c>
      <c r="D613" t="s">
        <v>1102</v>
      </c>
      <c r="E613" t="s">
        <v>10</v>
      </c>
      <c r="F613" t="s">
        <v>11</v>
      </c>
      <c r="H613">
        <v>1</v>
      </c>
      <c r="I613">
        <f t="shared" si="45"/>
        <v>2</v>
      </c>
      <c r="J613" s="2">
        <f t="shared" si="46"/>
        <v>0.221</v>
      </c>
      <c r="K613">
        <f t="shared" si="47"/>
        <v>9.0497737556561084</v>
      </c>
      <c r="L613" t="str">
        <f t="shared" si="48"/>
        <v>Funded</v>
      </c>
      <c r="M613">
        <f t="shared" si="49"/>
        <v>2.2027397580243293</v>
      </c>
    </row>
    <row r="614" spans="1:13" x14ac:dyDescent="0.25">
      <c r="A614" t="s">
        <v>1459</v>
      </c>
      <c r="B614" t="s">
        <v>47</v>
      </c>
      <c r="C614" t="s">
        <v>1460</v>
      </c>
      <c r="D614" t="s">
        <v>15</v>
      </c>
      <c r="E614" t="s">
        <v>10</v>
      </c>
      <c r="F614" t="s">
        <v>11</v>
      </c>
      <c r="H614">
        <v>1</v>
      </c>
      <c r="I614">
        <f t="shared" si="45"/>
        <v>2</v>
      </c>
      <c r="J614" s="2">
        <f t="shared" si="46"/>
        <v>7.0000000000000007E-2</v>
      </c>
      <c r="K614">
        <f t="shared" si="47"/>
        <v>28.571428571428569</v>
      </c>
      <c r="L614" t="str">
        <f t="shared" si="48"/>
        <v>Funded</v>
      </c>
      <c r="M614">
        <f t="shared" si="49"/>
        <v>3.3524072174927233</v>
      </c>
    </row>
    <row r="615" spans="1:13" x14ac:dyDescent="0.25">
      <c r="A615" t="s">
        <v>1461</v>
      </c>
      <c r="B615" t="s">
        <v>47</v>
      </c>
      <c r="C615" t="s">
        <v>1088</v>
      </c>
      <c r="D615" t="s">
        <v>1462</v>
      </c>
      <c r="E615" t="s">
        <v>20</v>
      </c>
      <c r="F615" t="s">
        <v>21</v>
      </c>
      <c r="H615">
        <v>1</v>
      </c>
      <c r="I615">
        <f t="shared" si="45"/>
        <v>2</v>
      </c>
      <c r="J615" s="2">
        <f t="shared" si="46"/>
        <v>0.26</v>
      </c>
      <c r="K615">
        <f t="shared" si="47"/>
        <v>7.6923076923076916</v>
      </c>
      <c r="L615" t="str">
        <f t="shared" si="48"/>
        <v>Funded</v>
      </c>
      <c r="M615">
        <f t="shared" si="49"/>
        <v>2.0402208285265546</v>
      </c>
    </row>
    <row r="616" spans="1:13" x14ac:dyDescent="0.25">
      <c r="A616" t="s">
        <v>1463</v>
      </c>
      <c r="B616" t="s">
        <v>47</v>
      </c>
      <c r="C616" t="s">
        <v>47</v>
      </c>
      <c r="E616" t="s">
        <v>20</v>
      </c>
      <c r="F616" t="s">
        <v>21</v>
      </c>
      <c r="H616">
        <v>1</v>
      </c>
      <c r="I616">
        <f t="shared" si="45"/>
        <v>2</v>
      </c>
      <c r="J616" s="2">
        <f t="shared" si="46"/>
        <v>2</v>
      </c>
      <c r="K616">
        <f t="shared" si="47"/>
        <v>1</v>
      </c>
      <c r="L616" t="str">
        <f t="shared" si="48"/>
        <v>Funded</v>
      </c>
      <c r="M616">
        <f t="shared" si="49"/>
        <v>0</v>
      </c>
    </row>
    <row r="617" spans="1:13" x14ac:dyDescent="0.25">
      <c r="A617" t="s">
        <v>1464</v>
      </c>
      <c r="B617" t="s">
        <v>47</v>
      </c>
      <c r="C617" t="s">
        <v>1242</v>
      </c>
      <c r="D617" t="s">
        <v>1465</v>
      </c>
      <c r="E617" t="s">
        <v>20</v>
      </c>
      <c r="F617" t="s">
        <v>21</v>
      </c>
      <c r="H617">
        <v>1</v>
      </c>
      <c r="I617">
        <f t="shared" si="45"/>
        <v>2</v>
      </c>
      <c r="J617" s="2">
        <f t="shared" si="46"/>
        <v>0.26400000000000001</v>
      </c>
      <c r="K617">
        <f t="shared" si="47"/>
        <v>7.5757575757575752</v>
      </c>
      <c r="L617" t="str">
        <f t="shared" si="48"/>
        <v>Funded</v>
      </c>
      <c r="M617">
        <f t="shared" si="49"/>
        <v>2.0249533563957662</v>
      </c>
    </row>
    <row r="618" spans="1:13" x14ac:dyDescent="0.25">
      <c r="A618" t="s">
        <v>1466</v>
      </c>
      <c r="B618" t="s">
        <v>47</v>
      </c>
      <c r="C618" t="s">
        <v>125</v>
      </c>
      <c r="D618" t="s">
        <v>1467</v>
      </c>
      <c r="E618" t="s">
        <v>20</v>
      </c>
      <c r="F618" t="s">
        <v>21</v>
      </c>
      <c r="H618">
        <v>1</v>
      </c>
      <c r="I618">
        <f t="shared" si="45"/>
        <v>2</v>
      </c>
      <c r="J618" s="2">
        <f t="shared" si="46"/>
        <v>1</v>
      </c>
      <c r="K618">
        <f t="shared" si="47"/>
        <v>2</v>
      </c>
      <c r="L618" t="str">
        <f t="shared" si="48"/>
        <v>Funded</v>
      </c>
      <c r="M618">
        <f t="shared" si="49"/>
        <v>0.69314718055994529</v>
      </c>
    </row>
    <row r="619" spans="1:13" x14ac:dyDescent="0.25">
      <c r="A619" t="s">
        <v>1468</v>
      </c>
      <c r="B619" t="s">
        <v>47</v>
      </c>
      <c r="C619" t="s">
        <v>1469</v>
      </c>
      <c r="D619" t="s">
        <v>1470</v>
      </c>
      <c r="E619" t="s">
        <v>10</v>
      </c>
      <c r="F619" t="s">
        <v>11</v>
      </c>
      <c r="H619">
        <v>1</v>
      </c>
      <c r="I619">
        <f t="shared" si="45"/>
        <v>2</v>
      </c>
      <c r="J619" s="2">
        <f t="shared" si="46"/>
        <v>0.34399999999999997</v>
      </c>
      <c r="K619">
        <f t="shared" si="47"/>
        <v>5.8139534883720936</v>
      </c>
      <c r="L619" t="str">
        <f t="shared" si="48"/>
        <v>Funded</v>
      </c>
      <c r="M619">
        <f t="shared" si="49"/>
        <v>1.7602608021686841</v>
      </c>
    </row>
    <row r="620" spans="1:13" x14ac:dyDescent="0.25">
      <c r="A620" t="s">
        <v>1471</v>
      </c>
      <c r="B620" t="s">
        <v>47</v>
      </c>
      <c r="C620" t="s">
        <v>47</v>
      </c>
      <c r="D620" t="s">
        <v>1472</v>
      </c>
      <c r="E620" t="s">
        <v>20</v>
      </c>
      <c r="F620" t="s">
        <v>21</v>
      </c>
      <c r="H620">
        <v>1</v>
      </c>
      <c r="I620">
        <f t="shared" si="45"/>
        <v>2</v>
      </c>
      <c r="J620" s="2">
        <f t="shared" si="46"/>
        <v>2</v>
      </c>
      <c r="K620">
        <f t="shared" si="47"/>
        <v>1</v>
      </c>
      <c r="L620" t="str">
        <f t="shared" si="48"/>
        <v>Funded</v>
      </c>
      <c r="M620">
        <f t="shared" si="49"/>
        <v>0</v>
      </c>
    </row>
    <row r="621" spans="1:13" x14ac:dyDescent="0.25">
      <c r="A621" t="s">
        <v>1473</v>
      </c>
      <c r="B621" t="s">
        <v>47</v>
      </c>
      <c r="C621" t="s">
        <v>1027</v>
      </c>
      <c r="D621" t="s">
        <v>177</v>
      </c>
      <c r="E621" t="s">
        <v>187</v>
      </c>
      <c r="F621" t="s">
        <v>50</v>
      </c>
      <c r="H621">
        <v>1</v>
      </c>
      <c r="I621">
        <f t="shared" si="45"/>
        <v>2</v>
      </c>
      <c r="J621" s="2">
        <f t="shared" si="46"/>
        <v>0.496</v>
      </c>
      <c r="K621">
        <f t="shared" si="47"/>
        <v>4.032258064516129</v>
      </c>
      <c r="L621" t="str">
        <f t="shared" si="48"/>
        <v>Funded</v>
      </c>
      <c r="M621">
        <f t="shared" si="49"/>
        <v>1.3943265328171548</v>
      </c>
    </row>
    <row r="622" spans="1:13" x14ac:dyDescent="0.25">
      <c r="A622" t="s">
        <v>1474</v>
      </c>
      <c r="B622" t="s">
        <v>47</v>
      </c>
      <c r="C622" t="s">
        <v>1475</v>
      </c>
      <c r="D622" t="s">
        <v>1476</v>
      </c>
      <c r="E622" t="s">
        <v>20</v>
      </c>
      <c r="F622" t="s">
        <v>21</v>
      </c>
      <c r="H622">
        <v>1</v>
      </c>
      <c r="I622">
        <f t="shared" si="45"/>
        <v>2</v>
      </c>
      <c r="J622" s="2">
        <f t="shared" si="46"/>
        <v>0.58899999999999997</v>
      </c>
      <c r="K622">
        <f t="shared" si="47"/>
        <v>3.3955857385398982</v>
      </c>
      <c r="L622" t="str">
        <f t="shared" si="48"/>
        <v>Funded</v>
      </c>
      <c r="M622">
        <f t="shared" si="49"/>
        <v>1.2224762758904957</v>
      </c>
    </row>
    <row r="623" spans="1:13" x14ac:dyDescent="0.25">
      <c r="A623" t="s">
        <v>1477</v>
      </c>
      <c r="B623" t="s">
        <v>47</v>
      </c>
      <c r="C623" t="s">
        <v>1478</v>
      </c>
      <c r="D623" t="s">
        <v>1479</v>
      </c>
      <c r="E623" t="s">
        <v>10</v>
      </c>
      <c r="F623" t="s">
        <v>11</v>
      </c>
      <c r="H623">
        <v>1</v>
      </c>
      <c r="I623">
        <f t="shared" si="45"/>
        <v>2</v>
      </c>
      <c r="J623" s="2">
        <f t="shared" si="46"/>
        <v>0.316</v>
      </c>
      <c r="K623">
        <f t="shared" si="47"/>
        <v>6.3291139240506329</v>
      </c>
      <c r="L623" t="str">
        <f t="shared" si="48"/>
        <v>Funded</v>
      </c>
      <c r="M623">
        <f t="shared" si="49"/>
        <v>1.8451602459551701</v>
      </c>
    </row>
    <row r="624" spans="1:13" x14ac:dyDescent="0.25">
      <c r="A624" t="s">
        <v>1480</v>
      </c>
      <c r="B624" t="s">
        <v>47</v>
      </c>
      <c r="C624" t="s">
        <v>1481</v>
      </c>
      <c r="D624" t="s">
        <v>1482</v>
      </c>
      <c r="E624" t="s">
        <v>187</v>
      </c>
      <c r="F624" t="s">
        <v>50</v>
      </c>
      <c r="H624">
        <v>1</v>
      </c>
      <c r="I624">
        <f t="shared" si="45"/>
        <v>2</v>
      </c>
      <c r="J624" s="2">
        <f t="shared" si="46"/>
        <v>0.51700000000000002</v>
      </c>
      <c r="K624">
        <f t="shared" si="47"/>
        <v>3.8684719535783363</v>
      </c>
      <c r="L624" t="str">
        <f t="shared" si="48"/>
        <v>Funded</v>
      </c>
      <c r="M624">
        <f t="shared" si="49"/>
        <v>1.3528595850336531</v>
      </c>
    </row>
    <row r="625" spans="1:13" x14ac:dyDescent="0.25">
      <c r="A625" t="s">
        <v>1483</v>
      </c>
      <c r="B625" t="s">
        <v>47</v>
      </c>
      <c r="C625" t="s">
        <v>1484</v>
      </c>
      <c r="D625" t="s">
        <v>1485</v>
      </c>
      <c r="E625" t="s">
        <v>294</v>
      </c>
      <c r="F625" t="s">
        <v>21</v>
      </c>
      <c r="H625">
        <v>1</v>
      </c>
      <c r="I625">
        <f t="shared" si="45"/>
        <v>2</v>
      </c>
      <c r="J625" s="2">
        <f t="shared" si="46"/>
        <v>0.28199999999999997</v>
      </c>
      <c r="K625">
        <f t="shared" si="47"/>
        <v>7.0921985815602842</v>
      </c>
      <c r="L625" t="str">
        <f t="shared" si="48"/>
        <v>Funded</v>
      </c>
      <c r="M625">
        <f t="shared" si="49"/>
        <v>1.9589953886039688</v>
      </c>
    </row>
    <row r="626" spans="1:13" x14ac:dyDescent="0.25">
      <c r="A626" t="s">
        <v>1486</v>
      </c>
      <c r="B626" t="s">
        <v>47</v>
      </c>
      <c r="C626" t="s">
        <v>224</v>
      </c>
      <c r="D626" t="s">
        <v>1487</v>
      </c>
      <c r="E626" t="s">
        <v>1488</v>
      </c>
      <c r="F626" t="s">
        <v>21</v>
      </c>
      <c r="H626">
        <v>1</v>
      </c>
      <c r="I626">
        <f t="shared" si="45"/>
        <v>2</v>
      </c>
      <c r="J626" s="2">
        <f t="shared" si="46"/>
        <v>0.78100000000000003</v>
      </c>
      <c r="K626">
        <f t="shared" si="47"/>
        <v>2.5608194622279128</v>
      </c>
      <c r="L626" t="str">
        <f t="shared" si="48"/>
        <v>Funded</v>
      </c>
      <c r="M626">
        <f t="shared" si="49"/>
        <v>0.94032730970239631</v>
      </c>
    </row>
    <row r="627" spans="1:13" x14ac:dyDescent="0.25">
      <c r="A627" t="s">
        <v>1489</v>
      </c>
      <c r="B627" t="s">
        <v>47</v>
      </c>
      <c r="C627" t="s">
        <v>498</v>
      </c>
      <c r="D627" t="s">
        <v>1490</v>
      </c>
      <c r="E627" t="s">
        <v>210</v>
      </c>
      <c r="F627" t="s">
        <v>50</v>
      </c>
      <c r="H627">
        <v>1</v>
      </c>
      <c r="I627">
        <f t="shared" si="45"/>
        <v>2</v>
      </c>
      <c r="J627" s="2">
        <f t="shared" si="46"/>
        <v>0.72799999999999998</v>
      </c>
      <c r="K627">
        <f t="shared" si="47"/>
        <v>2.7472527472527473</v>
      </c>
      <c r="L627" t="str">
        <f t="shared" si="48"/>
        <v>Funded</v>
      </c>
      <c r="M627">
        <f t="shared" si="49"/>
        <v>1.0106014113453965</v>
      </c>
    </row>
    <row r="628" spans="1:13" x14ac:dyDescent="0.25">
      <c r="A628" t="s">
        <v>1491</v>
      </c>
      <c r="B628" t="s">
        <v>47</v>
      </c>
      <c r="C628" s="1">
        <v>0</v>
      </c>
      <c r="D628" t="s">
        <v>1492</v>
      </c>
      <c r="E628" t="s">
        <v>20</v>
      </c>
      <c r="F628" t="s">
        <v>21</v>
      </c>
      <c r="H628">
        <v>1</v>
      </c>
      <c r="I628">
        <f t="shared" si="45"/>
        <v>2</v>
      </c>
      <c r="J628" s="2">
        <f t="shared" si="46"/>
        <v>0</v>
      </c>
      <c r="K628" t="str">
        <f t="shared" si="47"/>
        <v/>
      </c>
      <c r="L628" t="str">
        <f t="shared" si="48"/>
        <v>Bootstrapped</v>
      </c>
      <c r="M628" t="str">
        <f t="shared" si="49"/>
        <v/>
      </c>
    </row>
    <row r="629" spans="1:13" x14ac:dyDescent="0.25">
      <c r="A629" t="s">
        <v>1493</v>
      </c>
      <c r="B629" t="s">
        <v>47</v>
      </c>
      <c r="C629" t="s">
        <v>125</v>
      </c>
      <c r="D629" t="s">
        <v>1494</v>
      </c>
      <c r="E629" t="s">
        <v>20</v>
      </c>
      <c r="F629" t="s">
        <v>21</v>
      </c>
      <c r="H629">
        <v>1</v>
      </c>
      <c r="I629">
        <f t="shared" si="45"/>
        <v>2</v>
      </c>
      <c r="J629" s="2">
        <f t="shared" si="46"/>
        <v>1</v>
      </c>
      <c r="K629">
        <f t="shared" si="47"/>
        <v>2</v>
      </c>
      <c r="L629" t="str">
        <f t="shared" si="48"/>
        <v>Funded</v>
      </c>
      <c r="M629">
        <f t="shared" si="49"/>
        <v>0.69314718055994529</v>
      </c>
    </row>
    <row r="630" spans="1:13" x14ac:dyDescent="0.25">
      <c r="A630" t="s">
        <v>1495</v>
      </c>
      <c r="B630" t="s">
        <v>47</v>
      </c>
      <c r="C630" t="s">
        <v>1382</v>
      </c>
      <c r="D630" t="s">
        <v>1496</v>
      </c>
      <c r="E630" t="s">
        <v>10</v>
      </c>
      <c r="F630" t="s">
        <v>11</v>
      </c>
      <c r="H630">
        <v>1</v>
      </c>
      <c r="I630">
        <f t="shared" si="45"/>
        <v>2</v>
      </c>
      <c r="J630" s="2">
        <f t="shared" si="46"/>
        <v>0.52</v>
      </c>
      <c r="K630">
        <f t="shared" si="47"/>
        <v>3.8461538461538458</v>
      </c>
      <c r="L630" t="str">
        <f t="shared" si="48"/>
        <v>Funded</v>
      </c>
      <c r="M630">
        <f t="shared" si="49"/>
        <v>1.3470736479666092</v>
      </c>
    </row>
    <row r="631" spans="1:13" x14ac:dyDescent="0.25">
      <c r="A631" t="s">
        <v>1497</v>
      </c>
      <c r="B631" t="s">
        <v>47</v>
      </c>
      <c r="C631" t="s">
        <v>1498</v>
      </c>
      <c r="D631" t="s">
        <v>1499</v>
      </c>
      <c r="E631" t="s">
        <v>49</v>
      </c>
      <c r="F631" t="s">
        <v>50</v>
      </c>
      <c r="H631">
        <v>1</v>
      </c>
      <c r="I631">
        <f t="shared" si="45"/>
        <v>2</v>
      </c>
      <c r="J631" s="2">
        <f t="shared" si="46"/>
        <v>0.26600000000000001</v>
      </c>
      <c r="K631">
        <f t="shared" si="47"/>
        <v>7.518796992481203</v>
      </c>
      <c r="L631" t="str">
        <f t="shared" si="48"/>
        <v>Funded</v>
      </c>
      <c r="M631">
        <f t="shared" si="49"/>
        <v>2.0174061507603831</v>
      </c>
    </row>
    <row r="632" spans="1:13" x14ac:dyDescent="0.25">
      <c r="A632" t="s">
        <v>1500</v>
      </c>
      <c r="B632" t="s">
        <v>47</v>
      </c>
      <c r="C632" t="s">
        <v>1501</v>
      </c>
      <c r="D632" t="s">
        <v>1502</v>
      </c>
      <c r="E632" t="s">
        <v>652</v>
      </c>
      <c r="F632" t="s">
        <v>50</v>
      </c>
      <c r="H632">
        <v>1</v>
      </c>
      <c r="I632">
        <f t="shared" si="45"/>
        <v>2</v>
      </c>
      <c r="J632" s="2">
        <f t="shared" si="46"/>
        <v>3.5000000000000003E-2</v>
      </c>
      <c r="K632">
        <f t="shared" si="47"/>
        <v>57.142857142857139</v>
      </c>
      <c r="L632" t="str">
        <f t="shared" si="48"/>
        <v>Funded</v>
      </c>
      <c r="M632">
        <f t="shared" si="49"/>
        <v>4.0455543980526683</v>
      </c>
    </row>
    <row r="633" spans="1:13" x14ac:dyDescent="0.25">
      <c r="A633" t="s">
        <v>1503</v>
      </c>
      <c r="B633" t="s">
        <v>47</v>
      </c>
      <c r="C633" t="s">
        <v>1504</v>
      </c>
      <c r="D633" t="s">
        <v>1505</v>
      </c>
      <c r="E633" t="s">
        <v>10</v>
      </c>
      <c r="F633" t="s">
        <v>11</v>
      </c>
      <c r="H633">
        <v>1</v>
      </c>
      <c r="I633">
        <f t="shared" si="45"/>
        <v>2</v>
      </c>
      <c r="J633" s="2">
        <f t="shared" si="46"/>
        <v>0.33600000000000002</v>
      </c>
      <c r="K633">
        <f t="shared" si="47"/>
        <v>5.9523809523809517</v>
      </c>
      <c r="L633" t="str">
        <f t="shared" si="48"/>
        <v>Funded</v>
      </c>
      <c r="M633">
        <f t="shared" si="49"/>
        <v>1.7837912995788781</v>
      </c>
    </row>
    <row r="634" spans="1:13" x14ac:dyDescent="0.25">
      <c r="A634" t="s">
        <v>1506</v>
      </c>
      <c r="B634" t="s">
        <v>47</v>
      </c>
      <c r="C634" t="s">
        <v>193</v>
      </c>
      <c r="D634" t="s">
        <v>1507</v>
      </c>
      <c r="E634" t="s">
        <v>170</v>
      </c>
      <c r="F634" t="s">
        <v>50</v>
      </c>
      <c r="H634">
        <v>1</v>
      </c>
      <c r="I634">
        <f t="shared" si="45"/>
        <v>2</v>
      </c>
      <c r="J634" s="2">
        <f t="shared" si="46"/>
        <v>0.4</v>
      </c>
      <c r="K634">
        <f t="shared" si="47"/>
        <v>5</v>
      </c>
      <c r="L634" t="str">
        <f t="shared" si="48"/>
        <v>Funded</v>
      </c>
      <c r="M634">
        <f t="shared" si="49"/>
        <v>1.6094379124341003</v>
      </c>
    </row>
    <row r="635" spans="1:13" x14ac:dyDescent="0.25">
      <c r="A635" t="s">
        <v>1508</v>
      </c>
      <c r="B635" t="s">
        <v>47</v>
      </c>
      <c r="C635" t="s">
        <v>1205</v>
      </c>
      <c r="D635" t="s">
        <v>1509</v>
      </c>
      <c r="E635" t="s">
        <v>10</v>
      </c>
      <c r="F635" t="s">
        <v>11</v>
      </c>
      <c r="H635">
        <v>1</v>
      </c>
      <c r="I635">
        <f t="shared" si="45"/>
        <v>2</v>
      </c>
      <c r="J635" s="2">
        <f t="shared" si="46"/>
        <v>0.3</v>
      </c>
      <c r="K635">
        <f t="shared" si="47"/>
        <v>6.666666666666667</v>
      </c>
      <c r="L635" t="str">
        <f t="shared" si="48"/>
        <v>Funded</v>
      </c>
      <c r="M635">
        <f t="shared" si="49"/>
        <v>1.8971199848858813</v>
      </c>
    </row>
    <row r="636" spans="1:13" x14ac:dyDescent="0.25">
      <c r="A636" t="s">
        <v>1510</v>
      </c>
      <c r="B636" t="s">
        <v>47</v>
      </c>
      <c r="C636" t="s">
        <v>1511</v>
      </c>
      <c r="D636" t="s">
        <v>1512</v>
      </c>
      <c r="E636" t="s">
        <v>10</v>
      </c>
      <c r="F636" t="s">
        <v>11</v>
      </c>
      <c r="H636">
        <v>1</v>
      </c>
      <c r="I636">
        <f t="shared" si="45"/>
        <v>2</v>
      </c>
      <c r="J636" s="2">
        <f t="shared" si="46"/>
        <v>0.318</v>
      </c>
      <c r="K636">
        <f t="shared" si="47"/>
        <v>6.2893081761006284</v>
      </c>
      <c r="L636" t="str">
        <f t="shared" si="48"/>
        <v>Funded</v>
      </c>
      <c r="M636">
        <f t="shared" si="49"/>
        <v>1.8388510767619055</v>
      </c>
    </row>
    <row r="637" spans="1:13" x14ac:dyDescent="0.25">
      <c r="A637" t="s">
        <v>1513</v>
      </c>
      <c r="B637" t="s">
        <v>47</v>
      </c>
      <c r="C637" t="s">
        <v>1514</v>
      </c>
      <c r="D637" t="s">
        <v>1515</v>
      </c>
      <c r="E637" t="s">
        <v>10</v>
      </c>
      <c r="F637" t="s">
        <v>11</v>
      </c>
      <c r="H637">
        <v>1</v>
      </c>
      <c r="I637">
        <f t="shared" si="45"/>
        <v>2</v>
      </c>
      <c r="J637" s="2">
        <f t="shared" si="46"/>
        <v>0.624</v>
      </c>
      <c r="K637">
        <f t="shared" si="47"/>
        <v>3.2051282051282053</v>
      </c>
      <c r="L637" t="str">
        <f t="shared" si="48"/>
        <v>Funded</v>
      </c>
      <c r="M637">
        <f t="shared" si="49"/>
        <v>1.1647520911726548</v>
      </c>
    </row>
    <row r="638" spans="1:13" x14ac:dyDescent="0.25">
      <c r="A638" t="s">
        <v>1516</v>
      </c>
      <c r="B638" t="s">
        <v>47</v>
      </c>
      <c r="C638" t="s">
        <v>1517</v>
      </c>
      <c r="D638" t="s">
        <v>1518</v>
      </c>
      <c r="E638" t="s">
        <v>10</v>
      </c>
      <c r="F638" t="s">
        <v>11</v>
      </c>
      <c r="H638">
        <v>1</v>
      </c>
      <c r="I638">
        <f t="shared" si="45"/>
        <v>2</v>
      </c>
      <c r="J638" s="2">
        <f t="shared" si="46"/>
        <v>0.63100000000000001</v>
      </c>
      <c r="K638">
        <f t="shared" si="47"/>
        <v>3.1695721077654517</v>
      </c>
      <c r="L638" t="str">
        <f t="shared" si="48"/>
        <v>Funded</v>
      </c>
      <c r="M638">
        <f t="shared" si="49"/>
        <v>1.1535965970008693</v>
      </c>
    </row>
    <row r="639" spans="1:13" x14ac:dyDescent="0.25">
      <c r="A639" t="s">
        <v>1519</v>
      </c>
      <c r="B639" t="s">
        <v>47</v>
      </c>
      <c r="C639" t="s">
        <v>1006</v>
      </c>
      <c r="D639" t="s">
        <v>1520</v>
      </c>
      <c r="E639" t="s">
        <v>384</v>
      </c>
      <c r="F639" t="s">
        <v>21</v>
      </c>
      <c r="H639">
        <v>1</v>
      </c>
      <c r="I639">
        <f t="shared" si="45"/>
        <v>2</v>
      </c>
      <c r="J639" s="2">
        <f t="shared" si="46"/>
        <v>0.41</v>
      </c>
      <c r="K639">
        <f t="shared" si="47"/>
        <v>4.8780487804878048</v>
      </c>
      <c r="L639" t="str">
        <f t="shared" si="48"/>
        <v>Funded</v>
      </c>
      <c r="M639">
        <f t="shared" si="49"/>
        <v>1.5847452998437288</v>
      </c>
    </row>
    <row r="640" spans="1:13" x14ac:dyDescent="0.25">
      <c r="A640" t="s">
        <v>1521</v>
      </c>
      <c r="B640" t="s">
        <v>47</v>
      </c>
      <c r="C640" t="s">
        <v>1522</v>
      </c>
      <c r="D640" t="s">
        <v>1523</v>
      </c>
      <c r="E640" t="s">
        <v>10</v>
      </c>
      <c r="F640" t="s">
        <v>11</v>
      </c>
      <c r="H640">
        <v>1</v>
      </c>
      <c r="I640">
        <f t="shared" si="45"/>
        <v>2</v>
      </c>
      <c r="J640" s="2">
        <f t="shared" si="46"/>
        <v>0.41599999999999998</v>
      </c>
      <c r="K640">
        <f t="shared" si="47"/>
        <v>4.8076923076923075</v>
      </c>
      <c r="L640" t="str">
        <f t="shared" si="48"/>
        <v>Funded</v>
      </c>
      <c r="M640">
        <f t="shared" si="49"/>
        <v>1.5702171992808189</v>
      </c>
    </row>
    <row r="641" spans="1:13" x14ac:dyDescent="0.25">
      <c r="A641" t="s">
        <v>1524</v>
      </c>
      <c r="B641" t="s">
        <v>47</v>
      </c>
      <c r="C641" t="s">
        <v>1525</v>
      </c>
      <c r="D641" t="s">
        <v>1526</v>
      </c>
      <c r="E641" t="s">
        <v>10</v>
      </c>
      <c r="F641" t="s">
        <v>11</v>
      </c>
      <c r="H641">
        <v>1</v>
      </c>
      <c r="I641">
        <f t="shared" si="45"/>
        <v>2</v>
      </c>
      <c r="J641" s="2">
        <f t="shared" si="46"/>
        <v>0.432</v>
      </c>
      <c r="K641">
        <f t="shared" si="47"/>
        <v>4.6296296296296298</v>
      </c>
      <c r="L641" t="str">
        <f t="shared" si="48"/>
        <v>Funded</v>
      </c>
      <c r="M641">
        <f t="shared" si="49"/>
        <v>1.5324768712979722</v>
      </c>
    </row>
    <row r="642" spans="1:13" x14ac:dyDescent="0.25">
      <c r="A642" t="s">
        <v>1527</v>
      </c>
      <c r="B642" t="s">
        <v>47</v>
      </c>
      <c r="C642" t="s">
        <v>1453</v>
      </c>
      <c r="D642" t="s">
        <v>1528</v>
      </c>
      <c r="E642" t="s">
        <v>554</v>
      </c>
      <c r="F642" t="s">
        <v>526</v>
      </c>
      <c r="H642">
        <v>1</v>
      </c>
      <c r="I642">
        <f t="shared" si="45"/>
        <v>2</v>
      </c>
      <c r="J642" s="2">
        <f t="shared" si="46"/>
        <v>0.50700000000000001</v>
      </c>
      <c r="K642">
        <f t="shared" si="47"/>
        <v>3.9447731755424065</v>
      </c>
      <c r="L642" t="str">
        <f t="shared" si="48"/>
        <v>Funded</v>
      </c>
      <c r="M642">
        <f t="shared" si="49"/>
        <v>1.3723914559508992</v>
      </c>
    </row>
    <row r="643" spans="1:13" x14ac:dyDescent="0.25">
      <c r="A643" t="s">
        <v>1529</v>
      </c>
      <c r="B643" t="s">
        <v>47</v>
      </c>
      <c r="C643" t="s">
        <v>623</v>
      </c>
      <c r="D643" t="s">
        <v>1530</v>
      </c>
      <c r="E643" t="s">
        <v>20</v>
      </c>
      <c r="F643" t="s">
        <v>21</v>
      </c>
      <c r="H643">
        <v>1</v>
      </c>
      <c r="I643">
        <f t="shared" ref="I643:I706" si="50">IF(B643="","",
VALUE(SUBSTITUTE(SUBSTITUTE(B643,"$",""),"B","")))</f>
        <v>2</v>
      </c>
      <c r="J643" s="2">
        <f t="shared" ref="J643:J706" si="51">IF(C643="","",
IF(C643="$0",0,
IF(RIGHT(C643,1)="B",
VALUE(SUBSTITUTE(SUBSTITUTE(C643,"$",""),"B","")),
IF(RIGHT(C643,1)="M",
VALUE(SUBSTITUTE(SUBSTITUTE(C643,"$",""),"M",""))/1000,
IF(RIGHT(C643,1)="K",
VALUE(SUBSTITUTE(SUBSTITUTE(C643,"$",""),"K",""))/1000000,
VALUE(SUBSTITUTE(C643,"$",""))
)))))</f>
        <v>0.5</v>
      </c>
      <c r="K643">
        <f t="shared" ref="K643:K706" si="52">IF(J643&gt;0,I643/J643,"")</f>
        <v>4</v>
      </c>
      <c r="L643" t="str">
        <f t="shared" ref="L643:L706" si="53">IF(J643=0,"Bootstrapped","Funded")</f>
        <v>Funded</v>
      </c>
      <c r="M643">
        <f t="shared" ref="M643:M706" si="54">IF(AND(I643&gt;0,J643&gt;0),LN(I643/J643),"")</f>
        <v>1.3862943611198906</v>
      </c>
    </row>
    <row r="644" spans="1:13" x14ac:dyDescent="0.25">
      <c r="A644" t="s">
        <v>1531</v>
      </c>
      <c r="B644" t="s">
        <v>47</v>
      </c>
      <c r="C644" t="s">
        <v>1532</v>
      </c>
      <c r="D644" t="s">
        <v>1533</v>
      </c>
      <c r="E644" t="s">
        <v>44</v>
      </c>
      <c r="F644" t="s">
        <v>21</v>
      </c>
      <c r="H644">
        <v>1</v>
      </c>
      <c r="I644">
        <f t="shared" si="50"/>
        <v>2</v>
      </c>
      <c r="J644" s="2">
        <f t="shared" si="51"/>
        <v>0.45100000000000001</v>
      </c>
      <c r="K644">
        <f t="shared" si="52"/>
        <v>4.434589800443459</v>
      </c>
      <c r="L644" t="str">
        <f t="shared" si="53"/>
        <v>Funded</v>
      </c>
      <c r="M644">
        <f t="shared" si="54"/>
        <v>1.489435120039404</v>
      </c>
    </row>
    <row r="645" spans="1:13" x14ac:dyDescent="0.25">
      <c r="A645" t="s">
        <v>1534</v>
      </c>
      <c r="B645" t="s">
        <v>47</v>
      </c>
      <c r="C645" t="s">
        <v>1076</v>
      </c>
      <c r="D645" t="s">
        <v>1535</v>
      </c>
      <c r="E645" t="s">
        <v>10</v>
      </c>
      <c r="F645" t="s">
        <v>11</v>
      </c>
      <c r="H645">
        <v>1</v>
      </c>
      <c r="I645">
        <f t="shared" si="50"/>
        <v>2</v>
      </c>
      <c r="J645" s="2">
        <f t="shared" si="51"/>
        <v>0.33</v>
      </c>
      <c r="K645">
        <f t="shared" si="52"/>
        <v>6.0606060606060606</v>
      </c>
      <c r="L645" t="str">
        <f t="shared" si="53"/>
        <v>Funded</v>
      </c>
      <c r="M645">
        <f t="shared" si="54"/>
        <v>1.8018098050815565</v>
      </c>
    </row>
    <row r="646" spans="1:13" x14ac:dyDescent="0.25">
      <c r="A646" t="s">
        <v>1536</v>
      </c>
      <c r="B646" t="s">
        <v>47</v>
      </c>
      <c r="C646" t="s">
        <v>1537</v>
      </c>
      <c r="D646" t="s">
        <v>1012</v>
      </c>
      <c r="E646" t="s">
        <v>10</v>
      </c>
      <c r="F646" t="s">
        <v>11</v>
      </c>
      <c r="H646">
        <v>1</v>
      </c>
      <c r="I646">
        <f t="shared" si="50"/>
        <v>2</v>
      </c>
      <c r="J646" s="2">
        <f t="shared" si="51"/>
        <v>0.19400000000000001</v>
      </c>
      <c r="K646">
        <f t="shared" si="52"/>
        <v>10.309278350515463</v>
      </c>
      <c r="L646" t="str">
        <f t="shared" si="53"/>
        <v>Funded</v>
      </c>
      <c r="M646">
        <f t="shared" si="54"/>
        <v>2.333044300478754</v>
      </c>
    </row>
    <row r="647" spans="1:13" x14ac:dyDescent="0.25">
      <c r="A647" t="s">
        <v>1538</v>
      </c>
      <c r="B647" t="s">
        <v>47</v>
      </c>
      <c r="C647" t="s">
        <v>1539</v>
      </c>
      <c r="D647" t="s">
        <v>1540</v>
      </c>
      <c r="E647" t="s">
        <v>648</v>
      </c>
      <c r="F647" t="s">
        <v>50</v>
      </c>
      <c r="H647">
        <v>1</v>
      </c>
      <c r="I647">
        <f t="shared" si="50"/>
        <v>2</v>
      </c>
      <c r="J647" s="2">
        <f t="shared" si="51"/>
        <v>0.56899999999999995</v>
      </c>
      <c r="K647">
        <f t="shared" si="52"/>
        <v>3.5149384885764503</v>
      </c>
      <c r="L647" t="str">
        <f t="shared" si="53"/>
        <v>Funded</v>
      </c>
      <c r="M647">
        <f t="shared" si="54"/>
        <v>1.2570220254157516</v>
      </c>
    </row>
    <row r="648" spans="1:13" x14ac:dyDescent="0.25">
      <c r="A648" t="s">
        <v>1541</v>
      </c>
      <c r="B648" t="s">
        <v>47</v>
      </c>
      <c r="C648" t="s">
        <v>1205</v>
      </c>
      <c r="D648" t="s">
        <v>1542</v>
      </c>
      <c r="E648" t="s">
        <v>10</v>
      </c>
      <c r="F648" t="s">
        <v>11</v>
      </c>
      <c r="H648">
        <v>1</v>
      </c>
      <c r="I648">
        <f t="shared" si="50"/>
        <v>2</v>
      </c>
      <c r="J648" s="2">
        <f t="shared" si="51"/>
        <v>0.3</v>
      </c>
      <c r="K648">
        <f t="shared" si="52"/>
        <v>6.666666666666667</v>
      </c>
      <c r="L648" t="str">
        <f t="shared" si="53"/>
        <v>Funded</v>
      </c>
      <c r="M648">
        <f t="shared" si="54"/>
        <v>1.8971199848858813</v>
      </c>
    </row>
    <row r="649" spans="1:13" x14ac:dyDescent="0.25">
      <c r="A649" t="s">
        <v>1543</v>
      </c>
      <c r="B649" t="s">
        <v>47</v>
      </c>
      <c r="C649" t="s">
        <v>645</v>
      </c>
      <c r="D649" t="s">
        <v>254</v>
      </c>
      <c r="E649" t="s">
        <v>10</v>
      </c>
      <c r="F649" t="s">
        <v>11</v>
      </c>
      <c r="H649">
        <v>1</v>
      </c>
      <c r="I649">
        <f t="shared" si="50"/>
        <v>2</v>
      </c>
      <c r="J649" s="2">
        <f t="shared" si="51"/>
        <v>0.2</v>
      </c>
      <c r="K649">
        <f t="shared" si="52"/>
        <v>10</v>
      </c>
      <c r="L649" t="str">
        <f t="shared" si="53"/>
        <v>Funded</v>
      </c>
      <c r="M649">
        <f t="shared" si="54"/>
        <v>2.3025850929940459</v>
      </c>
    </row>
    <row r="650" spans="1:13" x14ac:dyDescent="0.25">
      <c r="A650" t="s">
        <v>1544</v>
      </c>
      <c r="B650" t="s">
        <v>47</v>
      </c>
      <c r="C650" t="s">
        <v>1545</v>
      </c>
      <c r="D650" t="s">
        <v>1546</v>
      </c>
      <c r="E650" t="s">
        <v>10</v>
      </c>
      <c r="F650" t="s">
        <v>11</v>
      </c>
      <c r="H650">
        <v>1</v>
      </c>
      <c r="I650">
        <f t="shared" si="50"/>
        <v>2</v>
      </c>
      <c r="J650" s="2">
        <f t="shared" si="51"/>
        <v>0.121</v>
      </c>
      <c r="K650">
        <f t="shared" si="52"/>
        <v>16.528925619834713</v>
      </c>
      <c r="L650" t="str">
        <f t="shared" si="53"/>
        <v>Funded</v>
      </c>
      <c r="M650">
        <f t="shared" si="54"/>
        <v>2.8051119139453413</v>
      </c>
    </row>
    <row r="651" spans="1:13" x14ac:dyDescent="0.25">
      <c r="A651" t="s">
        <v>1547</v>
      </c>
      <c r="B651" t="s">
        <v>47</v>
      </c>
      <c r="C651" t="s">
        <v>1238</v>
      </c>
      <c r="D651" t="s">
        <v>66</v>
      </c>
      <c r="E651" t="s">
        <v>10</v>
      </c>
      <c r="F651" t="s">
        <v>11</v>
      </c>
      <c r="H651">
        <v>1</v>
      </c>
      <c r="I651">
        <f t="shared" si="50"/>
        <v>2</v>
      </c>
      <c r="J651" s="2">
        <f t="shared" si="51"/>
        <v>0.35599999999999998</v>
      </c>
      <c r="K651">
        <f t="shared" si="52"/>
        <v>5.617977528089888</v>
      </c>
      <c r="L651" t="str">
        <f t="shared" si="53"/>
        <v>Funded</v>
      </c>
      <c r="M651">
        <f t="shared" si="54"/>
        <v>1.725971728690052</v>
      </c>
    </row>
    <row r="652" spans="1:13" x14ac:dyDescent="0.25">
      <c r="A652" t="s">
        <v>1548</v>
      </c>
      <c r="B652" t="s">
        <v>47</v>
      </c>
      <c r="C652" t="s">
        <v>1549</v>
      </c>
      <c r="D652" t="s">
        <v>1550</v>
      </c>
      <c r="E652" t="s">
        <v>10</v>
      </c>
      <c r="F652" t="s">
        <v>11</v>
      </c>
      <c r="H652">
        <v>1</v>
      </c>
      <c r="I652">
        <f t="shared" si="50"/>
        <v>2</v>
      </c>
      <c r="J652" s="2">
        <f t="shared" si="51"/>
        <v>0.34200000000000003</v>
      </c>
      <c r="K652">
        <f t="shared" si="52"/>
        <v>5.8479532163742682</v>
      </c>
      <c r="L652" t="str">
        <f t="shared" si="53"/>
        <v>Funded</v>
      </c>
      <c r="M652">
        <f t="shared" si="54"/>
        <v>1.766091722479477</v>
      </c>
    </row>
    <row r="653" spans="1:13" x14ac:dyDescent="0.25">
      <c r="A653" t="s">
        <v>1551</v>
      </c>
      <c r="B653" t="s">
        <v>47</v>
      </c>
      <c r="C653" t="s">
        <v>986</v>
      </c>
      <c r="D653" t="s">
        <v>1552</v>
      </c>
      <c r="E653" t="s">
        <v>10</v>
      </c>
      <c r="F653" t="s">
        <v>11</v>
      </c>
      <c r="H653">
        <v>1</v>
      </c>
      <c r="I653">
        <f t="shared" si="50"/>
        <v>2</v>
      </c>
      <c r="J653" s="2">
        <f t="shared" si="51"/>
        <v>0.29899999999999999</v>
      </c>
      <c r="K653">
        <f t="shared" si="52"/>
        <v>6.6889632107023411</v>
      </c>
      <c r="L653" t="str">
        <f t="shared" si="53"/>
        <v>Funded</v>
      </c>
      <c r="M653">
        <f t="shared" si="54"/>
        <v>1.900458886151396</v>
      </c>
    </row>
    <row r="654" spans="1:13" x14ac:dyDescent="0.25">
      <c r="A654" t="s">
        <v>1553</v>
      </c>
      <c r="B654" t="s">
        <v>47</v>
      </c>
      <c r="C654" t="s">
        <v>1554</v>
      </c>
      <c r="D654" t="s">
        <v>1555</v>
      </c>
      <c r="E654" t="s">
        <v>10</v>
      </c>
      <c r="F654" t="s">
        <v>11</v>
      </c>
      <c r="H654">
        <v>1</v>
      </c>
      <c r="I654">
        <f t="shared" si="50"/>
        <v>2</v>
      </c>
      <c r="J654" s="2">
        <f t="shared" si="51"/>
        <v>0.36499999999999999</v>
      </c>
      <c r="K654">
        <f t="shared" si="52"/>
        <v>5.4794520547945202</v>
      </c>
      <c r="L654" t="str">
        <f t="shared" si="53"/>
        <v>Funded</v>
      </c>
      <c r="M654">
        <f t="shared" si="54"/>
        <v>1.7010051059595908</v>
      </c>
    </row>
    <row r="655" spans="1:13" x14ac:dyDescent="0.25">
      <c r="A655" t="s">
        <v>1556</v>
      </c>
      <c r="B655" t="s">
        <v>47</v>
      </c>
      <c r="C655" t="s">
        <v>602</v>
      </c>
      <c r="D655" t="s">
        <v>209</v>
      </c>
      <c r="E655" t="s">
        <v>10</v>
      </c>
      <c r="F655" t="s">
        <v>11</v>
      </c>
      <c r="H655">
        <v>1</v>
      </c>
      <c r="I655">
        <f t="shared" si="50"/>
        <v>2</v>
      </c>
      <c r="J655" s="2">
        <f t="shared" si="51"/>
        <v>0.47499999999999998</v>
      </c>
      <c r="K655">
        <f t="shared" si="52"/>
        <v>4.2105263157894735</v>
      </c>
      <c r="L655" t="str">
        <f t="shared" si="53"/>
        <v>Funded</v>
      </c>
      <c r="M655">
        <f t="shared" si="54"/>
        <v>1.4375876555074412</v>
      </c>
    </row>
    <row r="656" spans="1:13" x14ac:dyDescent="0.25">
      <c r="A656" t="s">
        <v>1557</v>
      </c>
      <c r="B656" t="s">
        <v>47</v>
      </c>
      <c r="C656" t="s">
        <v>1159</v>
      </c>
      <c r="D656" t="s">
        <v>641</v>
      </c>
      <c r="E656" t="s">
        <v>10</v>
      </c>
      <c r="F656" t="s">
        <v>11</v>
      </c>
      <c r="H656">
        <v>1</v>
      </c>
      <c r="I656">
        <f t="shared" si="50"/>
        <v>2</v>
      </c>
      <c r="J656" s="2">
        <f t="shared" si="51"/>
        <v>0.34100000000000003</v>
      </c>
      <c r="K656">
        <f t="shared" si="52"/>
        <v>5.8651026392961869</v>
      </c>
      <c r="L656" t="str">
        <f t="shared" si="53"/>
        <v>Funded</v>
      </c>
      <c r="M656">
        <f t="shared" si="54"/>
        <v>1.7690199822585655</v>
      </c>
    </row>
    <row r="657" spans="1:13" x14ac:dyDescent="0.25">
      <c r="A657" t="s">
        <v>1558</v>
      </c>
      <c r="B657" t="s">
        <v>47</v>
      </c>
      <c r="C657" t="s">
        <v>691</v>
      </c>
      <c r="D657" t="s">
        <v>1064</v>
      </c>
      <c r="E657" t="s">
        <v>1008</v>
      </c>
      <c r="F657" t="s">
        <v>11</v>
      </c>
      <c r="H657">
        <v>1</v>
      </c>
      <c r="I657">
        <f t="shared" si="50"/>
        <v>2</v>
      </c>
      <c r="J657" s="2">
        <f t="shared" si="51"/>
        <v>0.48099999999999998</v>
      </c>
      <c r="K657">
        <f t="shared" si="52"/>
        <v>4.1580041580041582</v>
      </c>
      <c r="L657" t="str">
        <f t="shared" si="53"/>
        <v>Funded</v>
      </c>
      <c r="M657">
        <f t="shared" si="54"/>
        <v>1.4250351894363211</v>
      </c>
    </row>
    <row r="658" spans="1:13" x14ac:dyDescent="0.25">
      <c r="A658" t="s">
        <v>1559</v>
      </c>
      <c r="B658" t="s">
        <v>47</v>
      </c>
      <c r="C658" t="s">
        <v>1409</v>
      </c>
      <c r="D658" t="s">
        <v>66</v>
      </c>
      <c r="E658" t="s">
        <v>10</v>
      </c>
      <c r="F658" t="s">
        <v>11</v>
      </c>
      <c r="H658">
        <v>1</v>
      </c>
      <c r="I658">
        <f t="shared" si="50"/>
        <v>2</v>
      </c>
      <c r="J658" s="2">
        <f t="shared" si="51"/>
        <v>0.55000000000000004</v>
      </c>
      <c r="K658">
        <f t="shared" si="52"/>
        <v>3.6363636363636362</v>
      </c>
      <c r="L658" t="str">
        <f t="shared" si="53"/>
        <v>Funded</v>
      </c>
      <c r="M658">
        <f t="shared" si="54"/>
        <v>1.2909841813155658</v>
      </c>
    </row>
    <row r="659" spans="1:13" x14ac:dyDescent="0.25">
      <c r="A659" t="s">
        <v>1560</v>
      </c>
      <c r="B659" t="s">
        <v>47</v>
      </c>
      <c r="C659" s="1">
        <v>0</v>
      </c>
      <c r="E659" t="s">
        <v>10</v>
      </c>
      <c r="F659" t="s">
        <v>11</v>
      </c>
      <c r="H659">
        <v>1</v>
      </c>
      <c r="I659">
        <f t="shared" si="50"/>
        <v>2</v>
      </c>
      <c r="J659" s="2">
        <f t="shared" si="51"/>
        <v>0</v>
      </c>
      <c r="K659" t="str">
        <f t="shared" si="52"/>
        <v/>
      </c>
      <c r="L659" t="str">
        <f t="shared" si="53"/>
        <v>Bootstrapped</v>
      </c>
      <c r="M659" t="str">
        <f t="shared" si="54"/>
        <v/>
      </c>
    </row>
    <row r="660" spans="1:13" x14ac:dyDescent="0.25">
      <c r="A660" t="s">
        <v>1561</v>
      </c>
      <c r="B660" t="s">
        <v>47</v>
      </c>
      <c r="C660" t="s">
        <v>1562</v>
      </c>
      <c r="D660" t="s">
        <v>1282</v>
      </c>
      <c r="E660" t="s">
        <v>10</v>
      </c>
      <c r="F660" t="s">
        <v>11</v>
      </c>
      <c r="H660">
        <v>1</v>
      </c>
      <c r="I660">
        <f t="shared" si="50"/>
        <v>2</v>
      </c>
      <c r="J660" s="2">
        <f t="shared" si="51"/>
        <v>0.21199999999999999</v>
      </c>
      <c r="K660">
        <f t="shared" si="52"/>
        <v>9.433962264150944</v>
      </c>
      <c r="L660" t="str">
        <f t="shared" si="53"/>
        <v>Funded</v>
      </c>
      <c r="M660">
        <f t="shared" si="54"/>
        <v>2.2443161848700699</v>
      </c>
    </row>
    <row r="661" spans="1:13" x14ac:dyDescent="0.25">
      <c r="A661" t="s">
        <v>1563</v>
      </c>
      <c r="B661" t="s">
        <v>47</v>
      </c>
      <c r="C661" t="s">
        <v>516</v>
      </c>
      <c r="D661" t="s">
        <v>254</v>
      </c>
      <c r="E661" t="s">
        <v>1564</v>
      </c>
      <c r="F661" t="s">
        <v>109</v>
      </c>
      <c r="H661">
        <v>1</v>
      </c>
      <c r="I661">
        <f t="shared" si="50"/>
        <v>2</v>
      </c>
      <c r="J661" s="2">
        <f t="shared" si="51"/>
        <v>0.56999999999999995</v>
      </c>
      <c r="K661">
        <f t="shared" si="52"/>
        <v>3.5087719298245617</v>
      </c>
      <c r="L661" t="str">
        <f t="shared" si="53"/>
        <v>Funded</v>
      </c>
      <c r="M661">
        <f t="shared" si="54"/>
        <v>1.2552660987134865</v>
      </c>
    </row>
    <row r="662" spans="1:13" x14ac:dyDescent="0.25">
      <c r="A662" t="s">
        <v>1565</v>
      </c>
      <c r="B662" t="s">
        <v>47</v>
      </c>
      <c r="C662" t="s">
        <v>1566</v>
      </c>
      <c r="D662" t="s">
        <v>254</v>
      </c>
      <c r="E662" t="s">
        <v>10</v>
      </c>
      <c r="F662" t="s">
        <v>11</v>
      </c>
      <c r="H662">
        <v>1</v>
      </c>
      <c r="I662">
        <f t="shared" si="50"/>
        <v>2</v>
      </c>
      <c r="J662" s="2">
        <f t="shared" si="51"/>
        <v>0.52700000000000002</v>
      </c>
      <c r="K662">
        <f t="shared" si="52"/>
        <v>3.795066413662239</v>
      </c>
      <c r="L662" t="str">
        <f t="shared" si="53"/>
        <v>Funded</v>
      </c>
      <c r="M662">
        <f t="shared" si="54"/>
        <v>1.33370191100072</v>
      </c>
    </row>
    <row r="663" spans="1:13" x14ac:dyDescent="0.25">
      <c r="A663" t="s">
        <v>1567</v>
      </c>
      <c r="B663" t="s">
        <v>47</v>
      </c>
      <c r="C663" t="s">
        <v>1442</v>
      </c>
      <c r="D663" t="s">
        <v>159</v>
      </c>
      <c r="E663" t="s">
        <v>10</v>
      </c>
      <c r="F663" t="s">
        <v>11</v>
      </c>
      <c r="H663">
        <v>1</v>
      </c>
      <c r="I663">
        <f t="shared" si="50"/>
        <v>2</v>
      </c>
      <c r="J663" s="2">
        <f t="shared" si="51"/>
        <v>0.64</v>
      </c>
      <c r="K663">
        <f t="shared" si="52"/>
        <v>3.125</v>
      </c>
      <c r="L663" t="str">
        <f t="shared" si="53"/>
        <v>Funded</v>
      </c>
      <c r="M663">
        <f t="shared" si="54"/>
        <v>1.1394342831883648</v>
      </c>
    </row>
    <row r="664" spans="1:13" x14ac:dyDescent="0.25">
      <c r="A664" t="s">
        <v>1568</v>
      </c>
      <c r="B664" t="s">
        <v>47</v>
      </c>
      <c r="C664" t="s">
        <v>1569</v>
      </c>
      <c r="D664" t="s">
        <v>254</v>
      </c>
      <c r="E664" t="s">
        <v>10</v>
      </c>
      <c r="F664" t="s">
        <v>11</v>
      </c>
      <c r="H664">
        <v>1</v>
      </c>
      <c r="I664">
        <f t="shared" si="50"/>
        <v>2</v>
      </c>
      <c r="J664" s="2">
        <f t="shared" si="51"/>
        <v>0.251</v>
      </c>
      <c r="K664">
        <f t="shared" si="52"/>
        <v>7.9681274900398407</v>
      </c>
      <c r="L664" t="str">
        <f t="shared" si="53"/>
        <v>Funded</v>
      </c>
      <c r="M664">
        <f t="shared" si="54"/>
        <v>2.0754495204102983</v>
      </c>
    </row>
    <row r="665" spans="1:13" x14ac:dyDescent="0.25">
      <c r="A665" t="s">
        <v>1570</v>
      </c>
      <c r="B665" t="s">
        <v>47</v>
      </c>
      <c r="C665" t="s">
        <v>1390</v>
      </c>
      <c r="D665" t="s">
        <v>254</v>
      </c>
      <c r="E665" t="s">
        <v>10</v>
      </c>
      <c r="F665" t="s">
        <v>11</v>
      </c>
      <c r="H665">
        <v>1</v>
      </c>
      <c r="I665">
        <f t="shared" si="50"/>
        <v>2</v>
      </c>
      <c r="J665" s="2">
        <f t="shared" si="51"/>
        <v>0.315</v>
      </c>
      <c r="K665">
        <f t="shared" si="52"/>
        <v>6.3492063492063489</v>
      </c>
      <c r="L665" t="str">
        <f t="shared" si="53"/>
        <v>Funded</v>
      </c>
      <c r="M665">
        <f t="shared" si="54"/>
        <v>1.8483298207164491</v>
      </c>
    </row>
    <row r="666" spans="1:13" x14ac:dyDescent="0.25">
      <c r="A666" t="s">
        <v>1571</v>
      </c>
      <c r="B666" t="s">
        <v>47</v>
      </c>
      <c r="C666" t="s">
        <v>1572</v>
      </c>
      <c r="D666" t="s">
        <v>1573</v>
      </c>
      <c r="E666" t="s">
        <v>187</v>
      </c>
      <c r="F666" t="s">
        <v>50</v>
      </c>
      <c r="H666">
        <v>1</v>
      </c>
      <c r="I666">
        <f t="shared" si="50"/>
        <v>2</v>
      </c>
      <c r="J666" s="2">
        <f t="shared" si="51"/>
        <v>0.46400000000000002</v>
      </c>
      <c r="K666">
        <f t="shared" si="52"/>
        <v>4.3103448275862064</v>
      </c>
      <c r="L666" t="str">
        <f t="shared" si="53"/>
        <v>Funded</v>
      </c>
      <c r="M666">
        <f t="shared" si="54"/>
        <v>1.4610179073158269</v>
      </c>
    </row>
    <row r="667" spans="1:13" x14ac:dyDescent="0.25">
      <c r="A667" t="s">
        <v>1574</v>
      </c>
      <c r="B667" t="s">
        <v>47</v>
      </c>
      <c r="C667" t="s">
        <v>764</v>
      </c>
      <c r="D667" t="s">
        <v>1575</v>
      </c>
      <c r="E667" t="s">
        <v>10</v>
      </c>
      <c r="F667" t="s">
        <v>11</v>
      </c>
      <c r="H667">
        <v>1</v>
      </c>
      <c r="I667">
        <f t="shared" si="50"/>
        <v>2</v>
      </c>
      <c r="J667" s="2">
        <f t="shared" si="51"/>
        <v>0.61699999999999999</v>
      </c>
      <c r="K667">
        <f t="shared" si="52"/>
        <v>3.2414910858995136</v>
      </c>
      <c r="L667" t="str">
        <f t="shared" si="53"/>
        <v>Funded</v>
      </c>
      <c r="M667">
        <f t="shared" si="54"/>
        <v>1.1760334356366946</v>
      </c>
    </row>
    <row r="668" spans="1:13" x14ac:dyDescent="0.25">
      <c r="A668" t="s">
        <v>1576</v>
      </c>
      <c r="B668" t="s">
        <v>47</v>
      </c>
      <c r="C668" t="s">
        <v>1375</v>
      </c>
      <c r="D668" t="s">
        <v>1577</v>
      </c>
      <c r="E668" t="s">
        <v>1578</v>
      </c>
      <c r="F668" t="s">
        <v>50</v>
      </c>
      <c r="H668">
        <v>1</v>
      </c>
      <c r="I668">
        <f t="shared" si="50"/>
        <v>2</v>
      </c>
      <c r="J668" s="2">
        <f t="shared" si="51"/>
        <v>0.19</v>
      </c>
      <c r="K668">
        <f t="shared" si="52"/>
        <v>10.526315789473685</v>
      </c>
      <c r="L668" t="str">
        <f t="shared" si="53"/>
        <v>Funded</v>
      </c>
      <c r="M668">
        <f t="shared" si="54"/>
        <v>2.3538783873815965</v>
      </c>
    </row>
    <row r="669" spans="1:13" x14ac:dyDescent="0.25">
      <c r="A669" t="s">
        <v>1579</v>
      </c>
      <c r="B669" t="s">
        <v>47</v>
      </c>
      <c r="C669" t="s">
        <v>220</v>
      </c>
      <c r="D669" t="s">
        <v>1580</v>
      </c>
      <c r="E669" t="s">
        <v>1035</v>
      </c>
      <c r="F669" t="s">
        <v>21</v>
      </c>
      <c r="H669">
        <v>1</v>
      </c>
      <c r="I669">
        <f t="shared" si="50"/>
        <v>2</v>
      </c>
      <c r="J669" s="2">
        <f t="shared" si="51"/>
        <v>0.61599999999999999</v>
      </c>
      <c r="K669">
        <f t="shared" si="52"/>
        <v>3.2467532467532467</v>
      </c>
      <c r="L669" t="str">
        <f t="shared" si="53"/>
        <v>Funded</v>
      </c>
      <c r="M669">
        <f t="shared" si="54"/>
        <v>1.1776554960085626</v>
      </c>
    </row>
    <row r="670" spans="1:13" x14ac:dyDescent="0.25">
      <c r="A670" t="s">
        <v>1581</v>
      </c>
      <c r="B670" t="s">
        <v>47</v>
      </c>
      <c r="C670" t="s">
        <v>482</v>
      </c>
      <c r="D670" t="s">
        <v>1582</v>
      </c>
      <c r="E670" t="s">
        <v>20</v>
      </c>
      <c r="F670" t="s">
        <v>21</v>
      </c>
      <c r="H670">
        <v>1</v>
      </c>
      <c r="I670">
        <f t="shared" si="50"/>
        <v>2</v>
      </c>
      <c r="J670" s="2">
        <f t="shared" si="51"/>
        <v>0.95</v>
      </c>
      <c r="K670">
        <f t="shared" si="52"/>
        <v>2.1052631578947367</v>
      </c>
      <c r="L670" t="str">
        <f t="shared" si="53"/>
        <v>Funded</v>
      </c>
      <c r="M670">
        <f t="shared" si="54"/>
        <v>0.74444047494749577</v>
      </c>
    </row>
    <row r="671" spans="1:13" x14ac:dyDescent="0.25">
      <c r="A671" t="s">
        <v>1583</v>
      </c>
      <c r="B671" t="s">
        <v>47</v>
      </c>
      <c r="C671" t="s">
        <v>558</v>
      </c>
      <c r="D671" t="s">
        <v>1584</v>
      </c>
      <c r="E671" t="s">
        <v>20</v>
      </c>
      <c r="F671" t="s">
        <v>21</v>
      </c>
      <c r="H671">
        <v>1</v>
      </c>
      <c r="I671">
        <f t="shared" si="50"/>
        <v>2</v>
      </c>
      <c r="J671" s="2">
        <f t="shared" si="51"/>
        <v>0.503</v>
      </c>
      <c r="K671">
        <f t="shared" si="52"/>
        <v>3.9761431411530817</v>
      </c>
      <c r="L671" t="str">
        <f t="shared" si="53"/>
        <v>Funded</v>
      </c>
      <c r="M671">
        <f t="shared" si="54"/>
        <v>1.3803122894423432</v>
      </c>
    </row>
    <row r="672" spans="1:13" x14ac:dyDescent="0.25">
      <c r="A672" t="s">
        <v>1585</v>
      </c>
      <c r="B672" t="s">
        <v>47</v>
      </c>
      <c r="C672" t="s">
        <v>53</v>
      </c>
      <c r="D672" t="s">
        <v>161</v>
      </c>
      <c r="E672" t="s">
        <v>10</v>
      </c>
      <c r="F672" t="s">
        <v>11</v>
      </c>
      <c r="H672">
        <v>1</v>
      </c>
      <c r="I672">
        <f t="shared" si="50"/>
        <v>2</v>
      </c>
      <c r="J672" s="2">
        <f t="shared" si="51"/>
        <v>4</v>
      </c>
      <c r="K672">
        <f t="shared" si="52"/>
        <v>0.5</v>
      </c>
      <c r="L672" t="str">
        <f t="shared" si="53"/>
        <v>Funded</v>
      </c>
      <c r="M672">
        <f t="shared" si="54"/>
        <v>-0.69314718055994529</v>
      </c>
    </row>
    <row r="673" spans="1:13" x14ac:dyDescent="0.25">
      <c r="A673" t="s">
        <v>1586</v>
      </c>
      <c r="B673" t="s">
        <v>47</v>
      </c>
      <c r="C673" t="s">
        <v>1587</v>
      </c>
      <c r="D673" t="s">
        <v>1588</v>
      </c>
      <c r="E673" t="s">
        <v>1589</v>
      </c>
      <c r="F673" t="s">
        <v>50</v>
      </c>
      <c r="H673">
        <v>1</v>
      </c>
      <c r="I673">
        <f t="shared" si="50"/>
        <v>2</v>
      </c>
      <c r="J673" s="2">
        <f t="shared" si="51"/>
        <v>0.26500000000000001</v>
      </c>
      <c r="K673">
        <f t="shared" si="52"/>
        <v>7.5471698113207539</v>
      </c>
      <c r="L673" t="str">
        <f t="shared" si="53"/>
        <v>Funded</v>
      </c>
      <c r="M673">
        <f t="shared" si="54"/>
        <v>2.0211726335558602</v>
      </c>
    </row>
    <row r="674" spans="1:13" x14ac:dyDescent="0.25">
      <c r="A674" t="s">
        <v>1590</v>
      </c>
      <c r="B674" t="s">
        <v>47</v>
      </c>
      <c r="C674" t="s">
        <v>834</v>
      </c>
      <c r="D674" t="s">
        <v>1591</v>
      </c>
      <c r="E674" t="s">
        <v>10</v>
      </c>
      <c r="F674" t="s">
        <v>11</v>
      </c>
      <c r="H674">
        <v>1</v>
      </c>
      <c r="I674">
        <f t="shared" si="50"/>
        <v>2</v>
      </c>
      <c r="J674" s="2">
        <f t="shared" si="51"/>
        <v>0.495</v>
      </c>
      <c r="K674">
        <f t="shared" si="52"/>
        <v>4.0404040404040407</v>
      </c>
      <c r="L674" t="str">
        <f t="shared" si="53"/>
        <v>Funded</v>
      </c>
      <c r="M674">
        <f t="shared" si="54"/>
        <v>1.3963446969733921</v>
      </c>
    </row>
    <row r="675" spans="1:13" x14ac:dyDescent="0.25">
      <c r="A675" t="s">
        <v>1592</v>
      </c>
      <c r="B675" t="s">
        <v>47</v>
      </c>
      <c r="C675" t="s">
        <v>1593</v>
      </c>
      <c r="D675" t="s">
        <v>506</v>
      </c>
      <c r="E675" t="s">
        <v>49</v>
      </c>
      <c r="F675" t="s">
        <v>50</v>
      </c>
      <c r="H675">
        <v>1</v>
      </c>
      <c r="I675">
        <f t="shared" si="50"/>
        <v>2</v>
      </c>
      <c r="J675" s="2">
        <f t="shared" si="51"/>
        <v>0.48299999999999998</v>
      </c>
      <c r="K675">
        <f t="shared" si="52"/>
        <v>4.1407867494824018</v>
      </c>
      <c r="L675" t="str">
        <f t="shared" si="53"/>
        <v>Funded</v>
      </c>
      <c r="M675">
        <f t="shared" si="54"/>
        <v>1.4208858058895097</v>
      </c>
    </row>
    <row r="676" spans="1:13" x14ac:dyDescent="0.25">
      <c r="A676" t="s">
        <v>1594</v>
      </c>
      <c r="B676" t="s">
        <v>47</v>
      </c>
      <c r="C676" t="s">
        <v>1006</v>
      </c>
      <c r="D676" t="s">
        <v>1595</v>
      </c>
      <c r="E676" t="s">
        <v>10</v>
      </c>
      <c r="F676" t="s">
        <v>11</v>
      </c>
      <c r="H676">
        <v>1</v>
      </c>
      <c r="I676">
        <f t="shared" si="50"/>
        <v>2</v>
      </c>
      <c r="J676" s="2">
        <f t="shared" si="51"/>
        <v>0.41</v>
      </c>
      <c r="K676">
        <f t="shared" si="52"/>
        <v>4.8780487804878048</v>
      </c>
      <c r="L676" t="str">
        <f t="shared" si="53"/>
        <v>Funded</v>
      </c>
      <c r="M676">
        <f t="shared" si="54"/>
        <v>1.5847452998437288</v>
      </c>
    </row>
    <row r="677" spans="1:13" x14ac:dyDescent="0.25">
      <c r="A677" t="s">
        <v>1596</v>
      </c>
      <c r="B677" t="s">
        <v>47</v>
      </c>
      <c r="C677" t="s">
        <v>1597</v>
      </c>
      <c r="D677" t="s">
        <v>1598</v>
      </c>
      <c r="E677" t="s">
        <v>44</v>
      </c>
      <c r="F677" t="s">
        <v>21</v>
      </c>
      <c r="H677">
        <v>1</v>
      </c>
      <c r="I677">
        <f t="shared" si="50"/>
        <v>2</v>
      </c>
      <c r="J677" s="2">
        <f t="shared" si="51"/>
        <v>0.224</v>
      </c>
      <c r="K677">
        <f t="shared" si="52"/>
        <v>8.9285714285714288</v>
      </c>
      <c r="L677" t="str">
        <f t="shared" si="53"/>
        <v>Funded</v>
      </c>
      <c r="M677">
        <f t="shared" si="54"/>
        <v>2.1892564076870427</v>
      </c>
    </row>
    <row r="678" spans="1:13" x14ac:dyDescent="0.25">
      <c r="A678" t="s">
        <v>1599</v>
      </c>
      <c r="B678" t="s">
        <v>47</v>
      </c>
      <c r="C678" t="s">
        <v>1363</v>
      </c>
      <c r="D678" t="s">
        <v>292</v>
      </c>
      <c r="E678" t="s">
        <v>10</v>
      </c>
      <c r="F678" t="s">
        <v>11</v>
      </c>
      <c r="H678">
        <v>1</v>
      </c>
      <c r="I678">
        <f t="shared" si="50"/>
        <v>2</v>
      </c>
      <c r="J678" s="2">
        <f t="shared" si="51"/>
        <v>0.29299999999999998</v>
      </c>
      <c r="K678">
        <f t="shared" si="52"/>
        <v>6.8259385665529013</v>
      </c>
      <c r="L678" t="str">
        <f t="shared" si="53"/>
        <v>Funded</v>
      </c>
      <c r="M678">
        <f t="shared" si="54"/>
        <v>1.920729850525015</v>
      </c>
    </row>
    <row r="679" spans="1:13" x14ac:dyDescent="0.25">
      <c r="A679" t="s">
        <v>1600</v>
      </c>
      <c r="B679" t="s">
        <v>47</v>
      </c>
      <c r="C679" t="s">
        <v>623</v>
      </c>
      <c r="D679" t="s">
        <v>1601</v>
      </c>
      <c r="E679" t="s">
        <v>10</v>
      </c>
      <c r="F679" t="s">
        <v>11</v>
      </c>
      <c r="H679">
        <v>1</v>
      </c>
      <c r="I679">
        <f t="shared" si="50"/>
        <v>2</v>
      </c>
      <c r="J679" s="2">
        <f t="shared" si="51"/>
        <v>0.5</v>
      </c>
      <c r="K679">
        <f t="shared" si="52"/>
        <v>4</v>
      </c>
      <c r="L679" t="str">
        <f t="shared" si="53"/>
        <v>Funded</v>
      </c>
      <c r="M679">
        <f t="shared" si="54"/>
        <v>1.3862943611198906</v>
      </c>
    </row>
    <row r="680" spans="1:13" x14ac:dyDescent="0.25">
      <c r="A680" t="s">
        <v>1602</v>
      </c>
      <c r="B680" t="s">
        <v>47</v>
      </c>
      <c r="C680" t="s">
        <v>1603</v>
      </c>
      <c r="D680" t="s">
        <v>79</v>
      </c>
      <c r="E680" t="s">
        <v>10</v>
      </c>
      <c r="F680" t="s">
        <v>11</v>
      </c>
      <c r="H680">
        <v>1</v>
      </c>
      <c r="I680">
        <f t="shared" si="50"/>
        <v>2</v>
      </c>
      <c r="J680" s="2">
        <f t="shared" si="51"/>
        <v>0.218</v>
      </c>
      <c r="K680">
        <f t="shared" si="52"/>
        <v>9.1743119266055047</v>
      </c>
      <c r="L680" t="str">
        <f t="shared" si="53"/>
        <v>Funded</v>
      </c>
      <c r="M680">
        <f t="shared" si="54"/>
        <v>2.2164073967529934</v>
      </c>
    </row>
    <row r="681" spans="1:13" x14ac:dyDescent="0.25">
      <c r="A681" t="s">
        <v>1604</v>
      </c>
      <c r="B681" t="s">
        <v>47</v>
      </c>
      <c r="C681" t="s">
        <v>891</v>
      </c>
      <c r="D681" t="s">
        <v>1605</v>
      </c>
      <c r="E681" t="s">
        <v>326</v>
      </c>
      <c r="F681" t="s">
        <v>21</v>
      </c>
      <c r="H681">
        <v>1</v>
      </c>
      <c r="I681">
        <f t="shared" si="50"/>
        <v>2</v>
      </c>
      <c r="J681" s="2">
        <f t="shared" si="51"/>
        <v>0.434</v>
      </c>
      <c r="K681">
        <f t="shared" si="52"/>
        <v>4.6082949308755765</v>
      </c>
      <c r="L681" t="str">
        <f t="shared" si="53"/>
        <v>Funded</v>
      </c>
      <c r="M681">
        <f t="shared" si="54"/>
        <v>1.5278579254416775</v>
      </c>
    </row>
    <row r="682" spans="1:13" x14ac:dyDescent="0.25">
      <c r="A682" t="s">
        <v>1606</v>
      </c>
      <c r="B682" t="s">
        <v>47</v>
      </c>
      <c r="C682" t="s">
        <v>436</v>
      </c>
      <c r="D682" t="s">
        <v>1607</v>
      </c>
      <c r="E682" t="s">
        <v>20</v>
      </c>
      <c r="F682" t="s">
        <v>21</v>
      </c>
      <c r="H682">
        <v>1</v>
      </c>
      <c r="I682">
        <f t="shared" si="50"/>
        <v>2</v>
      </c>
      <c r="J682" s="2">
        <f t="shared" si="51"/>
        <v>0.55200000000000005</v>
      </c>
      <c r="K682">
        <f t="shared" si="52"/>
        <v>3.6231884057971011</v>
      </c>
      <c r="L682" t="str">
        <f t="shared" si="53"/>
        <v>Funded</v>
      </c>
      <c r="M682">
        <f t="shared" si="54"/>
        <v>1.287354413264987</v>
      </c>
    </row>
    <row r="683" spans="1:13" x14ac:dyDescent="0.25">
      <c r="A683" t="s">
        <v>1608</v>
      </c>
      <c r="B683" t="s">
        <v>47</v>
      </c>
      <c r="C683" t="s">
        <v>1609</v>
      </c>
      <c r="D683" t="s">
        <v>752</v>
      </c>
      <c r="E683" t="s">
        <v>20</v>
      </c>
      <c r="F683" t="s">
        <v>21</v>
      </c>
      <c r="H683">
        <v>1</v>
      </c>
      <c r="I683">
        <f t="shared" si="50"/>
        <v>2</v>
      </c>
      <c r="J683" s="2">
        <f t="shared" si="51"/>
        <v>0.216</v>
      </c>
      <c r="K683">
        <f t="shared" si="52"/>
        <v>9.2592592592592595</v>
      </c>
      <c r="L683" t="str">
        <f t="shared" si="53"/>
        <v>Funded</v>
      </c>
      <c r="M683">
        <f t="shared" si="54"/>
        <v>2.2256240518579173</v>
      </c>
    </row>
    <row r="684" spans="1:13" x14ac:dyDescent="0.25">
      <c r="A684" t="s">
        <v>1610</v>
      </c>
      <c r="B684" t="s">
        <v>47</v>
      </c>
      <c r="C684" t="s">
        <v>1611</v>
      </c>
      <c r="D684" t="s">
        <v>1612</v>
      </c>
      <c r="E684" t="s">
        <v>10</v>
      </c>
      <c r="F684" t="s">
        <v>11</v>
      </c>
      <c r="H684">
        <v>1</v>
      </c>
      <c r="I684">
        <f t="shared" si="50"/>
        <v>2</v>
      </c>
      <c r="J684" s="2">
        <f t="shared" si="51"/>
        <v>0.93100000000000005</v>
      </c>
      <c r="K684">
        <f t="shared" si="52"/>
        <v>2.1482277121374866</v>
      </c>
      <c r="L684" t="str">
        <f t="shared" si="53"/>
        <v>Funded</v>
      </c>
      <c r="M684">
        <f t="shared" si="54"/>
        <v>0.76464318226501538</v>
      </c>
    </row>
    <row r="685" spans="1:13" x14ac:dyDescent="0.25">
      <c r="A685" t="s">
        <v>1613</v>
      </c>
      <c r="B685" t="s">
        <v>47</v>
      </c>
      <c r="C685" t="s">
        <v>783</v>
      </c>
      <c r="D685" t="s">
        <v>254</v>
      </c>
      <c r="E685" t="s">
        <v>20</v>
      </c>
      <c r="F685" t="s">
        <v>21</v>
      </c>
      <c r="H685">
        <v>1</v>
      </c>
      <c r="I685">
        <f t="shared" si="50"/>
        <v>2</v>
      </c>
      <c r="J685" s="2">
        <f t="shared" si="51"/>
        <v>0.61399999999999999</v>
      </c>
      <c r="K685">
        <f t="shared" si="52"/>
        <v>3.2573289902280131</v>
      </c>
      <c r="L685" t="str">
        <f t="shared" si="53"/>
        <v>Funded</v>
      </c>
      <c r="M685">
        <f t="shared" si="54"/>
        <v>1.18090753139494</v>
      </c>
    </row>
    <row r="686" spans="1:13" x14ac:dyDescent="0.25">
      <c r="A686" t="s">
        <v>1614</v>
      </c>
      <c r="B686" t="s">
        <v>47</v>
      </c>
      <c r="C686" t="s">
        <v>1615</v>
      </c>
      <c r="D686" t="s">
        <v>66</v>
      </c>
      <c r="E686" t="s">
        <v>10</v>
      </c>
      <c r="F686" t="s">
        <v>11</v>
      </c>
      <c r="H686">
        <v>1</v>
      </c>
      <c r="I686">
        <f t="shared" si="50"/>
        <v>2</v>
      </c>
      <c r="J686" s="2">
        <f t="shared" si="51"/>
        <v>0.373</v>
      </c>
      <c r="K686">
        <f t="shared" si="52"/>
        <v>5.3619302949061662</v>
      </c>
      <c r="L686" t="str">
        <f t="shared" si="53"/>
        <v>Funded</v>
      </c>
      <c r="M686">
        <f t="shared" si="54"/>
        <v>1.6793240398982667</v>
      </c>
    </row>
    <row r="687" spans="1:13" x14ac:dyDescent="0.25">
      <c r="A687" t="s">
        <v>1616</v>
      </c>
      <c r="B687" t="s">
        <v>47</v>
      </c>
      <c r="C687" t="s">
        <v>1609</v>
      </c>
      <c r="D687" t="s">
        <v>1617</v>
      </c>
      <c r="E687" t="s">
        <v>20</v>
      </c>
      <c r="F687" t="s">
        <v>21</v>
      </c>
      <c r="H687">
        <v>1</v>
      </c>
      <c r="I687">
        <f t="shared" si="50"/>
        <v>2</v>
      </c>
      <c r="J687" s="2">
        <f t="shared" si="51"/>
        <v>0.216</v>
      </c>
      <c r="K687">
        <f t="shared" si="52"/>
        <v>9.2592592592592595</v>
      </c>
      <c r="L687" t="str">
        <f t="shared" si="53"/>
        <v>Funded</v>
      </c>
      <c r="M687">
        <f t="shared" si="54"/>
        <v>2.2256240518579173</v>
      </c>
    </row>
    <row r="688" spans="1:13" x14ac:dyDescent="0.25">
      <c r="A688" t="s">
        <v>1618</v>
      </c>
      <c r="B688" t="s">
        <v>47</v>
      </c>
      <c r="C688" t="s">
        <v>1619</v>
      </c>
      <c r="D688" t="s">
        <v>1620</v>
      </c>
      <c r="E688" t="s">
        <v>20</v>
      </c>
      <c r="F688" t="s">
        <v>21</v>
      </c>
      <c r="H688">
        <v>1</v>
      </c>
      <c r="I688">
        <f t="shared" si="50"/>
        <v>2</v>
      </c>
      <c r="J688" s="2">
        <f t="shared" si="51"/>
        <v>0.111</v>
      </c>
      <c r="K688">
        <f t="shared" si="52"/>
        <v>18.018018018018019</v>
      </c>
      <c r="L688" t="str">
        <f t="shared" si="53"/>
        <v>Funded</v>
      </c>
      <c r="M688">
        <f t="shared" si="54"/>
        <v>2.8913722582297483</v>
      </c>
    </row>
    <row r="689" spans="1:13" x14ac:dyDescent="0.25">
      <c r="A689" t="s">
        <v>1621</v>
      </c>
      <c r="B689" t="s">
        <v>47</v>
      </c>
      <c r="C689" s="1">
        <v>0</v>
      </c>
      <c r="D689" t="s">
        <v>302</v>
      </c>
      <c r="E689" t="s">
        <v>10</v>
      </c>
      <c r="F689" t="s">
        <v>11</v>
      </c>
      <c r="H689">
        <v>1</v>
      </c>
      <c r="I689">
        <f t="shared" si="50"/>
        <v>2</v>
      </c>
      <c r="J689" s="2">
        <f t="shared" si="51"/>
        <v>0</v>
      </c>
      <c r="K689" t="str">
        <f t="shared" si="52"/>
        <v/>
      </c>
      <c r="L689" t="str">
        <f t="shared" si="53"/>
        <v>Bootstrapped</v>
      </c>
      <c r="M689" t="str">
        <f t="shared" si="54"/>
        <v/>
      </c>
    </row>
    <row r="690" spans="1:13" x14ac:dyDescent="0.25">
      <c r="A690" t="s">
        <v>1622</v>
      </c>
      <c r="B690" t="s">
        <v>47</v>
      </c>
      <c r="C690" t="s">
        <v>645</v>
      </c>
      <c r="D690" t="s">
        <v>1623</v>
      </c>
      <c r="E690" t="s">
        <v>20</v>
      </c>
      <c r="F690" t="s">
        <v>21</v>
      </c>
      <c r="H690">
        <v>1</v>
      </c>
      <c r="I690">
        <f t="shared" si="50"/>
        <v>2</v>
      </c>
      <c r="J690" s="2">
        <f t="shared" si="51"/>
        <v>0.2</v>
      </c>
      <c r="K690">
        <f t="shared" si="52"/>
        <v>10</v>
      </c>
      <c r="L690" t="str">
        <f t="shared" si="53"/>
        <v>Funded</v>
      </c>
      <c r="M690">
        <f t="shared" si="54"/>
        <v>2.3025850929940459</v>
      </c>
    </row>
    <row r="691" spans="1:13" x14ac:dyDescent="0.25">
      <c r="A691" t="s">
        <v>1624</v>
      </c>
      <c r="B691" t="s">
        <v>47</v>
      </c>
      <c r="C691" t="s">
        <v>1058</v>
      </c>
      <c r="D691" t="s">
        <v>1496</v>
      </c>
      <c r="E691" t="s">
        <v>384</v>
      </c>
      <c r="F691" t="s">
        <v>21</v>
      </c>
      <c r="H691">
        <v>1</v>
      </c>
      <c r="I691">
        <f t="shared" si="50"/>
        <v>2</v>
      </c>
      <c r="J691" s="2">
        <f t="shared" si="51"/>
        <v>0.35099999999999998</v>
      </c>
      <c r="K691">
        <f t="shared" si="52"/>
        <v>5.6980056980056988</v>
      </c>
      <c r="L691" t="str">
        <f t="shared" si="53"/>
        <v>Funded</v>
      </c>
      <c r="M691">
        <f t="shared" si="54"/>
        <v>1.7401162360762168</v>
      </c>
    </row>
    <row r="692" spans="1:13" x14ac:dyDescent="0.25">
      <c r="A692" t="s">
        <v>1625</v>
      </c>
      <c r="B692" t="s">
        <v>47</v>
      </c>
      <c r="C692" t="s">
        <v>1626</v>
      </c>
      <c r="D692" t="s">
        <v>1627</v>
      </c>
      <c r="E692" t="s">
        <v>365</v>
      </c>
      <c r="F692" t="s">
        <v>11</v>
      </c>
      <c r="H692">
        <v>1</v>
      </c>
      <c r="I692">
        <f t="shared" si="50"/>
        <v>2</v>
      </c>
      <c r="J692" s="2">
        <f t="shared" si="51"/>
        <v>0.49399999999999999</v>
      </c>
      <c r="K692">
        <f t="shared" si="52"/>
        <v>4.048582995951417</v>
      </c>
      <c r="L692" t="str">
        <f t="shared" si="53"/>
        <v>Funded</v>
      </c>
      <c r="M692">
        <f t="shared" si="54"/>
        <v>1.3983669423541598</v>
      </c>
    </row>
    <row r="693" spans="1:13" x14ac:dyDescent="0.25">
      <c r="A693" t="s">
        <v>1628</v>
      </c>
      <c r="B693" t="s">
        <v>47</v>
      </c>
      <c r="C693" t="s">
        <v>966</v>
      </c>
      <c r="D693" t="s">
        <v>1629</v>
      </c>
      <c r="E693" t="s">
        <v>170</v>
      </c>
      <c r="F693" t="s">
        <v>50</v>
      </c>
      <c r="H693">
        <v>1</v>
      </c>
      <c r="I693">
        <f t="shared" si="50"/>
        <v>2</v>
      </c>
      <c r="J693" s="2">
        <f t="shared" si="51"/>
        <v>0.58799999999999997</v>
      </c>
      <c r="K693">
        <f t="shared" si="52"/>
        <v>3.4013605442176873</v>
      </c>
      <c r="L693" t="str">
        <f t="shared" si="53"/>
        <v>Funded</v>
      </c>
      <c r="M693">
        <f t="shared" si="54"/>
        <v>1.2241755116434556</v>
      </c>
    </row>
    <row r="694" spans="1:13" x14ac:dyDescent="0.25">
      <c r="A694" t="s">
        <v>1630</v>
      </c>
      <c r="B694" t="s">
        <v>47</v>
      </c>
      <c r="C694" t="s">
        <v>1631</v>
      </c>
      <c r="D694" t="s">
        <v>1632</v>
      </c>
      <c r="E694" t="s">
        <v>49</v>
      </c>
      <c r="F694" t="s">
        <v>50</v>
      </c>
      <c r="H694">
        <v>1</v>
      </c>
      <c r="I694">
        <f t="shared" si="50"/>
        <v>2</v>
      </c>
      <c r="J694" s="2">
        <f t="shared" si="51"/>
        <v>0.59</v>
      </c>
      <c r="K694">
        <f t="shared" si="52"/>
        <v>3.3898305084745766</v>
      </c>
      <c r="L694" t="str">
        <f t="shared" si="53"/>
        <v>Funded</v>
      </c>
      <c r="M694">
        <f t="shared" si="54"/>
        <v>1.2207799226423173</v>
      </c>
    </row>
    <row r="695" spans="1:13" x14ac:dyDescent="0.25">
      <c r="A695" t="s">
        <v>1633</v>
      </c>
      <c r="B695" t="s">
        <v>47</v>
      </c>
      <c r="C695" t="s">
        <v>1634</v>
      </c>
      <c r="D695" t="s">
        <v>955</v>
      </c>
      <c r="E695" t="s">
        <v>10</v>
      </c>
      <c r="F695" t="s">
        <v>11</v>
      </c>
      <c r="H695">
        <v>1</v>
      </c>
      <c r="I695">
        <f t="shared" si="50"/>
        <v>2</v>
      </c>
      <c r="J695" s="2">
        <f t="shared" si="51"/>
        <v>0.51</v>
      </c>
      <c r="K695">
        <f t="shared" si="52"/>
        <v>3.9215686274509802</v>
      </c>
      <c r="L695" t="str">
        <f t="shared" si="53"/>
        <v>Funded</v>
      </c>
      <c r="M695">
        <f t="shared" si="54"/>
        <v>1.3664917338237108</v>
      </c>
    </row>
    <row r="696" spans="1:13" x14ac:dyDescent="0.25">
      <c r="A696" t="s">
        <v>1635</v>
      </c>
      <c r="B696" t="s">
        <v>47</v>
      </c>
      <c r="C696" t="s">
        <v>1038</v>
      </c>
      <c r="D696" t="s">
        <v>1636</v>
      </c>
      <c r="E696" t="s">
        <v>10</v>
      </c>
      <c r="F696" t="s">
        <v>11</v>
      </c>
      <c r="H696">
        <v>1</v>
      </c>
      <c r="I696">
        <f t="shared" si="50"/>
        <v>2</v>
      </c>
      <c r="J696" s="2">
        <f t="shared" si="51"/>
        <v>0.64200000000000002</v>
      </c>
      <c r="K696">
        <f t="shared" si="52"/>
        <v>3.1152647975077881</v>
      </c>
      <c r="L696" t="str">
        <f t="shared" si="53"/>
        <v>Funded</v>
      </c>
      <c r="M696">
        <f t="shared" si="54"/>
        <v>1.1363141558521213</v>
      </c>
    </row>
    <row r="697" spans="1:13" x14ac:dyDescent="0.25">
      <c r="A697" t="s">
        <v>1637</v>
      </c>
      <c r="B697" t="s">
        <v>47</v>
      </c>
      <c r="C697" t="s">
        <v>1638</v>
      </c>
      <c r="D697" t="s">
        <v>1639</v>
      </c>
      <c r="E697" t="s">
        <v>10</v>
      </c>
      <c r="F697" t="s">
        <v>11</v>
      </c>
      <c r="H697">
        <v>1</v>
      </c>
      <c r="I697">
        <f t="shared" si="50"/>
        <v>2</v>
      </c>
      <c r="J697" s="2">
        <f t="shared" si="51"/>
        <v>0.39</v>
      </c>
      <c r="K697">
        <f t="shared" si="52"/>
        <v>5.1282051282051277</v>
      </c>
      <c r="L697" t="str">
        <f t="shared" si="53"/>
        <v>Funded</v>
      </c>
      <c r="M697">
        <f t="shared" si="54"/>
        <v>1.6347557204183902</v>
      </c>
    </row>
    <row r="698" spans="1:13" x14ac:dyDescent="0.25">
      <c r="A698" t="s">
        <v>1640</v>
      </c>
      <c r="B698" t="s">
        <v>47</v>
      </c>
      <c r="C698" t="s">
        <v>1641</v>
      </c>
      <c r="D698" t="s">
        <v>1642</v>
      </c>
      <c r="E698" t="s">
        <v>10</v>
      </c>
      <c r="F698" t="s">
        <v>11</v>
      </c>
      <c r="H698">
        <v>1</v>
      </c>
      <c r="I698">
        <f t="shared" si="50"/>
        <v>2</v>
      </c>
      <c r="J698" s="2">
        <f t="shared" si="51"/>
        <v>0.33900000000000002</v>
      </c>
      <c r="K698">
        <f t="shared" si="52"/>
        <v>5.8997050147492622</v>
      </c>
      <c r="L698" t="str">
        <f t="shared" si="53"/>
        <v>Funded</v>
      </c>
      <c r="M698">
        <f t="shared" si="54"/>
        <v>1.7749023521616321</v>
      </c>
    </row>
    <row r="699" spans="1:13" x14ac:dyDescent="0.25">
      <c r="A699" t="s">
        <v>1643</v>
      </c>
      <c r="B699" t="s">
        <v>47</v>
      </c>
      <c r="C699" t="s">
        <v>1609</v>
      </c>
      <c r="D699" t="s">
        <v>1644</v>
      </c>
      <c r="E699" t="s">
        <v>10</v>
      </c>
      <c r="F699" t="s">
        <v>11</v>
      </c>
      <c r="H699">
        <v>1</v>
      </c>
      <c r="I699">
        <f t="shared" si="50"/>
        <v>2</v>
      </c>
      <c r="J699" s="2">
        <f t="shared" si="51"/>
        <v>0.216</v>
      </c>
      <c r="K699">
        <f t="shared" si="52"/>
        <v>9.2592592592592595</v>
      </c>
      <c r="L699" t="str">
        <f t="shared" si="53"/>
        <v>Funded</v>
      </c>
      <c r="M699">
        <f t="shared" si="54"/>
        <v>2.2256240518579173</v>
      </c>
    </row>
    <row r="700" spans="1:13" x14ac:dyDescent="0.25">
      <c r="A700" t="s">
        <v>1645</v>
      </c>
      <c r="B700" t="s">
        <v>47</v>
      </c>
      <c r="C700" t="s">
        <v>1646</v>
      </c>
      <c r="D700" t="s">
        <v>1647</v>
      </c>
      <c r="E700" t="s">
        <v>10</v>
      </c>
      <c r="F700" t="s">
        <v>11</v>
      </c>
      <c r="H700">
        <v>1</v>
      </c>
      <c r="I700">
        <f t="shared" si="50"/>
        <v>2</v>
      </c>
      <c r="J700" s="2">
        <f t="shared" si="51"/>
        <v>0.41799999999999998</v>
      </c>
      <c r="K700">
        <f t="shared" si="52"/>
        <v>4.7846889952153111</v>
      </c>
      <c r="L700" t="str">
        <f t="shared" si="53"/>
        <v>Funded</v>
      </c>
      <c r="M700">
        <f t="shared" si="54"/>
        <v>1.5654210270173261</v>
      </c>
    </row>
    <row r="701" spans="1:13" x14ac:dyDescent="0.25">
      <c r="A701" t="s">
        <v>1648</v>
      </c>
      <c r="B701" t="s">
        <v>47</v>
      </c>
      <c r="C701" t="s">
        <v>691</v>
      </c>
      <c r="D701" t="s">
        <v>448</v>
      </c>
      <c r="E701" t="s">
        <v>10</v>
      </c>
      <c r="F701" t="s">
        <v>11</v>
      </c>
      <c r="H701">
        <v>1</v>
      </c>
      <c r="I701">
        <f t="shared" si="50"/>
        <v>2</v>
      </c>
      <c r="J701" s="2">
        <f t="shared" si="51"/>
        <v>0.48099999999999998</v>
      </c>
      <c r="K701">
        <f t="shared" si="52"/>
        <v>4.1580041580041582</v>
      </c>
      <c r="L701" t="str">
        <f t="shared" si="53"/>
        <v>Funded</v>
      </c>
      <c r="M701">
        <f t="shared" si="54"/>
        <v>1.4250351894363211</v>
      </c>
    </row>
    <row r="702" spans="1:13" x14ac:dyDescent="0.25">
      <c r="A702" t="s">
        <v>1649</v>
      </c>
      <c r="B702" t="s">
        <v>47</v>
      </c>
      <c r="C702" t="s">
        <v>1650</v>
      </c>
      <c r="D702" t="s">
        <v>1651</v>
      </c>
      <c r="E702" t="s">
        <v>49</v>
      </c>
      <c r="F702" t="s">
        <v>50</v>
      </c>
      <c r="H702">
        <v>1</v>
      </c>
      <c r="I702">
        <f t="shared" si="50"/>
        <v>2</v>
      </c>
      <c r="J702" s="2">
        <f t="shared" si="51"/>
        <v>0.161</v>
      </c>
      <c r="K702">
        <f t="shared" si="52"/>
        <v>12.422360248447205</v>
      </c>
      <c r="L702" t="str">
        <f t="shared" si="53"/>
        <v>Funded</v>
      </c>
      <c r="M702">
        <f t="shared" si="54"/>
        <v>2.5194980945576195</v>
      </c>
    </row>
    <row r="703" spans="1:13" x14ac:dyDescent="0.25">
      <c r="A703" t="s">
        <v>1652</v>
      </c>
      <c r="B703" t="s">
        <v>47</v>
      </c>
      <c r="C703" t="s">
        <v>1653</v>
      </c>
      <c r="D703" t="s">
        <v>177</v>
      </c>
      <c r="E703" t="s">
        <v>1035</v>
      </c>
      <c r="F703" t="s">
        <v>21</v>
      </c>
      <c r="H703">
        <v>1</v>
      </c>
      <c r="I703">
        <f t="shared" si="50"/>
        <v>2</v>
      </c>
      <c r="J703" s="2">
        <f t="shared" si="51"/>
        <v>0.77200000000000002</v>
      </c>
      <c r="K703">
        <f t="shared" si="52"/>
        <v>2.5906735751295336</v>
      </c>
      <c r="L703" t="str">
        <f t="shared" si="53"/>
        <v>Funded</v>
      </c>
      <c r="M703">
        <f t="shared" si="54"/>
        <v>0.95191790951730615</v>
      </c>
    </row>
    <row r="704" spans="1:13" x14ac:dyDescent="0.25">
      <c r="A704" t="s">
        <v>1654</v>
      </c>
      <c r="B704" t="s">
        <v>47</v>
      </c>
      <c r="C704" t="s">
        <v>1655</v>
      </c>
      <c r="D704" t="s">
        <v>1656</v>
      </c>
      <c r="E704" t="s">
        <v>1657</v>
      </c>
      <c r="F704" t="s">
        <v>50</v>
      </c>
      <c r="H704">
        <v>1</v>
      </c>
      <c r="I704">
        <f t="shared" si="50"/>
        <v>2</v>
      </c>
      <c r="J704" s="2">
        <f t="shared" si="51"/>
        <v>0.35199999999999998</v>
      </c>
      <c r="K704">
        <f t="shared" si="52"/>
        <v>5.6818181818181825</v>
      </c>
      <c r="L704" t="str">
        <f t="shared" si="53"/>
        <v>Funded</v>
      </c>
      <c r="M704">
        <f t="shared" si="54"/>
        <v>1.7372712839439854</v>
      </c>
    </row>
    <row r="705" spans="1:13" x14ac:dyDescent="0.25">
      <c r="A705" t="s">
        <v>1658</v>
      </c>
      <c r="B705" t="s">
        <v>47</v>
      </c>
      <c r="C705" t="s">
        <v>1205</v>
      </c>
      <c r="D705" t="s">
        <v>316</v>
      </c>
      <c r="E705" t="s">
        <v>10</v>
      </c>
      <c r="F705" t="s">
        <v>11</v>
      </c>
      <c r="H705">
        <v>1</v>
      </c>
      <c r="I705">
        <f t="shared" si="50"/>
        <v>2</v>
      </c>
      <c r="J705" s="2">
        <f t="shared" si="51"/>
        <v>0.3</v>
      </c>
      <c r="K705">
        <f t="shared" si="52"/>
        <v>6.666666666666667</v>
      </c>
      <c r="L705" t="str">
        <f t="shared" si="53"/>
        <v>Funded</v>
      </c>
      <c r="M705">
        <f t="shared" si="54"/>
        <v>1.8971199848858813</v>
      </c>
    </row>
    <row r="706" spans="1:13" x14ac:dyDescent="0.25">
      <c r="A706" t="s">
        <v>1659</v>
      </c>
      <c r="B706" t="s">
        <v>47</v>
      </c>
      <c r="C706" t="s">
        <v>1402</v>
      </c>
      <c r="D706" t="s">
        <v>1282</v>
      </c>
      <c r="E706" t="s">
        <v>10</v>
      </c>
      <c r="F706" t="s">
        <v>11</v>
      </c>
      <c r="H706">
        <v>1</v>
      </c>
      <c r="I706">
        <f t="shared" si="50"/>
        <v>2</v>
      </c>
      <c r="J706" s="2">
        <f t="shared" si="51"/>
        <v>0.371</v>
      </c>
      <c r="K706">
        <f t="shared" si="52"/>
        <v>5.3908355795148246</v>
      </c>
      <c r="L706" t="str">
        <f t="shared" si="53"/>
        <v>Funded</v>
      </c>
      <c r="M706">
        <f t="shared" si="54"/>
        <v>1.6847003969346472</v>
      </c>
    </row>
    <row r="707" spans="1:13" x14ac:dyDescent="0.25">
      <c r="A707" t="s">
        <v>1660</v>
      </c>
      <c r="B707" t="s">
        <v>47</v>
      </c>
      <c r="C707" t="s">
        <v>1390</v>
      </c>
      <c r="D707" t="s">
        <v>1661</v>
      </c>
      <c r="E707" t="s">
        <v>10</v>
      </c>
      <c r="F707" t="s">
        <v>11</v>
      </c>
      <c r="H707">
        <v>1</v>
      </c>
      <c r="I707">
        <f t="shared" ref="I707:I770" si="55">IF(B707="","",
VALUE(SUBSTITUTE(SUBSTITUTE(B707,"$",""),"B","")))</f>
        <v>2</v>
      </c>
      <c r="J707" s="2">
        <f t="shared" ref="J707:J770" si="56">IF(C707="","",
IF(C707="$0",0,
IF(RIGHT(C707,1)="B",
VALUE(SUBSTITUTE(SUBSTITUTE(C707,"$",""),"B","")),
IF(RIGHT(C707,1)="M",
VALUE(SUBSTITUTE(SUBSTITUTE(C707,"$",""),"M",""))/1000,
IF(RIGHT(C707,1)="K",
VALUE(SUBSTITUTE(SUBSTITUTE(C707,"$",""),"K",""))/1000000,
VALUE(SUBSTITUTE(C707,"$",""))
)))))</f>
        <v>0.315</v>
      </c>
      <c r="K707">
        <f t="shared" ref="K707:K770" si="57">IF(J707&gt;0,I707/J707,"")</f>
        <v>6.3492063492063489</v>
      </c>
      <c r="L707" t="str">
        <f t="shared" ref="L707:L770" si="58">IF(J707=0,"Bootstrapped","Funded")</f>
        <v>Funded</v>
      </c>
      <c r="M707">
        <f t="shared" ref="M707:M770" si="59">IF(AND(I707&gt;0,J707&gt;0),LN(I707/J707),"")</f>
        <v>1.8483298207164491</v>
      </c>
    </row>
    <row r="708" spans="1:13" x14ac:dyDescent="0.25">
      <c r="A708" t="s">
        <v>1662</v>
      </c>
      <c r="B708" t="s">
        <v>47</v>
      </c>
      <c r="C708" t="s">
        <v>1663</v>
      </c>
      <c r="D708" t="s">
        <v>1664</v>
      </c>
      <c r="E708" t="s">
        <v>10</v>
      </c>
      <c r="F708" t="s">
        <v>11</v>
      </c>
      <c r="H708">
        <v>1</v>
      </c>
      <c r="I708">
        <f t="shared" si="55"/>
        <v>2</v>
      </c>
      <c r="J708" s="2">
        <f t="shared" si="56"/>
        <v>0.40500000000000003</v>
      </c>
      <c r="K708">
        <f t="shared" si="57"/>
        <v>4.9382716049382713</v>
      </c>
      <c r="L708" t="str">
        <f t="shared" si="58"/>
        <v>Funded</v>
      </c>
      <c r="M708">
        <f t="shared" si="59"/>
        <v>1.5970153924355432</v>
      </c>
    </row>
    <row r="709" spans="1:13" x14ac:dyDescent="0.25">
      <c r="A709" t="s">
        <v>1665</v>
      </c>
      <c r="B709" t="s">
        <v>47</v>
      </c>
      <c r="C709" t="s">
        <v>1650</v>
      </c>
      <c r="D709" t="s">
        <v>1666</v>
      </c>
      <c r="E709" t="s">
        <v>445</v>
      </c>
      <c r="F709" t="s">
        <v>50</v>
      </c>
      <c r="H709">
        <v>1</v>
      </c>
      <c r="I709">
        <f t="shared" si="55"/>
        <v>2</v>
      </c>
      <c r="J709" s="2">
        <f t="shared" si="56"/>
        <v>0.161</v>
      </c>
      <c r="K709">
        <f t="shared" si="57"/>
        <v>12.422360248447205</v>
      </c>
      <c r="L709" t="str">
        <f t="shared" si="58"/>
        <v>Funded</v>
      </c>
      <c r="M709">
        <f t="shared" si="59"/>
        <v>2.5194980945576195</v>
      </c>
    </row>
    <row r="710" spans="1:13" x14ac:dyDescent="0.25">
      <c r="A710" t="s">
        <v>1667</v>
      </c>
      <c r="B710" t="s">
        <v>47</v>
      </c>
      <c r="C710" t="s">
        <v>1668</v>
      </c>
      <c r="D710" t="s">
        <v>1669</v>
      </c>
      <c r="E710" t="s">
        <v>10</v>
      </c>
      <c r="F710" t="s">
        <v>11</v>
      </c>
      <c r="H710">
        <v>1</v>
      </c>
      <c r="I710">
        <f t="shared" si="55"/>
        <v>2</v>
      </c>
      <c r="J710" s="2">
        <f t="shared" si="56"/>
        <v>0.108</v>
      </c>
      <c r="K710">
        <f t="shared" si="57"/>
        <v>18.518518518518519</v>
      </c>
      <c r="L710" t="str">
        <f t="shared" si="58"/>
        <v>Funded</v>
      </c>
      <c r="M710">
        <f t="shared" si="59"/>
        <v>2.9187712324178627</v>
      </c>
    </row>
    <row r="711" spans="1:13" x14ac:dyDescent="0.25">
      <c r="A711" t="s">
        <v>1670</v>
      </c>
      <c r="B711" t="s">
        <v>47</v>
      </c>
      <c r="C711" t="s">
        <v>125</v>
      </c>
      <c r="D711" t="s">
        <v>1671</v>
      </c>
      <c r="E711" t="s">
        <v>10</v>
      </c>
      <c r="F711" t="s">
        <v>11</v>
      </c>
      <c r="H711">
        <v>1</v>
      </c>
      <c r="I711">
        <f t="shared" si="55"/>
        <v>2</v>
      </c>
      <c r="J711" s="2">
        <f t="shared" si="56"/>
        <v>1</v>
      </c>
      <c r="K711">
        <f t="shared" si="57"/>
        <v>2</v>
      </c>
      <c r="L711" t="str">
        <f t="shared" si="58"/>
        <v>Funded</v>
      </c>
      <c r="M711">
        <f t="shared" si="59"/>
        <v>0.69314718055994529</v>
      </c>
    </row>
    <row r="712" spans="1:13" x14ac:dyDescent="0.25">
      <c r="A712" t="s">
        <v>1672</v>
      </c>
      <c r="B712" t="s">
        <v>47</v>
      </c>
      <c r="C712" t="s">
        <v>849</v>
      </c>
      <c r="D712" t="s">
        <v>29</v>
      </c>
      <c r="E712" t="s">
        <v>20</v>
      </c>
      <c r="F712" t="s">
        <v>21</v>
      </c>
      <c r="H712">
        <v>1</v>
      </c>
      <c r="I712">
        <f t="shared" si="55"/>
        <v>2</v>
      </c>
      <c r="J712" s="2">
        <f t="shared" si="56"/>
        <v>0.8</v>
      </c>
      <c r="K712">
        <f t="shared" si="57"/>
        <v>2.5</v>
      </c>
      <c r="L712" t="str">
        <f t="shared" si="58"/>
        <v>Funded</v>
      </c>
      <c r="M712">
        <f t="shared" si="59"/>
        <v>0.91629073187415511</v>
      </c>
    </row>
    <row r="713" spans="1:13" x14ac:dyDescent="0.25">
      <c r="A713" t="s">
        <v>1673</v>
      </c>
      <c r="B713" t="s">
        <v>47</v>
      </c>
      <c r="C713" t="s">
        <v>1674</v>
      </c>
      <c r="D713" t="s">
        <v>1675</v>
      </c>
      <c r="E713" t="s">
        <v>10</v>
      </c>
      <c r="F713" t="s">
        <v>11</v>
      </c>
      <c r="H713">
        <v>1</v>
      </c>
      <c r="I713">
        <f t="shared" si="55"/>
        <v>2</v>
      </c>
      <c r="J713" s="2">
        <f t="shared" si="56"/>
        <v>0.42899999999999999</v>
      </c>
      <c r="K713">
        <f t="shared" si="57"/>
        <v>4.6620046620046622</v>
      </c>
      <c r="L713" t="str">
        <f t="shared" si="58"/>
        <v>Funded</v>
      </c>
      <c r="M713">
        <f t="shared" si="59"/>
        <v>1.5394455406140655</v>
      </c>
    </row>
    <row r="714" spans="1:13" x14ac:dyDescent="0.25">
      <c r="A714" t="s">
        <v>1676</v>
      </c>
      <c r="B714" t="s">
        <v>47</v>
      </c>
      <c r="C714" t="s">
        <v>1677</v>
      </c>
      <c r="D714" t="s">
        <v>1678</v>
      </c>
      <c r="E714" t="s">
        <v>10</v>
      </c>
      <c r="F714" t="s">
        <v>11</v>
      </c>
      <c r="H714">
        <v>1</v>
      </c>
      <c r="I714">
        <f t="shared" si="55"/>
        <v>2</v>
      </c>
      <c r="J714" s="2">
        <f t="shared" si="56"/>
        <v>0.32800000000000001</v>
      </c>
      <c r="K714">
        <f t="shared" si="57"/>
        <v>6.0975609756097562</v>
      </c>
      <c r="L714" t="str">
        <f t="shared" si="58"/>
        <v>Funded</v>
      </c>
      <c r="M714">
        <f t="shared" si="59"/>
        <v>1.8078888511579387</v>
      </c>
    </row>
    <row r="715" spans="1:13" x14ac:dyDescent="0.25">
      <c r="A715" t="s">
        <v>1679</v>
      </c>
      <c r="B715" t="s">
        <v>47</v>
      </c>
      <c r="C715" t="s">
        <v>983</v>
      </c>
      <c r="D715" t="s">
        <v>1680</v>
      </c>
      <c r="E715" t="s">
        <v>170</v>
      </c>
      <c r="F715" t="s">
        <v>50</v>
      </c>
      <c r="H715">
        <v>1</v>
      </c>
      <c r="I715">
        <f t="shared" si="55"/>
        <v>2</v>
      </c>
      <c r="J715" s="2">
        <f t="shared" si="56"/>
        <v>0.74099999999999999</v>
      </c>
      <c r="K715">
        <f t="shared" si="57"/>
        <v>2.6990553306342782</v>
      </c>
      <c r="L715" t="str">
        <f t="shared" si="58"/>
        <v>Funded</v>
      </c>
      <c r="M715">
        <f t="shared" si="59"/>
        <v>0.99290183424599554</v>
      </c>
    </row>
    <row r="716" spans="1:13" x14ac:dyDescent="0.25">
      <c r="A716" t="s">
        <v>1681</v>
      </c>
      <c r="B716" t="s">
        <v>47</v>
      </c>
      <c r="C716" t="s">
        <v>1682</v>
      </c>
      <c r="D716" t="s">
        <v>1683</v>
      </c>
      <c r="E716" t="s">
        <v>10</v>
      </c>
      <c r="F716" t="s">
        <v>11</v>
      </c>
      <c r="H716">
        <v>1</v>
      </c>
      <c r="I716">
        <f t="shared" si="55"/>
        <v>2</v>
      </c>
      <c r="J716" s="2">
        <f t="shared" si="56"/>
        <v>0.73499999999999999</v>
      </c>
      <c r="K716">
        <f t="shared" si="57"/>
        <v>2.7210884353741496</v>
      </c>
      <c r="L716" t="str">
        <f t="shared" si="58"/>
        <v>Funded</v>
      </c>
      <c r="M716">
        <f t="shared" si="59"/>
        <v>1.0010319603292457</v>
      </c>
    </row>
    <row r="717" spans="1:13" x14ac:dyDescent="0.25">
      <c r="A717" t="s">
        <v>1684</v>
      </c>
      <c r="B717" t="s">
        <v>47</v>
      </c>
      <c r="C717" t="s">
        <v>1685</v>
      </c>
      <c r="D717" t="s">
        <v>955</v>
      </c>
      <c r="E717" t="s">
        <v>10</v>
      </c>
      <c r="F717" t="s">
        <v>11</v>
      </c>
      <c r="H717">
        <v>1</v>
      </c>
      <c r="I717">
        <f t="shared" si="55"/>
        <v>2</v>
      </c>
      <c r="J717" s="2">
        <f t="shared" si="56"/>
        <v>0.45300000000000001</v>
      </c>
      <c r="K717">
        <f t="shared" si="57"/>
        <v>4.4150110375275933</v>
      </c>
      <c r="L717" t="str">
        <f t="shared" si="58"/>
        <v>Funded</v>
      </c>
      <c r="M717">
        <f t="shared" si="59"/>
        <v>1.4850103340590481</v>
      </c>
    </row>
    <row r="718" spans="1:13" x14ac:dyDescent="0.25">
      <c r="A718" t="s">
        <v>1686</v>
      </c>
      <c r="B718" t="s">
        <v>47</v>
      </c>
      <c r="C718" t="s">
        <v>125</v>
      </c>
      <c r="D718" t="s">
        <v>1687</v>
      </c>
      <c r="E718" t="s">
        <v>10</v>
      </c>
      <c r="F718" t="s">
        <v>11</v>
      </c>
      <c r="H718">
        <v>1</v>
      </c>
      <c r="I718">
        <f t="shared" si="55"/>
        <v>2</v>
      </c>
      <c r="J718" s="2">
        <f t="shared" si="56"/>
        <v>1</v>
      </c>
      <c r="K718">
        <f t="shared" si="57"/>
        <v>2</v>
      </c>
      <c r="L718" t="str">
        <f t="shared" si="58"/>
        <v>Funded</v>
      </c>
      <c r="M718">
        <f t="shared" si="59"/>
        <v>0.69314718055994529</v>
      </c>
    </row>
    <row r="719" spans="1:13" x14ac:dyDescent="0.25">
      <c r="A719" t="s">
        <v>1688</v>
      </c>
      <c r="B719" t="s">
        <v>47</v>
      </c>
      <c r="C719" t="s">
        <v>1453</v>
      </c>
      <c r="D719" t="s">
        <v>1689</v>
      </c>
      <c r="E719" t="s">
        <v>10</v>
      </c>
      <c r="F719" t="s">
        <v>11</v>
      </c>
      <c r="H719">
        <v>1</v>
      </c>
      <c r="I719">
        <f t="shared" si="55"/>
        <v>2</v>
      </c>
      <c r="J719" s="2">
        <f t="shared" si="56"/>
        <v>0.50700000000000001</v>
      </c>
      <c r="K719">
        <f t="shared" si="57"/>
        <v>3.9447731755424065</v>
      </c>
      <c r="L719" t="str">
        <f t="shared" si="58"/>
        <v>Funded</v>
      </c>
      <c r="M719">
        <f t="shared" si="59"/>
        <v>1.3723914559508992</v>
      </c>
    </row>
    <row r="720" spans="1:13" x14ac:dyDescent="0.25">
      <c r="A720" t="s">
        <v>1690</v>
      </c>
      <c r="B720" t="s">
        <v>47</v>
      </c>
      <c r="C720" t="s">
        <v>1406</v>
      </c>
      <c r="D720" t="s">
        <v>1116</v>
      </c>
      <c r="E720" t="s">
        <v>187</v>
      </c>
      <c r="F720" t="s">
        <v>50</v>
      </c>
      <c r="H720">
        <v>1</v>
      </c>
      <c r="I720">
        <f t="shared" si="55"/>
        <v>2</v>
      </c>
      <c r="J720" s="2">
        <f t="shared" si="56"/>
        <v>0.42199999999999999</v>
      </c>
      <c r="K720">
        <f t="shared" si="57"/>
        <v>4.7393364928909953</v>
      </c>
      <c r="L720" t="str">
        <f t="shared" si="58"/>
        <v>Funded</v>
      </c>
      <c r="M720">
        <f t="shared" si="59"/>
        <v>1.5558971455060706</v>
      </c>
    </row>
    <row r="721" spans="1:13" x14ac:dyDescent="0.25">
      <c r="A721" t="s">
        <v>1691</v>
      </c>
      <c r="B721" t="s">
        <v>47</v>
      </c>
      <c r="C721" t="s">
        <v>1101</v>
      </c>
      <c r="D721" t="s">
        <v>1183</v>
      </c>
      <c r="E721" t="s">
        <v>187</v>
      </c>
      <c r="F721" t="s">
        <v>50</v>
      </c>
      <c r="H721">
        <v>1</v>
      </c>
      <c r="I721">
        <f t="shared" si="55"/>
        <v>2</v>
      </c>
      <c r="J721" s="2">
        <f t="shared" si="56"/>
        <v>0.44700000000000001</v>
      </c>
      <c r="K721">
        <f t="shared" si="57"/>
        <v>4.4742729306487696</v>
      </c>
      <c r="L721" t="str">
        <f t="shared" si="58"/>
        <v>Funded</v>
      </c>
      <c r="M721">
        <f t="shared" si="59"/>
        <v>1.4983438649285135</v>
      </c>
    </row>
    <row r="722" spans="1:13" x14ac:dyDescent="0.25">
      <c r="A722" t="s">
        <v>1692</v>
      </c>
      <c r="B722" t="s">
        <v>47</v>
      </c>
      <c r="C722" t="s">
        <v>911</v>
      </c>
      <c r="D722" t="s">
        <v>1693</v>
      </c>
      <c r="E722" t="s">
        <v>10</v>
      </c>
      <c r="F722" t="s">
        <v>11</v>
      </c>
      <c r="H722">
        <v>1</v>
      </c>
      <c r="I722">
        <f t="shared" si="55"/>
        <v>2</v>
      </c>
      <c r="J722" s="2">
        <f t="shared" si="56"/>
        <v>0.65400000000000003</v>
      </c>
      <c r="K722">
        <f t="shared" si="57"/>
        <v>3.0581039755351682</v>
      </c>
      <c r="L722" t="str">
        <f t="shared" si="58"/>
        <v>Funded</v>
      </c>
      <c r="M722">
        <f t="shared" si="59"/>
        <v>1.1177951080848836</v>
      </c>
    </row>
    <row r="723" spans="1:13" x14ac:dyDescent="0.25">
      <c r="A723" t="s">
        <v>1694</v>
      </c>
      <c r="B723" t="s">
        <v>47</v>
      </c>
      <c r="C723" t="s">
        <v>1428</v>
      </c>
      <c r="D723" t="s">
        <v>1695</v>
      </c>
      <c r="E723" t="s">
        <v>326</v>
      </c>
      <c r="F723" t="s">
        <v>21</v>
      </c>
      <c r="H723">
        <v>1</v>
      </c>
      <c r="I723">
        <f t="shared" si="55"/>
        <v>2</v>
      </c>
      <c r="J723" s="2">
        <f t="shared" si="56"/>
        <v>0.311</v>
      </c>
      <c r="K723">
        <f t="shared" si="57"/>
        <v>6.430868167202572</v>
      </c>
      <c r="L723" t="str">
        <f t="shared" si="58"/>
        <v>Funded</v>
      </c>
      <c r="M723">
        <f t="shared" si="59"/>
        <v>1.8611095473628483</v>
      </c>
    </row>
    <row r="724" spans="1:13" x14ac:dyDescent="0.25">
      <c r="A724" t="s">
        <v>1696</v>
      </c>
      <c r="B724" t="s">
        <v>47</v>
      </c>
      <c r="C724" t="s">
        <v>885</v>
      </c>
      <c r="D724" t="s">
        <v>696</v>
      </c>
      <c r="E724" t="s">
        <v>10</v>
      </c>
      <c r="F724" t="s">
        <v>11</v>
      </c>
      <c r="H724">
        <v>1</v>
      </c>
      <c r="I724">
        <f t="shared" si="55"/>
        <v>2</v>
      </c>
      <c r="J724" s="2">
        <f t="shared" si="56"/>
        <v>0.33300000000000002</v>
      </c>
      <c r="K724">
        <f t="shared" si="57"/>
        <v>6.0060060060060056</v>
      </c>
      <c r="L724" t="str">
        <f t="shared" si="58"/>
        <v>Funded</v>
      </c>
      <c r="M724">
        <f t="shared" si="59"/>
        <v>1.7927599695616385</v>
      </c>
    </row>
    <row r="725" spans="1:13" x14ac:dyDescent="0.25">
      <c r="A725" t="s">
        <v>1697</v>
      </c>
      <c r="B725" t="s">
        <v>47</v>
      </c>
      <c r="C725" t="s">
        <v>1698</v>
      </c>
      <c r="D725" t="s">
        <v>1699</v>
      </c>
      <c r="E725" t="s">
        <v>384</v>
      </c>
      <c r="F725" t="s">
        <v>21</v>
      </c>
      <c r="H725">
        <v>1</v>
      </c>
      <c r="I725">
        <f t="shared" si="55"/>
        <v>2</v>
      </c>
      <c r="J725" s="2">
        <f t="shared" si="56"/>
        <v>0.83799999999999997</v>
      </c>
      <c r="K725">
        <f t="shared" si="57"/>
        <v>2.3866348448687353</v>
      </c>
      <c r="L725" t="str">
        <f t="shared" si="58"/>
        <v>Funded</v>
      </c>
      <c r="M725">
        <f t="shared" si="59"/>
        <v>0.86988435905999939</v>
      </c>
    </row>
    <row r="726" spans="1:13" x14ac:dyDescent="0.25">
      <c r="A726" t="s">
        <v>1700</v>
      </c>
      <c r="B726" t="s">
        <v>47</v>
      </c>
      <c r="C726" t="s">
        <v>234</v>
      </c>
      <c r="D726" t="s">
        <v>1701</v>
      </c>
      <c r="E726" t="s">
        <v>20</v>
      </c>
      <c r="F726" t="s">
        <v>21</v>
      </c>
      <c r="H726">
        <v>1</v>
      </c>
      <c r="I726">
        <f t="shared" si="55"/>
        <v>2</v>
      </c>
      <c r="J726" s="2">
        <f t="shared" si="56"/>
        <v>0.81299999999999994</v>
      </c>
      <c r="K726">
        <f t="shared" si="57"/>
        <v>2.4600246002460024</v>
      </c>
      <c r="L726" t="str">
        <f t="shared" si="58"/>
        <v>Funded</v>
      </c>
      <c r="M726">
        <f t="shared" si="59"/>
        <v>0.90017134999427173</v>
      </c>
    </row>
    <row r="727" spans="1:13" x14ac:dyDescent="0.25">
      <c r="A727" t="s">
        <v>1702</v>
      </c>
      <c r="B727" t="s">
        <v>47</v>
      </c>
      <c r="C727" t="s">
        <v>1554</v>
      </c>
      <c r="D727" t="s">
        <v>254</v>
      </c>
      <c r="E727" t="s">
        <v>10</v>
      </c>
      <c r="F727" t="s">
        <v>11</v>
      </c>
      <c r="H727">
        <v>1</v>
      </c>
      <c r="I727">
        <f t="shared" si="55"/>
        <v>2</v>
      </c>
      <c r="J727" s="2">
        <f t="shared" si="56"/>
        <v>0.36499999999999999</v>
      </c>
      <c r="K727">
        <f t="shared" si="57"/>
        <v>5.4794520547945202</v>
      </c>
      <c r="L727" t="str">
        <f t="shared" si="58"/>
        <v>Funded</v>
      </c>
      <c r="M727">
        <f t="shared" si="59"/>
        <v>1.7010051059595908</v>
      </c>
    </row>
    <row r="728" spans="1:13" x14ac:dyDescent="0.25">
      <c r="A728" t="s">
        <v>1703</v>
      </c>
      <c r="B728" t="s">
        <v>47</v>
      </c>
      <c r="C728" t="s">
        <v>1525</v>
      </c>
      <c r="E728" t="s">
        <v>20</v>
      </c>
      <c r="F728" t="s">
        <v>21</v>
      </c>
      <c r="H728">
        <v>1</v>
      </c>
      <c r="I728">
        <f t="shared" si="55"/>
        <v>2</v>
      </c>
      <c r="J728" s="2">
        <f t="shared" si="56"/>
        <v>0.432</v>
      </c>
      <c r="K728">
        <f t="shared" si="57"/>
        <v>4.6296296296296298</v>
      </c>
      <c r="L728" t="str">
        <f t="shared" si="58"/>
        <v>Funded</v>
      </c>
      <c r="M728">
        <f t="shared" si="59"/>
        <v>1.5324768712979722</v>
      </c>
    </row>
    <row r="729" spans="1:13" x14ac:dyDescent="0.25">
      <c r="A729" t="s">
        <v>1704</v>
      </c>
      <c r="B729" t="s">
        <v>47</v>
      </c>
      <c r="C729" t="s">
        <v>1705</v>
      </c>
      <c r="D729" t="s">
        <v>1706</v>
      </c>
      <c r="E729" t="s">
        <v>20</v>
      </c>
      <c r="F729" t="s">
        <v>21</v>
      </c>
      <c r="H729">
        <v>1</v>
      </c>
      <c r="I729">
        <f t="shared" si="55"/>
        <v>2</v>
      </c>
      <c r="J729" s="2">
        <f t="shared" si="56"/>
        <v>0.504</v>
      </c>
      <c r="K729">
        <f t="shared" si="57"/>
        <v>3.9682539682539684</v>
      </c>
      <c r="L729" t="str">
        <f t="shared" si="58"/>
        <v>Funded</v>
      </c>
      <c r="M729">
        <f t="shared" si="59"/>
        <v>1.3783261914707137</v>
      </c>
    </row>
    <row r="730" spans="1:13" x14ac:dyDescent="0.25">
      <c r="A730" t="s">
        <v>1707</v>
      </c>
      <c r="B730" t="s">
        <v>47</v>
      </c>
      <c r="C730" t="s">
        <v>1685</v>
      </c>
      <c r="D730" t="s">
        <v>1708</v>
      </c>
      <c r="E730" t="s">
        <v>20</v>
      </c>
      <c r="F730" t="s">
        <v>21</v>
      </c>
      <c r="H730">
        <v>1</v>
      </c>
      <c r="I730">
        <f t="shared" si="55"/>
        <v>2</v>
      </c>
      <c r="J730" s="2">
        <f t="shared" si="56"/>
        <v>0.45300000000000001</v>
      </c>
      <c r="K730">
        <f t="shared" si="57"/>
        <v>4.4150110375275933</v>
      </c>
      <c r="L730" t="str">
        <f t="shared" si="58"/>
        <v>Funded</v>
      </c>
      <c r="M730">
        <f t="shared" si="59"/>
        <v>1.4850103340590481</v>
      </c>
    </row>
    <row r="731" spans="1:13" x14ac:dyDescent="0.25">
      <c r="A731" t="s">
        <v>1709</v>
      </c>
      <c r="B731" t="s">
        <v>47</v>
      </c>
      <c r="C731" t="s">
        <v>1359</v>
      </c>
      <c r="D731" t="s">
        <v>1710</v>
      </c>
      <c r="E731" t="s">
        <v>10</v>
      </c>
      <c r="F731" t="s">
        <v>11</v>
      </c>
      <c r="H731">
        <v>1</v>
      </c>
      <c r="I731">
        <f t="shared" si="55"/>
        <v>2</v>
      </c>
      <c r="J731" s="2">
        <f t="shared" si="56"/>
        <v>0.32600000000000001</v>
      </c>
      <c r="K731">
        <f t="shared" si="57"/>
        <v>6.1349693251533743</v>
      </c>
      <c r="L731" t="str">
        <f t="shared" si="58"/>
        <v>Funded</v>
      </c>
      <c r="M731">
        <f t="shared" si="59"/>
        <v>1.8140050781753747</v>
      </c>
    </row>
    <row r="732" spans="1:13" x14ac:dyDescent="0.25">
      <c r="A732" t="s">
        <v>1711</v>
      </c>
      <c r="B732" t="s">
        <v>47</v>
      </c>
      <c r="C732" t="s">
        <v>906</v>
      </c>
      <c r="D732" t="s">
        <v>1712</v>
      </c>
      <c r="E732" t="s">
        <v>10</v>
      </c>
      <c r="F732" t="s">
        <v>11</v>
      </c>
      <c r="H732">
        <v>1</v>
      </c>
      <c r="I732">
        <f t="shared" si="55"/>
        <v>2</v>
      </c>
      <c r="J732" s="2">
        <f t="shared" si="56"/>
        <v>0.60199999999999998</v>
      </c>
      <c r="K732">
        <f t="shared" si="57"/>
        <v>3.3222591362126246</v>
      </c>
      <c r="L732" t="str">
        <f t="shared" si="58"/>
        <v>Funded</v>
      </c>
      <c r="M732">
        <f t="shared" si="59"/>
        <v>1.2006450142332614</v>
      </c>
    </row>
    <row r="733" spans="1:13" x14ac:dyDescent="0.25">
      <c r="A733" t="s">
        <v>1713</v>
      </c>
      <c r="B733" t="s">
        <v>47</v>
      </c>
      <c r="C733" t="s">
        <v>1714</v>
      </c>
      <c r="D733" t="s">
        <v>130</v>
      </c>
      <c r="E733" t="s">
        <v>170</v>
      </c>
      <c r="F733" t="s">
        <v>50</v>
      </c>
      <c r="H733">
        <v>1</v>
      </c>
      <c r="I733">
        <f t="shared" si="55"/>
        <v>2</v>
      </c>
      <c r="J733" s="2">
        <f t="shared" si="56"/>
        <v>0.308</v>
      </c>
      <c r="K733">
        <f t="shared" si="57"/>
        <v>6.4935064935064934</v>
      </c>
      <c r="L733" t="str">
        <f t="shared" si="58"/>
        <v>Funded</v>
      </c>
      <c r="M733">
        <f t="shared" si="59"/>
        <v>1.870802676568508</v>
      </c>
    </row>
    <row r="734" spans="1:13" x14ac:dyDescent="0.25">
      <c r="A734" t="s">
        <v>1715</v>
      </c>
      <c r="B734" t="s">
        <v>47</v>
      </c>
      <c r="C734" t="s">
        <v>1205</v>
      </c>
      <c r="D734" t="s">
        <v>500</v>
      </c>
      <c r="E734" t="s">
        <v>10</v>
      </c>
      <c r="F734" t="s">
        <v>11</v>
      </c>
      <c r="H734">
        <v>1</v>
      </c>
      <c r="I734">
        <f t="shared" si="55"/>
        <v>2</v>
      </c>
      <c r="J734" s="2">
        <f t="shared" si="56"/>
        <v>0.3</v>
      </c>
      <c r="K734">
        <f t="shared" si="57"/>
        <v>6.666666666666667</v>
      </c>
      <c r="L734" t="str">
        <f t="shared" si="58"/>
        <v>Funded</v>
      </c>
      <c r="M734">
        <f t="shared" si="59"/>
        <v>1.8971199848858813</v>
      </c>
    </row>
    <row r="735" spans="1:13" x14ac:dyDescent="0.25">
      <c r="A735" t="s">
        <v>1716</v>
      </c>
      <c r="B735" t="s">
        <v>47</v>
      </c>
      <c r="C735" t="s">
        <v>1717</v>
      </c>
      <c r="D735" t="s">
        <v>1718</v>
      </c>
      <c r="E735" t="s">
        <v>44</v>
      </c>
      <c r="F735" t="s">
        <v>21</v>
      </c>
      <c r="H735">
        <v>1</v>
      </c>
      <c r="I735">
        <f t="shared" si="55"/>
        <v>2</v>
      </c>
      <c r="J735" s="2">
        <f t="shared" si="56"/>
        <v>0.30199999999999999</v>
      </c>
      <c r="K735">
        <f t="shared" si="57"/>
        <v>6.6225165562913908</v>
      </c>
      <c r="L735" t="str">
        <f t="shared" si="58"/>
        <v>Funded</v>
      </c>
      <c r="M735">
        <f t="shared" si="59"/>
        <v>1.8904754421672127</v>
      </c>
    </row>
    <row r="736" spans="1:13" x14ac:dyDescent="0.25">
      <c r="A736" t="s">
        <v>1719</v>
      </c>
      <c r="B736" t="s">
        <v>47</v>
      </c>
      <c r="C736" t="s">
        <v>780</v>
      </c>
      <c r="D736" t="s">
        <v>955</v>
      </c>
      <c r="E736" t="s">
        <v>10</v>
      </c>
      <c r="F736" t="s">
        <v>11</v>
      </c>
      <c r="H736">
        <v>1</v>
      </c>
      <c r="I736">
        <f t="shared" si="55"/>
        <v>2</v>
      </c>
      <c r="J736" s="2">
        <f t="shared" si="56"/>
        <v>0.45</v>
      </c>
      <c r="K736">
        <f t="shared" si="57"/>
        <v>4.4444444444444446</v>
      </c>
      <c r="L736" t="str">
        <f t="shared" si="58"/>
        <v>Funded</v>
      </c>
      <c r="M736">
        <f t="shared" si="59"/>
        <v>1.4916548767777169</v>
      </c>
    </row>
    <row r="737" spans="1:13" x14ac:dyDescent="0.25">
      <c r="A737" t="s">
        <v>1720</v>
      </c>
      <c r="B737" t="s">
        <v>47</v>
      </c>
      <c r="C737" t="s">
        <v>1721</v>
      </c>
      <c r="D737" t="s">
        <v>1722</v>
      </c>
      <c r="E737" t="s">
        <v>10</v>
      </c>
      <c r="F737" t="s">
        <v>11</v>
      </c>
      <c r="H737">
        <v>1</v>
      </c>
      <c r="I737">
        <f t="shared" si="55"/>
        <v>2</v>
      </c>
      <c r="J737" s="2">
        <f t="shared" si="56"/>
        <v>0.32300000000000001</v>
      </c>
      <c r="K737">
        <f t="shared" si="57"/>
        <v>6.1919504643962844</v>
      </c>
      <c r="L737" t="str">
        <f t="shared" si="58"/>
        <v>Funded</v>
      </c>
      <c r="M737">
        <f t="shared" si="59"/>
        <v>1.8232501363194258</v>
      </c>
    </row>
    <row r="738" spans="1:13" x14ac:dyDescent="0.25">
      <c r="A738" t="s">
        <v>1723</v>
      </c>
      <c r="B738" t="s">
        <v>47</v>
      </c>
      <c r="C738" t="s">
        <v>1545</v>
      </c>
      <c r="D738" t="s">
        <v>1724</v>
      </c>
      <c r="E738" t="s">
        <v>652</v>
      </c>
      <c r="F738" t="s">
        <v>50</v>
      </c>
      <c r="H738">
        <v>1</v>
      </c>
      <c r="I738">
        <f t="shared" si="55"/>
        <v>2</v>
      </c>
      <c r="J738" s="2">
        <f t="shared" si="56"/>
        <v>0.121</v>
      </c>
      <c r="K738">
        <f t="shared" si="57"/>
        <v>16.528925619834713</v>
      </c>
      <c r="L738" t="str">
        <f t="shared" si="58"/>
        <v>Funded</v>
      </c>
      <c r="M738">
        <f t="shared" si="59"/>
        <v>2.8051119139453413</v>
      </c>
    </row>
    <row r="739" spans="1:13" x14ac:dyDescent="0.25">
      <c r="A739" t="s">
        <v>1725</v>
      </c>
      <c r="B739" t="s">
        <v>47</v>
      </c>
      <c r="C739" t="s">
        <v>1726</v>
      </c>
      <c r="D739" t="s">
        <v>146</v>
      </c>
      <c r="E739" t="s">
        <v>20</v>
      </c>
      <c r="F739" t="s">
        <v>21</v>
      </c>
      <c r="H739">
        <v>1</v>
      </c>
      <c r="I739">
        <f t="shared" si="55"/>
        <v>2</v>
      </c>
      <c r="J739" s="2">
        <f t="shared" si="56"/>
        <v>0.999</v>
      </c>
      <c r="K739">
        <f t="shared" si="57"/>
        <v>2.0020020020020022</v>
      </c>
      <c r="L739" t="str">
        <f t="shared" si="58"/>
        <v>Funded</v>
      </c>
      <c r="M739">
        <f t="shared" si="59"/>
        <v>0.69414768089352896</v>
      </c>
    </row>
    <row r="740" spans="1:13" x14ac:dyDescent="0.25">
      <c r="A740" t="s">
        <v>1727</v>
      </c>
      <c r="B740" t="s">
        <v>47</v>
      </c>
      <c r="C740" t="s">
        <v>1728</v>
      </c>
      <c r="E740" t="s">
        <v>20</v>
      </c>
      <c r="F740" t="s">
        <v>21</v>
      </c>
      <c r="H740">
        <v>1</v>
      </c>
      <c r="I740">
        <f t="shared" si="55"/>
        <v>2</v>
      </c>
      <c r="J740" s="2">
        <f t="shared" si="56"/>
        <v>0.81699999999999995</v>
      </c>
      <c r="K740">
        <f t="shared" si="57"/>
        <v>2.4479804161566707</v>
      </c>
      <c r="L740" t="str">
        <f t="shared" si="58"/>
        <v>Funded</v>
      </c>
      <c r="M740">
        <f t="shared" si="59"/>
        <v>0.89526336468207945</v>
      </c>
    </row>
    <row r="741" spans="1:13" x14ac:dyDescent="0.25">
      <c r="A741" t="s">
        <v>1729</v>
      </c>
      <c r="B741" t="s">
        <v>47</v>
      </c>
      <c r="C741" t="s">
        <v>1730</v>
      </c>
      <c r="D741" t="s">
        <v>1731</v>
      </c>
      <c r="E741" t="s">
        <v>294</v>
      </c>
      <c r="F741" t="s">
        <v>21</v>
      </c>
      <c r="H741">
        <v>1</v>
      </c>
      <c r="I741">
        <f t="shared" si="55"/>
        <v>2</v>
      </c>
      <c r="J741" s="2">
        <f t="shared" si="56"/>
        <v>0.67300000000000004</v>
      </c>
      <c r="K741">
        <f t="shared" si="57"/>
        <v>2.9717682020802374</v>
      </c>
      <c r="L741" t="str">
        <f t="shared" si="58"/>
        <v>Funded</v>
      </c>
      <c r="M741">
        <f t="shared" si="59"/>
        <v>1.0891571298973544</v>
      </c>
    </row>
    <row r="742" spans="1:13" x14ac:dyDescent="0.25">
      <c r="A742" t="s">
        <v>1732</v>
      </c>
      <c r="B742" t="s">
        <v>47</v>
      </c>
      <c r="C742" t="s">
        <v>216</v>
      </c>
      <c r="D742" t="s">
        <v>454</v>
      </c>
      <c r="E742" t="s">
        <v>1035</v>
      </c>
      <c r="F742" t="s">
        <v>21</v>
      </c>
      <c r="H742">
        <v>1</v>
      </c>
      <c r="I742">
        <f t="shared" si="55"/>
        <v>2</v>
      </c>
      <c r="J742" s="2">
        <f t="shared" si="56"/>
        <v>0.97499999999999998</v>
      </c>
      <c r="K742">
        <f t="shared" si="57"/>
        <v>2.0512820512820515</v>
      </c>
      <c r="L742" t="str">
        <f t="shared" si="58"/>
        <v>Funded</v>
      </c>
      <c r="M742">
        <f t="shared" si="59"/>
        <v>0.71846498854423535</v>
      </c>
    </row>
    <row r="743" spans="1:13" x14ac:dyDescent="0.25">
      <c r="A743" t="s">
        <v>1733</v>
      </c>
      <c r="B743" t="s">
        <v>47</v>
      </c>
      <c r="C743" t="s">
        <v>1734</v>
      </c>
      <c r="D743" t="s">
        <v>1735</v>
      </c>
      <c r="E743" t="s">
        <v>10</v>
      </c>
      <c r="F743" t="s">
        <v>11</v>
      </c>
      <c r="H743">
        <v>1</v>
      </c>
      <c r="I743">
        <f t="shared" si="55"/>
        <v>2</v>
      </c>
      <c r="J743" s="2">
        <f t="shared" si="56"/>
        <v>9.6000000000000002E-2</v>
      </c>
      <c r="K743">
        <f t="shared" si="57"/>
        <v>20.833333333333332</v>
      </c>
      <c r="L743" t="str">
        <f t="shared" si="58"/>
        <v>Funded</v>
      </c>
      <c r="M743">
        <f t="shared" si="59"/>
        <v>3.0365542680742461</v>
      </c>
    </row>
    <row r="744" spans="1:13" x14ac:dyDescent="0.25">
      <c r="A744" t="s">
        <v>1736</v>
      </c>
      <c r="B744" t="s">
        <v>47</v>
      </c>
      <c r="C744" t="s">
        <v>780</v>
      </c>
      <c r="D744" t="s">
        <v>1737</v>
      </c>
      <c r="E744" t="s">
        <v>10</v>
      </c>
      <c r="F744" t="s">
        <v>11</v>
      </c>
      <c r="H744">
        <v>1</v>
      </c>
      <c r="I744">
        <f t="shared" si="55"/>
        <v>2</v>
      </c>
      <c r="J744" s="2">
        <f t="shared" si="56"/>
        <v>0.45</v>
      </c>
      <c r="K744">
        <f t="shared" si="57"/>
        <v>4.4444444444444446</v>
      </c>
      <c r="L744" t="str">
        <f t="shared" si="58"/>
        <v>Funded</v>
      </c>
      <c r="M744">
        <f t="shared" si="59"/>
        <v>1.4916548767777169</v>
      </c>
    </row>
    <row r="745" spans="1:13" x14ac:dyDescent="0.25">
      <c r="A745" t="s">
        <v>1738</v>
      </c>
      <c r="B745" t="s">
        <v>47</v>
      </c>
      <c r="C745" t="s">
        <v>1085</v>
      </c>
      <c r="D745" t="s">
        <v>1739</v>
      </c>
      <c r="E745" t="s">
        <v>445</v>
      </c>
      <c r="F745" t="s">
        <v>50</v>
      </c>
      <c r="H745">
        <v>1</v>
      </c>
      <c r="I745">
        <f t="shared" si="55"/>
        <v>2</v>
      </c>
      <c r="J745" s="2">
        <f t="shared" si="56"/>
        <v>0.42299999999999999</v>
      </c>
      <c r="K745">
        <f t="shared" si="57"/>
        <v>4.7281323877068555</v>
      </c>
      <c r="L745" t="str">
        <f t="shared" si="58"/>
        <v>Funded</v>
      </c>
      <c r="M745">
        <f t="shared" si="59"/>
        <v>1.5535302804958044</v>
      </c>
    </row>
    <row r="746" spans="1:13" x14ac:dyDescent="0.25">
      <c r="A746" t="s">
        <v>1740</v>
      </c>
      <c r="B746" t="s">
        <v>47</v>
      </c>
      <c r="C746" t="s">
        <v>1242</v>
      </c>
      <c r="D746" t="s">
        <v>1741</v>
      </c>
      <c r="E746" t="s">
        <v>10</v>
      </c>
      <c r="F746" t="s">
        <v>11</v>
      </c>
      <c r="H746">
        <v>1</v>
      </c>
      <c r="I746">
        <f t="shared" si="55"/>
        <v>2</v>
      </c>
      <c r="J746" s="2">
        <f t="shared" si="56"/>
        <v>0.26400000000000001</v>
      </c>
      <c r="K746">
        <f t="shared" si="57"/>
        <v>7.5757575757575752</v>
      </c>
      <c r="L746" t="str">
        <f t="shared" si="58"/>
        <v>Funded</v>
      </c>
      <c r="M746">
        <f t="shared" si="59"/>
        <v>2.0249533563957662</v>
      </c>
    </row>
    <row r="747" spans="1:13" x14ac:dyDescent="0.25">
      <c r="A747" t="s">
        <v>1742</v>
      </c>
      <c r="B747" t="s">
        <v>47</v>
      </c>
      <c r="C747" t="s">
        <v>1743</v>
      </c>
      <c r="D747" t="s">
        <v>1744</v>
      </c>
      <c r="E747" t="s">
        <v>20</v>
      </c>
      <c r="F747" t="s">
        <v>21</v>
      </c>
      <c r="H747">
        <v>1</v>
      </c>
      <c r="I747">
        <f t="shared" si="55"/>
        <v>2</v>
      </c>
      <c r="J747" s="2">
        <f t="shared" si="56"/>
        <v>0.253</v>
      </c>
      <c r="K747">
        <f t="shared" si="57"/>
        <v>7.9051383399209483</v>
      </c>
      <c r="L747" t="str">
        <f t="shared" si="58"/>
        <v>Funded</v>
      </c>
      <c r="M747">
        <f t="shared" si="59"/>
        <v>2.0675129708145619</v>
      </c>
    </row>
    <row r="748" spans="1:13" x14ac:dyDescent="0.25">
      <c r="A748" t="s">
        <v>1745</v>
      </c>
      <c r="B748" t="s">
        <v>47</v>
      </c>
      <c r="C748" t="s">
        <v>106</v>
      </c>
      <c r="E748" t="s">
        <v>49</v>
      </c>
      <c r="F748" t="s">
        <v>50</v>
      </c>
      <c r="H748">
        <v>1</v>
      </c>
      <c r="I748">
        <f t="shared" si="55"/>
        <v>2</v>
      </c>
      <c r="J748" s="2">
        <f t="shared" si="56"/>
        <v>0.21</v>
      </c>
      <c r="K748">
        <f t="shared" si="57"/>
        <v>9.5238095238095237</v>
      </c>
      <c r="L748" t="str">
        <f t="shared" si="58"/>
        <v>Funded</v>
      </c>
      <c r="M748">
        <f t="shared" si="59"/>
        <v>2.2537949288246137</v>
      </c>
    </row>
    <row r="749" spans="1:13" x14ac:dyDescent="0.25">
      <c r="A749" t="s">
        <v>1746</v>
      </c>
      <c r="B749" t="s">
        <v>47</v>
      </c>
      <c r="C749" t="s">
        <v>1747</v>
      </c>
      <c r="D749" t="s">
        <v>1748</v>
      </c>
      <c r="E749" t="s">
        <v>10</v>
      </c>
      <c r="F749" t="s">
        <v>11</v>
      </c>
      <c r="H749">
        <v>1</v>
      </c>
      <c r="I749">
        <f t="shared" si="55"/>
        <v>2</v>
      </c>
      <c r="J749" s="2">
        <f t="shared" si="56"/>
        <v>0.51900000000000002</v>
      </c>
      <c r="K749">
        <f t="shared" si="57"/>
        <v>3.8535645472061657</v>
      </c>
      <c r="L749" t="str">
        <f t="shared" si="58"/>
        <v>Funded</v>
      </c>
      <c r="M749">
        <f t="shared" si="59"/>
        <v>1.3489985763761938</v>
      </c>
    </row>
    <row r="750" spans="1:13" x14ac:dyDescent="0.25">
      <c r="A750" t="s">
        <v>1749</v>
      </c>
      <c r="B750" t="s">
        <v>47</v>
      </c>
      <c r="C750" t="s">
        <v>947</v>
      </c>
      <c r="D750" t="s">
        <v>1750</v>
      </c>
      <c r="E750" t="s">
        <v>10</v>
      </c>
      <c r="F750" t="s">
        <v>11</v>
      </c>
      <c r="H750">
        <v>1</v>
      </c>
      <c r="I750">
        <f t="shared" si="55"/>
        <v>2</v>
      </c>
      <c r="J750" s="2">
        <f t="shared" si="56"/>
        <v>0.51400000000000001</v>
      </c>
      <c r="K750">
        <f t="shared" si="57"/>
        <v>3.8910505836575875</v>
      </c>
      <c r="L750" t="str">
        <f t="shared" si="58"/>
        <v>Funded</v>
      </c>
      <c r="M750">
        <f t="shared" si="59"/>
        <v>1.3586791940869172</v>
      </c>
    </row>
    <row r="751" spans="1:13" x14ac:dyDescent="0.25">
      <c r="A751" t="s">
        <v>1751</v>
      </c>
      <c r="B751" t="s">
        <v>47</v>
      </c>
      <c r="C751" t="s">
        <v>1752</v>
      </c>
      <c r="D751" t="s">
        <v>1753</v>
      </c>
      <c r="E751" t="s">
        <v>108</v>
      </c>
      <c r="F751" t="s">
        <v>109</v>
      </c>
      <c r="H751">
        <v>1</v>
      </c>
      <c r="I751">
        <f t="shared" si="55"/>
        <v>2</v>
      </c>
      <c r="J751" s="2">
        <f t="shared" si="56"/>
        <v>8.1000000000000003E-2</v>
      </c>
      <c r="K751">
        <f t="shared" si="57"/>
        <v>24.691358024691358</v>
      </c>
      <c r="L751" t="str">
        <f t="shared" si="58"/>
        <v>Funded</v>
      </c>
      <c r="M751">
        <f t="shared" si="59"/>
        <v>3.2064533048696435</v>
      </c>
    </row>
    <row r="752" spans="1:13" x14ac:dyDescent="0.25">
      <c r="A752" t="s">
        <v>1754</v>
      </c>
      <c r="B752" t="s">
        <v>47</v>
      </c>
      <c r="C752" t="s">
        <v>556</v>
      </c>
      <c r="E752" t="s">
        <v>10</v>
      </c>
      <c r="F752" t="s">
        <v>11</v>
      </c>
      <c r="H752">
        <v>1</v>
      </c>
      <c r="I752">
        <f t="shared" si="55"/>
        <v>2</v>
      </c>
      <c r="J752" s="2">
        <f t="shared" si="56"/>
        <v>0.35</v>
      </c>
      <c r="K752">
        <f t="shared" si="57"/>
        <v>5.7142857142857144</v>
      </c>
      <c r="L752" t="str">
        <f t="shared" si="58"/>
        <v>Funded</v>
      </c>
      <c r="M752">
        <f t="shared" si="59"/>
        <v>1.742969305058623</v>
      </c>
    </row>
    <row r="753" spans="1:13" x14ac:dyDescent="0.25">
      <c r="A753" t="s">
        <v>1755</v>
      </c>
      <c r="B753" t="s">
        <v>47</v>
      </c>
      <c r="C753" t="s">
        <v>1756</v>
      </c>
      <c r="D753" t="s">
        <v>1757</v>
      </c>
      <c r="E753" t="s">
        <v>350</v>
      </c>
      <c r="F753" t="s">
        <v>21</v>
      </c>
      <c r="H753">
        <v>1</v>
      </c>
      <c r="I753">
        <f t="shared" si="55"/>
        <v>2</v>
      </c>
      <c r="J753" s="2">
        <f t="shared" si="56"/>
        <v>0.30499999999999999</v>
      </c>
      <c r="K753">
        <f t="shared" si="57"/>
        <v>6.557377049180328</v>
      </c>
      <c r="L753" t="str">
        <f t="shared" si="58"/>
        <v>Funded</v>
      </c>
      <c r="M753">
        <f t="shared" si="59"/>
        <v>1.8805906829346708</v>
      </c>
    </row>
    <row r="754" spans="1:13" x14ac:dyDescent="0.25">
      <c r="A754" t="s">
        <v>1758</v>
      </c>
      <c r="B754" t="s">
        <v>47</v>
      </c>
      <c r="C754" t="s">
        <v>1759</v>
      </c>
      <c r="D754" t="s">
        <v>1760</v>
      </c>
      <c r="E754" t="s">
        <v>10</v>
      </c>
      <c r="F754" t="s">
        <v>11</v>
      </c>
      <c r="H754">
        <v>1</v>
      </c>
      <c r="I754">
        <f t="shared" si="55"/>
        <v>2</v>
      </c>
      <c r="J754" s="2">
        <f t="shared" si="56"/>
        <v>0.374</v>
      </c>
      <c r="K754">
        <f t="shared" si="57"/>
        <v>5.3475935828877006</v>
      </c>
      <c r="L754" t="str">
        <f t="shared" si="58"/>
        <v>Funded</v>
      </c>
      <c r="M754">
        <f t="shared" si="59"/>
        <v>1.6766466621275504</v>
      </c>
    </row>
    <row r="755" spans="1:13" x14ac:dyDescent="0.25">
      <c r="A755" t="s">
        <v>1761</v>
      </c>
      <c r="B755" t="s">
        <v>47</v>
      </c>
      <c r="C755" t="s">
        <v>1762</v>
      </c>
      <c r="D755" t="s">
        <v>1102</v>
      </c>
      <c r="E755" t="s">
        <v>10</v>
      </c>
      <c r="F755" t="s">
        <v>11</v>
      </c>
      <c r="H755">
        <v>1</v>
      </c>
      <c r="I755">
        <f t="shared" si="55"/>
        <v>2</v>
      </c>
      <c r="J755" s="2">
        <f t="shared" si="56"/>
        <v>0.19700000000000001</v>
      </c>
      <c r="K755">
        <f t="shared" si="57"/>
        <v>10.152284263959391</v>
      </c>
      <c r="L755" t="str">
        <f t="shared" si="58"/>
        <v>Funded</v>
      </c>
      <c r="M755">
        <f t="shared" si="59"/>
        <v>2.3176987308040937</v>
      </c>
    </row>
    <row r="756" spans="1:13" x14ac:dyDescent="0.25">
      <c r="A756" t="s">
        <v>1763</v>
      </c>
      <c r="B756" t="s">
        <v>47</v>
      </c>
      <c r="C756" t="s">
        <v>1088</v>
      </c>
      <c r="D756" t="s">
        <v>254</v>
      </c>
      <c r="E756" t="s">
        <v>10</v>
      </c>
      <c r="F756" t="s">
        <v>11</v>
      </c>
      <c r="H756">
        <v>1</v>
      </c>
      <c r="I756">
        <f t="shared" si="55"/>
        <v>2</v>
      </c>
      <c r="J756" s="2">
        <f t="shared" si="56"/>
        <v>0.26</v>
      </c>
      <c r="K756">
        <f t="shared" si="57"/>
        <v>7.6923076923076916</v>
      </c>
      <c r="L756" t="str">
        <f t="shared" si="58"/>
        <v>Funded</v>
      </c>
      <c r="M756">
        <f t="shared" si="59"/>
        <v>2.0402208285265546</v>
      </c>
    </row>
    <row r="757" spans="1:13" x14ac:dyDescent="0.25">
      <c r="A757" t="s">
        <v>1764</v>
      </c>
      <c r="B757" t="s">
        <v>47</v>
      </c>
      <c r="C757" t="s">
        <v>1193</v>
      </c>
      <c r="D757" t="s">
        <v>1318</v>
      </c>
      <c r="E757" t="s">
        <v>1035</v>
      </c>
      <c r="F757" t="s">
        <v>21</v>
      </c>
      <c r="H757">
        <v>1</v>
      </c>
      <c r="I757">
        <f t="shared" si="55"/>
        <v>2</v>
      </c>
      <c r="J757" s="2">
        <f t="shared" si="56"/>
        <v>0.73099999999999998</v>
      </c>
      <c r="K757">
        <f t="shared" si="57"/>
        <v>2.7359781121751028</v>
      </c>
      <c r="L757" t="str">
        <f t="shared" si="58"/>
        <v>Funded</v>
      </c>
      <c r="M757">
        <f t="shared" si="59"/>
        <v>1.0064889997923039</v>
      </c>
    </row>
    <row r="758" spans="1:13" x14ac:dyDescent="0.25">
      <c r="A758" t="s">
        <v>1765</v>
      </c>
      <c r="B758" t="s">
        <v>47</v>
      </c>
      <c r="C758" t="s">
        <v>1498</v>
      </c>
      <c r="D758" t="s">
        <v>1373</v>
      </c>
      <c r="E758" t="s">
        <v>10</v>
      </c>
      <c r="F758" t="s">
        <v>11</v>
      </c>
      <c r="H758">
        <v>1</v>
      </c>
      <c r="I758">
        <f t="shared" si="55"/>
        <v>2</v>
      </c>
      <c r="J758" s="2">
        <f t="shared" si="56"/>
        <v>0.26600000000000001</v>
      </c>
      <c r="K758">
        <f t="shared" si="57"/>
        <v>7.518796992481203</v>
      </c>
      <c r="L758" t="str">
        <f t="shared" si="58"/>
        <v>Funded</v>
      </c>
      <c r="M758">
        <f t="shared" si="59"/>
        <v>2.0174061507603831</v>
      </c>
    </row>
    <row r="759" spans="1:13" x14ac:dyDescent="0.25">
      <c r="A759" t="s">
        <v>1766</v>
      </c>
      <c r="B759" t="s">
        <v>47</v>
      </c>
      <c r="C759" t="s">
        <v>1301</v>
      </c>
      <c r="D759" t="s">
        <v>130</v>
      </c>
      <c r="E759" t="s">
        <v>44</v>
      </c>
      <c r="F759" t="s">
        <v>21</v>
      </c>
      <c r="H759">
        <v>1</v>
      </c>
      <c r="I759">
        <f t="shared" si="55"/>
        <v>2</v>
      </c>
      <c r="J759" s="2">
        <f t="shared" si="56"/>
        <v>0.71499999999999997</v>
      </c>
      <c r="K759">
        <f t="shared" si="57"/>
        <v>2.7972027972027975</v>
      </c>
      <c r="L759" t="str">
        <f t="shared" si="58"/>
        <v>Funded</v>
      </c>
      <c r="M759">
        <f t="shared" si="59"/>
        <v>1.0286199168480747</v>
      </c>
    </row>
    <row r="760" spans="1:13" x14ac:dyDescent="0.25">
      <c r="A760" t="s">
        <v>1767</v>
      </c>
      <c r="B760" t="s">
        <v>47</v>
      </c>
      <c r="C760" t="s">
        <v>1768</v>
      </c>
      <c r="D760" t="s">
        <v>159</v>
      </c>
      <c r="E760" t="s">
        <v>10</v>
      </c>
      <c r="F760" t="s">
        <v>11</v>
      </c>
      <c r="H760">
        <v>1</v>
      </c>
      <c r="I760">
        <f t="shared" si="55"/>
        <v>2</v>
      </c>
      <c r="J760" s="2">
        <f t="shared" si="56"/>
        <v>0.63200000000000001</v>
      </c>
      <c r="K760">
        <f t="shared" si="57"/>
        <v>3.1645569620253164</v>
      </c>
      <c r="L760" t="str">
        <f t="shared" si="58"/>
        <v>Funded</v>
      </c>
      <c r="M760">
        <f t="shared" si="59"/>
        <v>1.152013065395225</v>
      </c>
    </row>
    <row r="761" spans="1:13" x14ac:dyDescent="0.25">
      <c r="A761" t="s">
        <v>1769</v>
      </c>
      <c r="B761" t="s">
        <v>47</v>
      </c>
      <c r="C761" t="s">
        <v>47</v>
      </c>
      <c r="D761" t="s">
        <v>1770</v>
      </c>
      <c r="E761" t="s">
        <v>20</v>
      </c>
      <c r="F761" t="s">
        <v>21</v>
      </c>
      <c r="H761">
        <v>1</v>
      </c>
      <c r="I761">
        <f t="shared" si="55"/>
        <v>2</v>
      </c>
      <c r="J761" s="2">
        <f t="shared" si="56"/>
        <v>2</v>
      </c>
      <c r="K761">
        <f t="shared" si="57"/>
        <v>1</v>
      </c>
      <c r="L761" t="str">
        <f t="shared" si="58"/>
        <v>Funded</v>
      </c>
      <c r="M761">
        <f t="shared" si="59"/>
        <v>0</v>
      </c>
    </row>
    <row r="762" spans="1:13" x14ac:dyDescent="0.25">
      <c r="A762" t="s">
        <v>1771</v>
      </c>
      <c r="B762" t="s">
        <v>47</v>
      </c>
      <c r="C762" t="s">
        <v>47</v>
      </c>
      <c r="D762" t="s">
        <v>1772</v>
      </c>
      <c r="E762" t="s">
        <v>44</v>
      </c>
      <c r="F762" t="s">
        <v>21</v>
      </c>
      <c r="H762">
        <v>1</v>
      </c>
      <c r="I762">
        <f t="shared" si="55"/>
        <v>2</v>
      </c>
      <c r="J762" s="2">
        <f t="shared" si="56"/>
        <v>2</v>
      </c>
      <c r="K762">
        <f t="shared" si="57"/>
        <v>1</v>
      </c>
      <c r="L762" t="str">
        <f t="shared" si="58"/>
        <v>Funded</v>
      </c>
      <c r="M762">
        <f t="shared" si="59"/>
        <v>0</v>
      </c>
    </row>
    <row r="763" spans="1:13" x14ac:dyDescent="0.25">
      <c r="A763" t="s">
        <v>1773</v>
      </c>
      <c r="B763" t="s">
        <v>47</v>
      </c>
      <c r="C763" t="s">
        <v>1774</v>
      </c>
      <c r="D763" t="s">
        <v>79</v>
      </c>
      <c r="E763" t="s">
        <v>210</v>
      </c>
      <c r="F763" t="s">
        <v>50</v>
      </c>
      <c r="H763">
        <v>1</v>
      </c>
      <c r="I763">
        <f t="shared" si="55"/>
        <v>2</v>
      </c>
      <c r="J763" s="2">
        <f t="shared" si="56"/>
        <v>0.32500000000000001</v>
      </c>
      <c r="K763">
        <f t="shared" si="57"/>
        <v>6.1538461538461533</v>
      </c>
      <c r="L763" t="str">
        <f t="shared" si="58"/>
        <v>Funded</v>
      </c>
      <c r="M763">
        <f t="shared" si="59"/>
        <v>1.8170772772123447</v>
      </c>
    </row>
    <row r="764" spans="1:13" x14ac:dyDescent="0.25">
      <c r="A764" t="s">
        <v>1775</v>
      </c>
      <c r="B764" t="s">
        <v>47</v>
      </c>
      <c r="C764" t="s">
        <v>1498</v>
      </c>
      <c r="D764" t="s">
        <v>1282</v>
      </c>
      <c r="E764" t="s">
        <v>210</v>
      </c>
      <c r="F764" t="s">
        <v>50</v>
      </c>
      <c r="H764">
        <v>1</v>
      </c>
      <c r="I764">
        <f t="shared" si="55"/>
        <v>2</v>
      </c>
      <c r="J764" s="2">
        <f t="shared" si="56"/>
        <v>0.26600000000000001</v>
      </c>
      <c r="K764">
        <f t="shared" si="57"/>
        <v>7.518796992481203</v>
      </c>
      <c r="L764" t="str">
        <f t="shared" si="58"/>
        <v>Funded</v>
      </c>
      <c r="M764">
        <f t="shared" si="59"/>
        <v>2.0174061507603831</v>
      </c>
    </row>
    <row r="765" spans="1:13" x14ac:dyDescent="0.25">
      <c r="A765" t="s">
        <v>1776</v>
      </c>
      <c r="B765" t="s">
        <v>47</v>
      </c>
      <c r="C765" t="s">
        <v>1777</v>
      </c>
      <c r="D765" t="s">
        <v>409</v>
      </c>
      <c r="E765" t="s">
        <v>10</v>
      </c>
      <c r="F765" t="s">
        <v>11</v>
      </c>
      <c r="H765">
        <v>1</v>
      </c>
      <c r="I765">
        <f t="shared" si="55"/>
        <v>2</v>
      </c>
      <c r="J765" s="2">
        <f t="shared" si="56"/>
        <v>0.68600000000000005</v>
      </c>
      <c r="K765">
        <f t="shared" si="57"/>
        <v>2.9154518950437316</v>
      </c>
      <c r="L765" t="str">
        <f t="shared" si="58"/>
        <v>Funded</v>
      </c>
      <c r="M765">
        <f t="shared" si="59"/>
        <v>1.0700248318161971</v>
      </c>
    </row>
    <row r="766" spans="1:13" x14ac:dyDescent="0.25">
      <c r="A766" t="s">
        <v>1778</v>
      </c>
      <c r="B766" t="s">
        <v>47</v>
      </c>
      <c r="C766" t="s">
        <v>1001</v>
      </c>
      <c r="D766" t="s">
        <v>1779</v>
      </c>
      <c r="E766" t="s">
        <v>10</v>
      </c>
      <c r="F766" t="s">
        <v>11</v>
      </c>
      <c r="H766">
        <v>1</v>
      </c>
      <c r="I766">
        <f t="shared" si="55"/>
        <v>2</v>
      </c>
      <c r="J766" s="2">
        <f t="shared" si="56"/>
        <v>0.20200000000000001</v>
      </c>
      <c r="K766">
        <f t="shared" si="57"/>
        <v>9.9009900990099009</v>
      </c>
      <c r="L766" t="str">
        <f t="shared" si="58"/>
        <v>Funded</v>
      </c>
      <c r="M766">
        <f t="shared" si="59"/>
        <v>2.2926347621408776</v>
      </c>
    </row>
    <row r="767" spans="1:13" x14ac:dyDescent="0.25">
      <c r="A767" t="s">
        <v>1780</v>
      </c>
      <c r="B767" t="s">
        <v>47</v>
      </c>
      <c r="C767" t="s">
        <v>1743</v>
      </c>
      <c r="D767" t="s">
        <v>316</v>
      </c>
      <c r="E767" t="s">
        <v>10</v>
      </c>
      <c r="F767" t="s">
        <v>11</v>
      </c>
      <c r="H767">
        <v>1</v>
      </c>
      <c r="I767">
        <f t="shared" si="55"/>
        <v>2</v>
      </c>
      <c r="J767" s="2">
        <f t="shared" si="56"/>
        <v>0.253</v>
      </c>
      <c r="K767">
        <f t="shared" si="57"/>
        <v>7.9051383399209483</v>
      </c>
      <c r="L767" t="str">
        <f t="shared" si="58"/>
        <v>Funded</v>
      </c>
      <c r="M767">
        <f t="shared" si="59"/>
        <v>2.0675129708145619</v>
      </c>
    </row>
    <row r="768" spans="1:13" x14ac:dyDescent="0.25">
      <c r="A768" t="s">
        <v>1781</v>
      </c>
      <c r="B768" t="s">
        <v>47</v>
      </c>
      <c r="C768" t="s">
        <v>943</v>
      </c>
      <c r="D768" t="s">
        <v>1782</v>
      </c>
      <c r="E768" t="s">
        <v>10</v>
      </c>
      <c r="F768" t="s">
        <v>11</v>
      </c>
      <c r="H768">
        <v>1</v>
      </c>
      <c r="I768">
        <f t="shared" si="55"/>
        <v>2</v>
      </c>
      <c r="J768" s="2">
        <f t="shared" si="56"/>
        <v>0.46700000000000003</v>
      </c>
      <c r="K768">
        <f t="shared" si="57"/>
        <v>4.2826552462526761</v>
      </c>
      <c r="L768" t="str">
        <f t="shared" si="58"/>
        <v>Funded</v>
      </c>
      <c r="M768">
        <f t="shared" si="59"/>
        <v>1.454573201873185</v>
      </c>
    </row>
    <row r="769" spans="1:13" x14ac:dyDescent="0.25">
      <c r="A769" t="s">
        <v>1783</v>
      </c>
      <c r="B769" t="s">
        <v>47</v>
      </c>
      <c r="C769" t="s">
        <v>1784</v>
      </c>
      <c r="D769" t="s">
        <v>1785</v>
      </c>
      <c r="E769" t="s">
        <v>10</v>
      </c>
      <c r="F769" t="s">
        <v>11</v>
      </c>
      <c r="H769">
        <v>1</v>
      </c>
      <c r="I769">
        <f t="shared" si="55"/>
        <v>2</v>
      </c>
      <c r="J769" s="2">
        <f t="shared" si="56"/>
        <v>0.20599999999999999</v>
      </c>
      <c r="K769">
        <f t="shared" si="57"/>
        <v>9.7087378640776709</v>
      </c>
      <c r="L769" t="str">
        <f t="shared" si="58"/>
        <v>Funded</v>
      </c>
      <c r="M769">
        <f t="shared" si="59"/>
        <v>2.2730262907525014</v>
      </c>
    </row>
    <row r="770" spans="1:13" x14ac:dyDescent="0.25">
      <c r="A770" t="s">
        <v>1786</v>
      </c>
      <c r="B770" t="s">
        <v>47</v>
      </c>
      <c r="C770" t="s">
        <v>645</v>
      </c>
      <c r="D770" t="s">
        <v>1053</v>
      </c>
      <c r="E770" t="s">
        <v>44</v>
      </c>
      <c r="F770" t="s">
        <v>21</v>
      </c>
      <c r="H770">
        <v>1</v>
      </c>
      <c r="I770">
        <f t="shared" si="55"/>
        <v>2</v>
      </c>
      <c r="J770" s="2">
        <f t="shared" si="56"/>
        <v>0.2</v>
      </c>
      <c r="K770">
        <f t="shared" si="57"/>
        <v>10</v>
      </c>
      <c r="L770" t="str">
        <f t="shared" si="58"/>
        <v>Funded</v>
      </c>
      <c r="M770">
        <f t="shared" si="59"/>
        <v>2.3025850929940459</v>
      </c>
    </row>
    <row r="771" spans="1:13" x14ac:dyDescent="0.25">
      <c r="A771" t="s">
        <v>1787</v>
      </c>
      <c r="B771" t="s">
        <v>47</v>
      </c>
      <c r="C771" t="s">
        <v>1788</v>
      </c>
      <c r="D771" t="s">
        <v>955</v>
      </c>
      <c r="E771" t="s">
        <v>787</v>
      </c>
      <c r="F771" t="s">
        <v>50</v>
      </c>
      <c r="H771">
        <v>1</v>
      </c>
      <c r="I771">
        <f t="shared" ref="I771:I834" si="60">IF(B771="","",
VALUE(SUBSTITUTE(SUBSTITUTE(B771,"$",""),"B","")))</f>
        <v>2</v>
      </c>
      <c r="J771" s="2">
        <f t="shared" ref="J771:J834" si="61">IF(C771="","",
IF(C771="$0",0,
IF(RIGHT(C771,1)="B",
VALUE(SUBSTITUTE(SUBSTITUTE(C771,"$",""),"B","")),
IF(RIGHT(C771,1)="M",
VALUE(SUBSTITUTE(SUBSTITUTE(C771,"$",""),"M",""))/1000,
IF(RIGHT(C771,1)="K",
VALUE(SUBSTITUTE(SUBSTITUTE(C771,"$",""),"K",""))/1000000,
VALUE(SUBSTITUTE(C771,"$",""))
)))))</f>
        <v>0.54700000000000004</v>
      </c>
      <c r="K771">
        <f t="shared" ref="K771:K834" si="62">IF(J771&gt;0,I771/J771,"")</f>
        <v>3.6563071297989027</v>
      </c>
      <c r="L771" t="str">
        <f t="shared" ref="L771:L834" si="63">IF(J771=0,"Bootstrapped","Funded")</f>
        <v>Funded</v>
      </c>
      <c r="M771">
        <f t="shared" ref="M771:M834" si="64">IF(AND(I771&gt;0,J771&gt;0),LN(I771/J771),"")</f>
        <v>1.2964536571201011</v>
      </c>
    </row>
    <row r="772" spans="1:13" x14ac:dyDescent="0.25">
      <c r="A772" t="s">
        <v>1789</v>
      </c>
      <c r="B772" t="s">
        <v>47</v>
      </c>
      <c r="C772" t="s">
        <v>345</v>
      </c>
      <c r="D772" t="s">
        <v>641</v>
      </c>
      <c r="E772" t="s">
        <v>365</v>
      </c>
      <c r="F772" t="s">
        <v>11</v>
      </c>
      <c r="H772">
        <v>1</v>
      </c>
      <c r="I772">
        <f t="shared" si="60"/>
        <v>2</v>
      </c>
      <c r="J772" s="2">
        <f t="shared" si="61"/>
        <v>0.47399999999999998</v>
      </c>
      <c r="K772">
        <f t="shared" si="62"/>
        <v>4.2194092827004219</v>
      </c>
      <c r="L772" t="str">
        <f t="shared" si="63"/>
        <v>Funded</v>
      </c>
      <c r="M772">
        <f t="shared" si="64"/>
        <v>1.4396951378470058</v>
      </c>
    </row>
    <row r="773" spans="1:13" x14ac:dyDescent="0.25">
      <c r="A773" t="s">
        <v>1790</v>
      </c>
      <c r="B773" t="s">
        <v>47</v>
      </c>
      <c r="C773" t="s">
        <v>1791</v>
      </c>
      <c r="D773" t="s">
        <v>1792</v>
      </c>
      <c r="E773" t="s">
        <v>1172</v>
      </c>
      <c r="F773" t="s">
        <v>21</v>
      </c>
      <c r="H773">
        <v>1</v>
      </c>
      <c r="I773">
        <f t="shared" si="60"/>
        <v>2</v>
      </c>
      <c r="J773" s="2">
        <f t="shared" si="61"/>
        <v>0.63800000000000001</v>
      </c>
      <c r="K773">
        <f t="shared" si="62"/>
        <v>3.134796238244514</v>
      </c>
      <c r="L773" t="str">
        <f t="shared" si="63"/>
        <v>Funded</v>
      </c>
      <c r="M773">
        <f t="shared" si="64"/>
        <v>1.1425641761972924</v>
      </c>
    </row>
    <row r="774" spans="1:13" x14ac:dyDescent="0.25">
      <c r="A774" t="s">
        <v>1793</v>
      </c>
      <c r="B774" t="s">
        <v>47</v>
      </c>
      <c r="C774" t="s">
        <v>556</v>
      </c>
      <c r="D774" t="s">
        <v>1794</v>
      </c>
      <c r="E774" t="s">
        <v>10</v>
      </c>
      <c r="F774" t="s">
        <v>11</v>
      </c>
      <c r="H774">
        <v>1</v>
      </c>
      <c r="I774">
        <f t="shared" si="60"/>
        <v>2</v>
      </c>
      <c r="J774" s="2">
        <f t="shared" si="61"/>
        <v>0.35</v>
      </c>
      <c r="K774">
        <f t="shared" si="62"/>
        <v>5.7142857142857144</v>
      </c>
      <c r="L774" t="str">
        <f t="shared" si="63"/>
        <v>Funded</v>
      </c>
      <c r="M774">
        <f t="shared" si="64"/>
        <v>1.742969305058623</v>
      </c>
    </row>
    <row r="775" spans="1:13" x14ac:dyDescent="0.25">
      <c r="A775" t="s">
        <v>1795</v>
      </c>
      <c r="B775" t="s">
        <v>47</v>
      </c>
      <c r="C775" t="s">
        <v>1569</v>
      </c>
      <c r="D775" t="s">
        <v>1796</v>
      </c>
      <c r="E775" t="s">
        <v>10</v>
      </c>
      <c r="F775" t="s">
        <v>11</v>
      </c>
      <c r="H775">
        <v>1</v>
      </c>
      <c r="I775">
        <f t="shared" si="60"/>
        <v>2</v>
      </c>
      <c r="J775" s="2">
        <f t="shared" si="61"/>
        <v>0.251</v>
      </c>
      <c r="K775">
        <f t="shared" si="62"/>
        <v>7.9681274900398407</v>
      </c>
      <c r="L775" t="str">
        <f t="shared" si="63"/>
        <v>Funded</v>
      </c>
      <c r="M775">
        <f t="shared" si="64"/>
        <v>2.0754495204102983</v>
      </c>
    </row>
    <row r="776" spans="1:13" x14ac:dyDescent="0.25">
      <c r="A776" t="s">
        <v>1797</v>
      </c>
      <c r="B776" t="s">
        <v>47</v>
      </c>
      <c r="C776" t="s">
        <v>1798</v>
      </c>
      <c r="D776" t="s">
        <v>254</v>
      </c>
      <c r="E776" t="s">
        <v>49</v>
      </c>
      <c r="F776" t="s">
        <v>50</v>
      </c>
      <c r="H776">
        <v>1</v>
      </c>
      <c r="I776">
        <f t="shared" si="60"/>
        <v>2</v>
      </c>
      <c r="J776" s="2">
        <f t="shared" si="61"/>
        <v>0.372</v>
      </c>
      <c r="K776">
        <f t="shared" si="62"/>
        <v>5.376344086021505</v>
      </c>
      <c r="L776" t="str">
        <f t="shared" si="63"/>
        <v>Funded</v>
      </c>
      <c r="M776">
        <f t="shared" si="64"/>
        <v>1.6820086052689358</v>
      </c>
    </row>
    <row r="777" spans="1:13" x14ac:dyDescent="0.25">
      <c r="A777" t="s">
        <v>1799</v>
      </c>
      <c r="B777" t="s">
        <v>47</v>
      </c>
      <c r="C777" t="s">
        <v>1363</v>
      </c>
      <c r="D777" t="s">
        <v>1800</v>
      </c>
      <c r="E777" t="s">
        <v>648</v>
      </c>
      <c r="F777" t="s">
        <v>50</v>
      </c>
      <c r="H777">
        <v>1</v>
      </c>
      <c r="I777">
        <f t="shared" si="60"/>
        <v>2</v>
      </c>
      <c r="J777" s="2">
        <f t="shared" si="61"/>
        <v>0.29299999999999998</v>
      </c>
      <c r="K777">
        <f t="shared" si="62"/>
        <v>6.8259385665529013</v>
      </c>
      <c r="L777" t="str">
        <f t="shared" si="63"/>
        <v>Funded</v>
      </c>
      <c r="M777">
        <f t="shared" si="64"/>
        <v>1.920729850525015</v>
      </c>
    </row>
    <row r="778" spans="1:13" x14ac:dyDescent="0.25">
      <c r="A778" t="s">
        <v>1801</v>
      </c>
      <c r="B778" t="s">
        <v>47</v>
      </c>
      <c r="C778" t="s">
        <v>1802</v>
      </c>
      <c r="D778" t="s">
        <v>1803</v>
      </c>
      <c r="E778" t="s">
        <v>10</v>
      </c>
      <c r="F778" t="s">
        <v>11</v>
      </c>
      <c r="H778">
        <v>1</v>
      </c>
      <c r="I778">
        <f t="shared" si="60"/>
        <v>2</v>
      </c>
      <c r="J778" s="2">
        <f t="shared" si="61"/>
        <v>0.26200000000000001</v>
      </c>
      <c r="K778">
        <f t="shared" si="62"/>
        <v>7.6335877862595414</v>
      </c>
      <c r="L778" t="str">
        <f t="shared" si="63"/>
        <v>Funded</v>
      </c>
      <c r="M778">
        <f t="shared" si="64"/>
        <v>2.0325579557809856</v>
      </c>
    </row>
    <row r="779" spans="1:13" x14ac:dyDescent="0.25">
      <c r="A779" t="s">
        <v>1804</v>
      </c>
      <c r="B779" t="s">
        <v>47</v>
      </c>
      <c r="C779" t="s">
        <v>1805</v>
      </c>
      <c r="D779" t="s">
        <v>1806</v>
      </c>
      <c r="E779" t="s">
        <v>170</v>
      </c>
      <c r="F779" t="s">
        <v>50</v>
      </c>
      <c r="H779">
        <v>1</v>
      </c>
      <c r="I779">
        <f t="shared" si="60"/>
        <v>2</v>
      </c>
      <c r="J779" s="2">
        <f t="shared" si="61"/>
        <v>0.55300000000000005</v>
      </c>
      <c r="K779">
        <f t="shared" si="62"/>
        <v>3.6166365280289328</v>
      </c>
      <c r="L779" t="str">
        <f t="shared" si="63"/>
        <v>Funded</v>
      </c>
      <c r="M779">
        <f t="shared" si="64"/>
        <v>1.2855444580197475</v>
      </c>
    </row>
    <row r="780" spans="1:13" x14ac:dyDescent="0.25">
      <c r="A780" t="s">
        <v>1807</v>
      </c>
      <c r="B780" t="s">
        <v>47</v>
      </c>
      <c r="C780" t="s">
        <v>1638</v>
      </c>
      <c r="D780" t="s">
        <v>55</v>
      </c>
      <c r="E780" t="s">
        <v>1035</v>
      </c>
      <c r="F780" t="s">
        <v>21</v>
      </c>
      <c r="H780">
        <v>1</v>
      </c>
      <c r="I780">
        <f t="shared" si="60"/>
        <v>2</v>
      </c>
      <c r="J780" s="2">
        <f t="shared" si="61"/>
        <v>0.39</v>
      </c>
      <c r="K780">
        <f t="shared" si="62"/>
        <v>5.1282051282051277</v>
      </c>
      <c r="L780" t="str">
        <f t="shared" si="63"/>
        <v>Funded</v>
      </c>
      <c r="M780">
        <f t="shared" si="64"/>
        <v>1.6347557204183902</v>
      </c>
    </row>
    <row r="781" spans="1:13" x14ac:dyDescent="0.25">
      <c r="A781" t="s">
        <v>1808</v>
      </c>
      <c r="B781" t="s">
        <v>47</v>
      </c>
      <c r="C781" t="s">
        <v>1390</v>
      </c>
      <c r="D781" t="s">
        <v>1535</v>
      </c>
      <c r="E781" t="s">
        <v>10</v>
      </c>
      <c r="F781" t="s">
        <v>11</v>
      </c>
      <c r="H781">
        <v>1</v>
      </c>
      <c r="I781">
        <f t="shared" si="60"/>
        <v>2</v>
      </c>
      <c r="J781" s="2">
        <f t="shared" si="61"/>
        <v>0.315</v>
      </c>
      <c r="K781">
        <f t="shared" si="62"/>
        <v>6.3492063492063489</v>
      </c>
      <c r="L781" t="str">
        <f t="shared" si="63"/>
        <v>Funded</v>
      </c>
      <c r="M781">
        <f t="shared" si="64"/>
        <v>1.8483298207164491</v>
      </c>
    </row>
    <row r="782" spans="1:13" x14ac:dyDescent="0.25">
      <c r="A782" t="s">
        <v>1809</v>
      </c>
      <c r="B782" t="s">
        <v>47</v>
      </c>
      <c r="C782" t="s">
        <v>1549</v>
      </c>
      <c r="D782" t="s">
        <v>254</v>
      </c>
      <c r="E782" t="s">
        <v>10</v>
      </c>
      <c r="F782" t="s">
        <v>11</v>
      </c>
      <c r="H782">
        <v>1</v>
      </c>
      <c r="I782">
        <f t="shared" si="60"/>
        <v>2</v>
      </c>
      <c r="J782" s="2">
        <f t="shared" si="61"/>
        <v>0.34200000000000003</v>
      </c>
      <c r="K782">
        <f t="shared" si="62"/>
        <v>5.8479532163742682</v>
      </c>
      <c r="L782" t="str">
        <f t="shared" si="63"/>
        <v>Funded</v>
      </c>
      <c r="M782">
        <f t="shared" si="64"/>
        <v>1.766091722479477</v>
      </c>
    </row>
    <row r="783" spans="1:13" x14ac:dyDescent="0.25">
      <c r="A783" t="s">
        <v>1810</v>
      </c>
      <c r="B783" t="s">
        <v>47</v>
      </c>
      <c r="C783" t="s">
        <v>1569</v>
      </c>
      <c r="D783" t="s">
        <v>1811</v>
      </c>
      <c r="E783" t="s">
        <v>10</v>
      </c>
      <c r="F783" t="s">
        <v>11</v>
      </c>
      <c r="H783">
        <v>1</v>
      </c>
      <c r="I783">
        <f t="shared" si="60"/>
        <v>2</v>
      </c>
      <c r="J783" s="2">
        <f t="shared" si="61"/>
        <v>0.251</v>
      </c>
      <c r="K783">
        <f t="shared" si="62"/>
        <v>7.9681274900398407</v>
      </c>
      <c r="L783" t="str">
        <f t="shared" si="63"/>
        <v>Funded</v>
      </c>
      <c r="M783">
        <f t="shared" si="64"/>
        <v>2.0754495204102983</v>
      </c>
    </row>
    <row r="784" spans="1:13" x14ac:dyDescent="0.25">
      <c r="A784" t="s">
        <v>1812</v>
      </c>
      <c r="B784" t="s">
        <v>47</v>
      </c>
      <c r="C784" t="s">
        <v>1276</v>
      </c>
      <c r="D784" t="s">
        <v>1813</v>
      </c>
      <c r="E784" t="s">
        <v>10</v>
      </c>
      <c r="F784" t="s">
        <v>11</v>
      </c>
      <c r="H784">
        <v>1</v>
      </c>
      <c r="I784">
        <f t="shared" si="60"/>
        <v>2</v>
      </c>
      <c r="J784" s="2">
        <f t="shared" si="61"/>
        <v>0.27700000000000002</v>
      </c>
      <c r="K784">
        <f t="shared" si="62"/>
        <v>7.2202166064981945</v>
      </c>
      <c r="L784" t="str">
        <f t="shared" si="63"/>
        <v>Funded</v>
      </c>
      <c r="M784">
        <f t="shared" si="64"/>
        <v>1.9768849533547439</v>
      </c>
    </row>
    <row r="785" spans="1:13" x14ac:dyDescent="0.25">
      <c r="A785" t="s">
        <v>1814</v>
      </c>
      <c r="B785" t="s">
        <v>47</v>
      </c>
      <c r="C785" t="s">
        <v>1815</v>
      </c>
      <c r="D785" t="s">
        <v>254</v>
      </c>
      <c r="E785" t="s">
        <v>10</v>
      </c>
      <c r="F785" t="s">
        <v>11</v>
      </c>
      <c r="H785">
        <v>1</v>
      </c>
      <c r="I785">
        <f t="shared" si="60"/>
        <v>2</v>
      </c>
      <c r="J785" s="2">
        <f t="shared" si="61"/>
        <v>0.35299999999999998</v>
      </c>
      <c r="K785">
        <f t="shared" si="62"/>
        <v>5.6657223796034</v>
      </c>
      <c r="L785" t="str">
        <f t="shared" si="63"/>
        <v>Funded</v>
      </c>
      <c r="M785">
        <f t="shared" si="64"/>
        <v>1.7344344026087857</v>
      </c>
    </row>
    <row r="786" spans="1:13" x14ac:dyDescent="0.25">
      <c r="A786" t="s">
        <v>1816</v>
      </c>
      <c r="B786" t="s">
        <v>47</v>
      </c>
      <c r="C786" t="s">
        <v>1817</v>
      </c>
      <c r="D786" t="s">
        <v>1818</v>
      </c>
      <c r="E786" t="s">
        <v>10</v>
      </c>
      <c r="F786" t="s">
        <v>11</v>
      </c>
      <c r="H786">
        <v>1</v>
      </c>
      <c r="I786">
        <f t="shared" si="60"/>
        <v>2</v>
      </c>
      <c r="J786" s="2">
        <f t="shared" si="61"/>
        <v>0.73299999999999998</v>
      </c>
      <c r="K786">
        <f t="shared" si="62"/>
        <v>2.7285129604365621</v>
      </c>
      <c r="L786" t="str">
        <f t="shared" si="63"/>
        <v>Funded</v>
      </c>
      <c r="M786">
        <f t="shared" si="64"/>
        <v>1.0037567576554309</v>
      </c>
    </row>
    <row r="787" spans="1:13" x14ac:dyDescent="0.25">
      <c r="A787" t="s">
        <v>1819</v>
      </c>
      <c r="B787" t="s">
        <v>47</v>
      </c>
      <c r="C787" t="s">
        <v>1820</v>
      </c>
      <c r="D787" t="s">
        <v>1601</v>
      </c>
      <c r="E787" t="s">
        <v>10</v>
      </c>
      <c r="F787" t="s">
        <v>11</v>
      </c>
      <c r="H787">
        <v>1</v>
      </c>
      <c r="I787">
        <f t="shared" si="60"/>
        <v>2</v>
      </c>
      <c r="J787" s="2">
        <f t="shared" si="61"/>
        <v>0.88500000000000001</v>
      </c>
      <c r="K787">
        <f t="shared" si="62"/>
        <v>2.2598870056497176</v>
      </c>
      <c r="L787" t="str">
        <f t="shared" si="63"/>
        <v>Funded</v>
      </c>
      <c r="M787">
        <f t="shared" si="64"/>
        <v>0.81531481453415289</v>
      </c>
    </row>
    <row r="788" spans="1:13" x14ac:dyDescent="0.25">
      <c r="A788" t="s">
        <v>1821</v>
      </c>
      <c r="B788" t="s">
        <v>47</v>
      </c>
      <c r="C788" t="s">
        <v>1822</v>
      </c>
      <c r="D788" t="s">
        <v>1823</v>
      </c>
      <c r="E788" t="s">
        <v>10</v>
      </c>
      <c r="F788" t="s">
        <v>11</v>
      </c>
      <c r="H788">
        <v>1</v>
      </c>
      <c r="I788">
        <f t="shared" si="60"/>
        <v>2</v>
      </c>
      <c r="J788" s="2">
        <f t="shared" si="61"/>
        <v>0.23699999999999999</v>
      </c>
      <c r="K788">
        <f t="shared" si="62"/>
        <v>8.4388185654008439</v>
      </c>
      <c r="L788" t="str">
        <f t="shared" si="63"/>
        <v>Funded</v>
      </c>
      <c r="M788">
        <f t="shared" si="64"/>
        <v>2.1328423184069512</v>
      </c>
    </row>
    <row r="789" spans="1:13" x14ac:dyDescent="0.25">
      <c r="A789" t="s">
        <v>1824</v>
      </c>
      <c r="B789" t="s">
        <v>47</v>
      </c>
      <c r="C789" t="s">
        <v>47</v>
      </c>
      <c r="D789" t="s">
        <v>1825</v>
      </c>
      <c r="E789" t="s">
        <v>10</v>
      </c>
      <c r="F789" t="s">
        <v>11</v>
      </c>
      <c r="H789">
        <v>1</v>
      </c>
      <c r="I789">
        <f t="shared" si="60"/>
        <v>2</v>
      </c>
      <c r="J789" s="2">
        <f t="shared" si="61"/>
        <v>2</v>
      </c>
      <c r="K789">
        <f t="shared" si="62"/>
        <v>1</v>
      </c>
      <c r="L789" t="str">
        <f t="shared" si="63"/>
        <v>Funded</v>
      </c>
      <c r="M789">
        <f t="shared" si="64"/>
        <v>0</v>
      </c>
    </row>
    <row r="790" spans="1:13" x14ac:dyDescent="0.25">
      <c r="A790" t="s">
        <v>1826</v>
      </c>
      <c r="B790" t="s">
        <v>47</v>
      </c>
      <c r="C790" t="s">
        <v>1827</v>
      </c>
      <c r="D790" t="s">
        <v>1828</v>
      </c>
      <c r="E790" t="s">
        <v>1829</v>
      </c>
      <c r="F790" t="s">
        <v>21</v>
      </c>
      <c r="H790">
        <v>1</v>
      </c>
      <c r="I790">
        <f t="shared" si="60"/>
        <v>2</v>
      </c>
      <c r="J790" s="2">
        <f t="shared" si="61"/>
        <v>0.57699999999999996</v>
      </c>
      <c r="K790">
        <f t="shared" si="62"/>
        <v>3.4662045060658579</v>
      </c>
      <c r="L790" t="str">
        <f t="shared" si="63"/>
        <v>Funded</v>
      </c>
      <c r="M790">
        <f t="shared" si="64"/>
        <v>1.2430601930339829</v>
      </c>
    </row>
    <row r="791" spans="1:13" x14ac:dyDescent="0.25">
      <c r="A791" t="s">
        <v>1830</v>
      </c>
      <c r="B791" t="s">
        <v>47</v>
      </c>
      <c r="C791" t="s">
        <v>1831</v>
      </c>
      <c r="D791" t="s">
        <v>1232</v>
      </c>
      <c r="E791" t="s">
        <v>44</v>
      </c>
      <c r="F791" t="s">
        <v>21</v>
      </c>
      <c r="H791">
        <v>1</v>
      </c>
      <c r="I791">
        <f t="shared" si="60"/>
        <v>2</v>
      </c>
      <c r="J791" s="2">
        <f t="shared" si="61"/>
        <v>0.378</v>
      </c>
      <c r="K791">
        <f t="shared" si="62"/>
        <v>5.2910052910052912</v>
      </c>
      <c r="L791" t="str">
        <f t="shared" si="63"/>
        <v>Funded</v>
      </c>
      <c r="M791">
        <f t="shared" si="64"/>
        <v>1.6660082639224947</v>
      </c>
    </row>
    <row r="792" spans="1:13" x14ac:dyDescent="0.25">
      <c r="A792" t="s">
        <v>1832</v>
      </c>
      <c r="B792" t="s">
        <v>47</v>
      </c>
      <c r="C792" t="s">
        <v>1525</v>
      </c>
      <c r="D792" t="s">
        <v>413</v>
      </c>
      <c r="E792" t="s">
        <v>10</v>
      </c>
      <c r="F792" t="s">
        <v>11</v>
      </c>
      <c r="H792">
        <v>1</v>
      </c>
      <c r="I792">
        <f t="shared" si="60"/>
        <v>2</v>
      </c>
      <c r="J792" s="2">
        <f t="shared" si="61"/>
        <v>0.432</v>
      </c>
      <c r="K792">
        <f t="shared" si="62"/>
        <v>4.6296296296296298</v>
      </c>
      <c r="L792" t="str">
        <f t="shared" si="63"/>
        <v>Funded</v>
      </c>
      <c r="M792">
        <f t="shared" si="64"/>
        <v>1.5324768712979722</v>
      </c>
    </row>
    <row r="793" spans="1:13" x14ac:dyDescent="0.25">
      <c r="A793" t="s">
        <v>1833</v>
      </c>
      <c r="B793" t="s">
        <v>47</v>
      </c>
      <c r="C793" t="s">
        <v>986</v>
      </c>
      <c r="D793" t="s">
        <v>1834</v>
      </c>
      <c r="E793" t="s">
        <v>10</v>
      </c>
      <c r="F793" t="s">
        <v>11</v>
      </c>
      <c r="H793">
        <v>1</v>
      </c>
      <c r="I793">
        <f t="shared" si="60"/>
        <v>2</v>
      </c>
      <c r="J793" s="2">
        <f t="shared" si="61"/>
        <v>0.29899999999999999</v>
      </c>
      <c r="K793">
        <f t="shared" si="62"/>
        <v>6.6889632107023411</v>
      </c>
      <c r="L793" t="str">
        <f t="shared" si="63"/>
        <v>Funded</v>
      </c>
      <c r="M793">
        <f t="shared" si="64"/>
        <v>1.900458886151396</v>
      </c>
    </row>
    <row r="794" spans="1:13" x14ac:dyDescent="0.25">
      <c r="A794" t="s">
        <v>1835</v>
      </c>
      <c r="B794" t="s">
        <v>47</v>
      </c>
      <c r="C794" t="s">
        <v>1390</v>
      </c>
      <c r="D794" t="s">
        <v>1836</v>
      </c>
      <c r="E794" t="s">
        <v>10</v>
      </c>
      <c r="F794" t="s">
        <v>11</v>
      </c>
      <c r="H794">
        <v>1</v>
      </c>
      <c r="I794">
        <f t="shared" si="60"/>
        <v>2</v>
      </c>
      <c r="J794" s="2">
        <f t="shared" si="61"/>
        <v>0.315</v>
      </c>
      <c r="K794">
        <f t="shared" si="62"/>
        <v>6.3492063492063489</v>
      </c>
      <c r="L794" t="str">
        <f t="shared" si="63"/>
        <v>Funded</v>
      </c>
      <c r="M794">
        <f t="shared" si="64"/>
        <v>1.8483298207164491</v>
      </c>
    </row>
    <row r="795" spans="1:13" x14ac:dyDescent="0.25">
      <c r="A795" t="s">
        <v>1837</v>
      </c>
      <c r="B795" t="s">
        <v>47</v>
      </c>
      <c r="C795" t="s">
        <v>1838</v>
      </c>
      <c r="D795" t="s">
        <v>611</v>
      </c>
      <c r="E795" t="s">
        <v>10</v>
      </c>
      <c r="F795" t="s">
        <v>11</v>
      </c>
      <c r="H795">
        <v>1</v>
      </c>
      <c r="I795">
        <f t="shared" si="60"/>
        <v>2</v>
      </c>
      <c r="J795" s="2">
        <f t="shared" si="61"/>
        <v>0.17899999999999999</v>
      </c>
      <c r="K795">
        <f t="shared" si="62"/>
        <v>11.173184357541899</v>
      </c>
      <c r="L795" t="str">
        <f t="shared" si="63"/>
        <v>Funded</v>
      </c>
      <c r="M795">
        <f t="shared" si="64"/>
        <v>2.4135166537013273</v>
      </c>
    </row>
    <row r="796" spans="1:13" x14ac:dyDescent="0.25">
      <c r="A796" t="s">
        <v>1839</v>
      </c>
      <c r="B796" t="s">
        <v>47</v>
      </c>
      <c r="C796" t="s">
        <v>1840</v>
      </c>
      <c r="D796" t="s">
        <v>1722</v>
      </c>
      <c r="E796" t="s">
        <v>10</v>
      </c>
      <c r="F796" t="s">
        <v>11</v>
      </c>
      <c r="H796">
        <v>1</v>
      </c>
      <c r="I796">
        <f t="shared" si="60"/>
        <v>2</v>
      </c>
      <c r="J796" s="2">
        <f t="shared" si="61"/>
        <v>0.30399999999999999</v>
      </c>
      <c r="K796">
        <f t="shared" si="62"/>
        <v>6.5789473684210531</v>
      </c>
      <c r="L796" t="str">
        <f t="shared" si="63"/>
        <v>Funded</v>
      </c>
      <c r="M796">
        <f t="shared" si="64"/>
        <v>1.8838747581358608</v>
      </c>
    </row>
    <row r="797" spans="1:13" x14ac:dyDescent="0.25">
      <c r="A797" t="s">
        <v>1841</v>
      </c>
      <c r="B797" t="s">
        <v>47</v>
      </c>
      <c r="C797" t="s">
        <v>1842</v>
      </c>
      <c r="D797" t="s">
        <v>1843</v>
      </c>
      <c r="E797" t="s">
        <v>10</v>
      </c>
      <c r="F797" t="s">
        <v>11</v>
      </c>
      <c r="H797">
        <v>1</v>
      </c>
      <c r="I797">
        <f t="shared" si="60"/>
        <v>2</v>
      </c>
      <c r="J797" s="2">
        <f t="shared" si="61"/>
        <v>0.41699999999999998</v>
      </c>
      <c r="K797">
        <f t="shared" si="62"/>
        <v>4.7961630695443649</v>
      </c>
      <c r="L797" t="str">
        <f t="shared" si="63"/>
        <v>Funded</v>
      </c>
      <c r="M797">
        <f t="shared" si="64"/>
        <v>1.5678162377432809</v>
      </c>
    </row>
    <row r="798" spans="1:13" x14ac:dyDescent="0.25">
      <c r="A798" t="s">
        <v>1844</v>
      </c>
      <c r="B798" t="s">
        <v>47</v>
      </c>
      <c r="C798" t="s">
        <v>1845</v>
      </c>
      <c r="D798" t="s">
        <v>1846</v>
      </c>
      <c r="E798" t="s">
        <v>170</v>
      </c>
      <c r="F798" t="s">
        <v>50</v>
      </c>
      <c r="H798">
        <v>1</v>
      </c>
      <c r="I798">
        <f t="shared" si="60"/>
        <v>2</v>
      </c>
      <c r="J798" s="2">
        <f t="shared" si="61"/>
        <v>0.35499999999999998</v>
      </c>
      <c r="K798">
        <f t="shared" si="62"/>
        <v>5.6338028169014089</v>
      </c>
      <c r="L798" t="str">
        <f t="shared" si="63"/>
        <v>Funded</v>
      </c>
      <c r="M798">
        <f t="shared" si="64"/>
        <v>1.7287846700666667</v>
      </c>
    </row>
    <row r="799" spans="1:13" x14ac:dyDescent="0.25">
      <c r="A799" t="s">
        <v>1847</v>
      </c>
      <c r="B799" t="s">
        <v>47</v>
      </c>
      <c r="C799" t="s">
        <v>1848</v>
      </c>
      <c r="D799" t="s">
        <v>1849</v>
      </c>
      <c r="E799" t="s">
        <v>49</v>
      </c>
      <c r="F799" t="s">
        <v>50</v>
      </c>
      <c r="H799">
        <v>1</v>
      </c>
      <c r="I799">
        <f t="shared" si="60"/>
        <v>2</v>
      </c>
      <c r="J799" s="2">
        <f t="shared" si="61"/>
        <v>0.41899999999999998</v>
      </c>
      <c r="K799">
        <f t="shared" si="62"/>
        <v>4.7732696897374707</v>
      </c>
      <c r="L799" t="str">
        <f t="shared" si="63"/>
        <v>Funded</v>
      </c>
      <c r="M799">
        <f t="shared" si="64"/>
        <v>1.5630315396199448</v>
      </c>
    </row>
    <row r="800" spans="1:13" x14ac:dyDescent="0.25">
      <c r="A800" t="s">
        <v>1850</v>
      </c>
      <c r="B800" t="s">
        <v>47</v>
      </c>
      <c r="C800" t="s">
        <v>1851</v>
      </c>
      <c r="D800" t="s">
        <v>1852</v>
      </c>
      <c r="E800" t="s">
        <v>10</v>
      </c>
      <c r="F800" t="s">
        <v>11</v>
      </c>
      <c r="H800">
        <v>1</v>
      </c>
      <c r="I800">
        <f t="shared" si="60"/>
        <v>2</v>
      </c>
      <c r="J800" s="2">
        <f t="shared" si="61"/>
        <v>0.20399999999999999</v>
      </c>
      <c r="K800">
        <f t="shared" si="62"/>
        <v>9.8039215686274517</v>
      </c>
      <c r="L800" t="str">
        <f t="shared" si="63"/>
        <v>Funded</v>
      </c>
      <c r="M800">
        <f t="shared" si="64"/>
        <v>2.2827824656978661</v>
      </c>
    </row>
    <row r="801" spans="1:13" x14ac:dyDescent="0.25">
      <c r="A801" t="s">
        <v>1853</v>
      </c>
      <c r="B801" t="s">
        <v>47</v>
      </c>
      <c r="C801" s="1">
        <v>0</v>
      </c>
      <c r="E801" t="s">
        <v>365</v>
      </c>
      <c r="F801" t="s">
        <v>11</v>
      </c>
      <c r="H801">
        <v>1</v>
      </c>
      <c r="I801">
        <f t="shared" si="60"/>
        <v>2</v>
      </c>
      <c r="J801" s="2">
        <f t="shared" si="61"/>
        <v>0</v>
      </c>
      <c r="K801" t="str">
        <f t="shared" si="62"/>
        <v/>
      </c>
      <c r="L801" t="str">
        <f t="shared" si="63"/>
        <v>Bootstrapped</v>
      </c>
      <c r="M801" t="str">
        <f t="shared" si="64"/>
        <v/>
      </c>
    </row>
    <row r="802" spans="1:13" x14ac:dyDescent="0.25">
      <c r="A802" t="s">
        <v>1854</v>
      </c>
      <c r="B802" t="s">
        <v>47</v>
      </c>
      <c r="C802" t="s">
        <v>1390</v>
      </c>
      <c r="D802" t="s">
        <v>469</v>
      </c>
      <c r="E802" t="s">
        <v>10</v>
      </c>
      <c r="F802" t="s">
        <v>11</v>
      </c>
      <c r="H802">
        <v>1</v>
      </c>
      <c r="I802">
        <f t="shared" si="60"/>
        <v>2</v>
      </c>
      <c r="J802" s="2">
        <f t="shared" si="61"/>
        <v>0.315</v>
      </c>
      <c r="K802">
        <f t="shared" si="62"/>
        <v>6.3492063492063489</v>
      </c>
      <c r="L802" t="str">
        <f t="shared" si="63"/>
        <v>Funded</v>
      </c>
      <c r="M802">
        <f t="shared" si="64"/>
        <v>1.8483298207164491</v>
      </c>
    </row>
    <row r="803" spans="1:13" x14ac:dyDescent="0.25">
      <c r="A803" t="s">
        <v>1855</v>
      </c>
      <c r="B803" t="s">
        <v>47</v>
      </c>
      <c r="C803" t="s">
        <v>1165</v>
      </c>
      <c r="D803" t="s">
        <v>1856</v>
      </c>
      <c r="H803">
        <v>1</v>
      </c>
      <c r="I803">
        <f t="shared" si="60"/>
        <v>2</v>
      </c>
      <c r="J803" s="2">
        <f t="shared" si="61"/>
        <v>0.57799999999999996</v>
      </c>
      <c r="K803">
        <f t="shared" si="62"/>
        <v>3.4602076124567476</v>
      </c>
      <c r="L803" t="str">
        <f t="shared" si="63"/>
        <v>Funded</v>
      </c>
      <c r="M803">
        <f t="shared" si="64"/>
        <v>1.2413285908697049</v>
      </c>
    </row>
    <row r="804" spans="1:13" x14ac:dyDescent="0.25">
      <c r="A804" t="s">
        <v>1857</v>
      </c>
      <c r="B804" t="s">
        <v>47</v>
      </c>
      <c r="C804" t="s">
        <v>106</v>
      </c>
      <c r="D804" t="s">
        <v>1361</v>
      </c>
      <c r="E804" t="s">
        <v>1858</v>
      </c>
      <c r="F804" t="s">
        <v>109</v>
      </c>
      <c r="H804">
        <v>1</v>
      </c>
      <c r="I804">
        <f t="shared" si="60"/>
        <v>2</v>
      </c>
      <c r="J804" s="2">
        <f t="shared" si="61"/>
        <v>0.21</v>
      </c>
      <c r="K804">
        <f t="shared" si="62"/>
        <v>9.5238095238095237</v>
      </c>
      <c r="L804" t="str">
        <f t="shared" si="63"/>
        <v>Funded</v>
      </c>
      <c r="M804">
        <f t="shared" si="64"/>
        <v>2.2537949288246137</v>
      </c>
    </row>
    <row r="805" spans="1:13" x14ac:dyDescent="0.25">
      <c r="A805" t="s">
        <v>1859</v>
      </c>
      <c r="B805" t="s">
        <v>47</v>
      </c>
      <c r="C805" t="s">
        <v>785</v>
      </c>
      <c r="D805" t="s">
        <v>1860</v>
      </c>
      <c r="E805" t="s">
        <v>10</v>
      </c>
      <c r="F805" t="s">
        <v>11</v>
      </c>
      <c r="H805">
        <v>1</v>
      </c>
      <c r="I805">
        <f t="shared" si="60"/>
        <v>2</v>
      </c>
      <c r="J805" s="2">
        <f t="shared" si="61"/>
        <v>0.25</v>
      </c>
      <c r="K805">
        <f t="shared" si="62"/>
        <v>8</v>
      </c>
      <c r="L805" t="str">
        <f t="shared" si="63"/>
        <v>Funded</v>
      </c>
      <c r="M805">
        <f t="shared" si="64"/>
        <v>2.0794415416798357</v>
      </c>
    </row>
    <row r="806" spans="1:13" x14ac:dyDescent="0.25">
      <c r="A806" t="s">
        <v>1861</v>
      </c>
      <c r="B806" t="s">
        <v>47</v>
      </c>
      <c r="C806" t="s">
        <v>715</v>
      </c>
      <c r="D806" t="s">
        <v>1862</v>
      </c>
      <c r="E806" t="s">
        <v>187</v>
      </c>
      <c r="F806" t="s">
        <v>50</v>
      </c>
      <c r="H806">
        <v>1</v>
      </c>
      <c r="I806">
        <f t="shared" si="60"/>
        <v>2</v>
      </c>
      <c r="J806" s="2">
        <f t="shared" si="61"/>
        <v>0.64300000000000002</v>
      </c>
      <c r="K806">
        <f t="shared" si="62"/>
        <v>3.1104199066874028</v>
      </c>
      <c r="L806" t="str">
        <f t="shared" si="63"/>
        <v>Funded</v>
      </c>
      <c r="M806">
        <f t="shared" si="64"/>
        <v>1.1347577353044629</v>
      </c>
    </row>
    <row r="807" spans="1:13" x14ac:dyDescent="0.25">
      <c r="A807" t="s">
        <v>1863</v>
      </c>
      <c r="B807" t="s">
        <v>47</v>
      </c>
      <c r="C807" t="s">
        <v>1864</v>
      </c>
      <c r="D807" t="s">
        <v>1865</v>
      </c>
      <c r="E807" t="s">
        <v>10</v>
      </c>
      <c r="F807" t="s">
        <v>11</v>
      </c>
      <c r="H807">
        <v>1</v>
      </c>
      <c r="I807">
        <f t="shared" si="60"/>
        <v>2</v>
      </c>
      <c r="J807" s="2">
        <f t="shared" si="61"/>
        <v>0.73199999999999998</v>
      </c>
      <c r="K807">
        <f t="shared" si="62"/>
        <v>2.7322404371584699</v>
      </c>
      <c r="L807" t="str">
        <f t="shared" si="63"/>
        <v>Funded</v>
      </c>
      <c r="M807">
        <f t="shared" si="64"/>
        <v>1.0051219455807707</v>
      </c>
    </row>
    <row r="808" spans="1:13" x14ac:dyDescent="0.25">
      <c r="A808" t="s">
        <v>1866</v>
      </c>
      <c r="B808" t="s">
        <v>47</v>
      </c>
      <c r="C808" t="s">
        <v>280</v>
      </c>
      <c r="D808" t="s">
        <v>1867</v>
      </c>
      <c r="E808" t="s">
        <v>20</v>
      </c>
      <c r="F808" t="s">
        <v>21</v>
      </c>
      <c r="H808">
        <v>1</v>
      </c>
      <c r="I808">
        <f t="shared" si="60"/>
        <v>2</v>
      </c>
      <c r="J808" s="2">
        <f t="shared" si="61"/>
        <v>0.746</v>
      </c>
      <c r="K808">
        <f t="shared" si="62"/>
        <v>2.6809651474530831</v>
      </c>
      <c r="L808" t="str">
        <f t="shared" si="63"/>
        <v>Funded</v>
      </c>
      <c r="M808">
        <f t="shared" si="64"/>
        <v>0.98617685933832155</v>
      </c>
    </row>
    <row r="809" spans="1:13" x14ac:dyDescent="0.25">
      <c r="A809" t="s">
        <v>1868</v>
      </c>
      <c r="B809" t="s">
        <v>47</v>
      </c>
      <c r="C809" t="s">
        <v>894</v>
      </c>
      <c r="D809" t="s">
        <v>1869</v>
      </c>
      <c r="E809" t="s">
        <v>62</v>
      </c>
      <c r="F809" t="s">
        <v>63</v>
      </c>
      <c r="H809">
        <v>1</v>
      </c>
      <c r="I809">
        <f t="shared" si="60"/>
        <v>2</v>
      </c>
      <c r="J809" s="2">
        <f t="shared" si="61"/>
        <v>0.29399999999999998</v>
      </c>
      <c r="K809">
        <f t="shared" si="62"/>
        <v>6.8027210884353746</v>
      </c>
      <c r="L809" t="str">
        <f t="shared" si="63"/>
        <v>Funded</v>
      </c>
      <c r="M809">
        <f t="shared" si="64"/>
        <v>1.9173226922034008</v>
      </c>
    </row>
    <row r="810" spans="1:13" x14ac:dyDescent="0.25">
      <c r="A810" t="s">
        <v>1870</v>
      </c>
      <c r="B810" t="s">
        <v>47</v>
      </c>
      <c r="C810" t="s">
        <v>1433</v>
      </c>
      <c r="D810" t="s">
        <v>1605</v>
      </c>
      <c r="E810" t="s">
        <v>1172</v>
      </c>
      <c r="F810" t="s">
        <v>21</v>
      </c>
      <c r="H810">
        <v>1</v>
      </c>
      <c r="I810">
        <f t="shared" si="60"/>
        <v>2</v>
      </c>
      <c r="J810" s="2">
        <f t="shared" si="61"/>
        <v>0.53</v>
      </c>
      <c r="K810">
        <f t="shared" si="62"/>
        <v>3.773584905660377</v>
      </c>
      <c r="L810" t="str">
        <f t="shared" si="63"/>
        <v>Funded</v>
      </c>
      <c r="M810">
        <f t="shared" si="64"/>
        <v>1.3280254529959148</v>
      </c>
    </row>
    <row r="811" spans="1:13" x14ac:dyDescent="0.25">
      <c r="A811" t="s">
        <v>1871</v>
      </c>
      <c r="B811" t="s">
        <v>47</v>
      </c>
      <c r="C811" t="s">
        <v>1872</v>
      </c>
      <c r="D811" t="s">
        <v>1873</v>
      </c>
      <c r="E811" t="s">
        <v>10</v>
      </c>
      <c r="F811" t="s">
        <v>11</v>
      </c>
      <c r="H811">
        <v>1</v>
      </c>
      <c r="I811">
        <f t="shared" si="60"/>
        <v>2</v>
      </c>
      <c r="J811" s="2">
        <f t="shared" si="61"/>
        <v>0.17799999999999999</v>
      </c>
      <c r="K811">
        <f t="shared" si="62"/>
        <v>11.235955056179776</v>
      </c>
      <c r="L811" t="str">
        <f t="shared" si="63"/>
        <v>Funded</v>
      </c>
      <c r="M811">
        <f t="shared" si="64"/>
        <v>2.4191189092499972</v>
      </c>
    </row>
    <row r="812" spans="1:13" x14ac:dyDescent="0.25">
      <c r="A812" t="s">
        <v>1874</v>
      </c>
      <c r="B812" t="s">
        <v>47</v>
      </c>
      <c r="C812" t="s">
        <v>1875</v>
      </c>
      <c r="D812" t="s">
        <v>1876</v>
      </c>
      <c r="E812" t="s">
        <v>10</v>
      </c>
      <c r="F812" t="s">
        <v>11</v>
      </c>
      <c r="H812">
        <v>1</v>
      </c>
      <c r="I812">
        <f t="shared" si="60"/>
        <v>2</v>
      </c>
      <c r="J812" s="2">
        <f t="shared" si="61"/>
        <v>0.1</v>
      </c>
      <c r="K812">
        <f t="shared" si="62"/>
        <v>20</v>
      </c>
      <c r="L812" t="str">
        <f t="shared" si="63"/>
        <v>Funded</v>
      </c>
      <c r="M812">
        <f t="shared" si="64"/>
        <v>2.9957322735539909</v>
      </c>
    </row>
    <row r="813" spans="1:13" x14ac:dyDescent="0.25">
      <c r="A813" t="s">
        <v>1877</v>
      </c>
      <c r="B813" t="s">
        <v>47</v>
      </c>
      <c r="C813" t="s">
        <v>1838</v>
      </c>
      <c r="D813" t="s">
        <v>1878</v>
      </c>
      <c r="E813" t="s">
        <v>10</v>
      </c>
      <c r="F813" t="s">
        <v>11</v>
      </c>
      <c r="H813">
        <v>1</v>
      </c>
      <c r="I813">
        <f t="shared" si="60"/>
        <v>2</v>
      </c>
      <c r="J813" s="2">
        <f t="shared" si="61"/>
        <v>0.17899999999999999</v>
      </c>
      <c r="K813">
        <f t="shared" si="62"/>
        <v>11.173184357541899</v>
      </c>
      <c r="L813" t="str">
        <f t="shared" si="63"/>
        <v>Funded</v>
      </c>
      <c r="M813">
        <f t="shared" si="64"/>
        <v>2.4135166537013273</v>
      </c>
    </row>
    <row r="814" spans="1:13" x14ac:dyDescent="0.25">
      <c r="A814" t="s">
        <v>1879</v>
      </c>
      <c r="B814" t="s">
        <v>47</v>
      </c>
      <c r="C814" t="s">
        <v>1880</v>
      </c>
      <c r="D814" t="s">
        <v>1881</v>
      </c>
      <c r="E814" t="s">
        <v>10</v>
      </c>
      <c r="F814" t="s">
        <v>11</v>
      </c>
      <c r="H814">
        <v>1</v>
      </c>
      <c r="I814">
        <f t="shared" si="60"/>
        <v>2</v>
      </c>
      <c r="J814" s="2">
        <f t="shared" si="61"/>
        <v>0.29099999999999998</v>
      </c>
      <c r="K814">
        <f t="shared" si="62"/>
        <v>6.8728522336769764</v>
      </c>
      <c r="L814" t="str">
        <f t="shared" si="63"/>
        <v>Funded</v>
      </c>
      <c r="M814">
        <f t="shared" si="64"/>
        <v>1.9275791923705898</v>
      </c>
    </row>
    <row r="815" spans="1:13" x14ac:dyDescent="0.25">
      <c r="A815" t="s">
        <v>1882</v>
      </c>
      <c r="B815" t="s">
        <v>47</v>
      </c>
      <c r="C815" t="s">
        <v>1883</v>
      </c>
      <c r="D815" t="s">
        <v>1884</v>
      </c>
      <c r="E815" t="s">
        <v>10</v>
      </c>
      <c r="F815" t="s">
        <v>11</v>
      </c>
      <c r="H815">
        <v>1</v>
      </c>
      <c r="I815">
        <f t="shared" si="60"/>
        <v>2</v>
      </c>
      <c r="J815" s="2">
        <f t="shared" si="61"/>
        <v>0.92100000000000004</v>
      </c>
      <c r="K815">
        <f t="shared" si="62"/>
        <v>2.1715526601520088</v>
      </c>
      <c r="L815" t="str">
        <f t="shared" si="63"/>
        <v>Funded</v>
      </c>
      <c r="M815">
        <f t="shared" si="64"/>
        <v>0.7754424232867756</v>
      </c>
    </row>
    <row r="816" spans="1:13" x14ac:dyDescent="0.25">
      <c r="A816" t="s">
        <v>1885</v>
      </c>
      <c r="B816" t="s">
        <v>47</v>
      </c>
      <c r="C816" t="s">
        <v>511</v>
      </c>
      <c r="D816" t="s">
        <v>1886</v>
      </c>
      <c r="E816" t="s">
        <v>20</v>
      </c>
      <c r="F816" t="s">
        <v>21</v>
      </c>
      <c r="H816">
        <v>1</v>
      </c>
      <c r="I816">
        <f t="shared" si="60"/>
        <v>2</v>
      </c>
      <c r="J816" s="2">
        <f t="shared" si="61"/>
        <v>0.44500000000000001</v>
      </c>
      <c r="K816">
        <f t="shared" si="62"/>
        <v>4.4943820224719104</v>
      </c>
      <c r="L816" t="str">
        <f t="shared" si="63"/>
        <v>Funded</v>
      </c>
      <c r="M816">
        <f t="shared" si="64"/>
        <v>1.5028281773758423</v>
      </c>
    </row>
    <row r="817" spans="1:13" x14ac:dyDescent="0.25">
      <c r="A817" t="s">
        <v>1887</v>
      </c>
      <c r="B817" t="s">
        <v>47</v>
      </c>
      <c r="C817" t="s">
        <v>1888</v>
      </c>
      <c r="D817" t="s">
        <v>1889</v>
      </c>
      <c r="E817" t="s">
        <v>10</v>
      </c>
      <c r="F817" t="s">
        <v>11</v>
      </c>
      <c r="H817">
        <v>1</v>
      </c>
      <c r="I817">
        <f t="shared" si="60"/>
        <v>2</v>
      </c>
      <c r="J817" s="2">
        <f t="shared" si="61"/>
        <v>0.33800000000000002</v>
      </c>
      <c r="K817">
        <f t="shared" si="62"/>
        <v>5.9171597633136095</v>
      </c>
      <c r="L817" t="str">
        <f t="shared" si="63"/>
        <v>Funded</v>
      </c>
      <c r="M817">
        <f t="shared" si="64"/>
        <v>1.7778565640590636</v>
      </c>
    </row>
    <row r="818" spans="1:13" x14ac:dyDescent="0.25">
      <c r="A818" t="s">
        <v>1890</v>
      </c>
      <c r="B818" t="s">
        <v>47</v>
      </c>
      <c r="C818" t="s">
        <v>1891</v>
      </c>
      <c r="D818" t="s">
        <v>1892</v>
      </c>
      <c r="E818" t="s">
        <v>787</v>
      </c>
      <c r="F818" t="s">
        <v>50</v>
      </c>
      <c r="H818">
        <v>1</v>
      </c>
      <c r="I818">
        <f t="shared" si="60"/>
        <v>2</v>
      </c>
      <c r="J818" s="2">
        <f t="shared" si="61"/>
        <v>0.23599999999999999</v>
      </c>
      <c r="K818">
        <f t="shared" si="62"/>
        <v>8.4745762711864412</v>
      </c>
      <c r="L818" t="str">
        <f t="shared" si="63"/>
        <v>Funded</v>
      </c>
      <c r="M818">
        <f t="shared" si="64"/>
        <v>2.1370706545164722</v>
      </c>
    </row>
    <row r="819" spans="1:13" x14ac:dyDescent="0.25">
      <c r="A819" t="s">
        <v>1893</v>
      </c>
      <c r="B819" t="s">
        <v>47</v>
      </c>
      <c r="C819" t="s">
        <v>1894</v>
      </c>
      <c r="D819" t="s">
        <v>254</v>
      </c>
      <c r="E819" t="s">
        <v>10</v>
      </c>
      <c r="F819" t="s">
        <v>11</v>
      </c>
      <c r="H819">
        <v>1</v>
      </c>
      <c r="I819">
        <f t="shared" si="60"/>
        <v>2</v>
      </c>
      <c r="J819" s="2">
        <f t="shared" si="61"/>
        <v>0.32</v>
      </c>
      <c r="K819">
        <f t="shared" si="62"/>
        <v>6.25</v>
      </c>
      <c r="L819" t="str">
        <f t="shared" si="63"/>
        <v>Funded</v>
      </c>
      <c r="M819">
        <f t="shared" si="64"/>
        <v>1.8325814637483102</v>
      </c>
    </row>
    <row r="820" spans="1:13" x14ac:dyDescent="0.25">
      <c r="A820" t="s">
        <v>1895</v>
      </c>
      <c r="B820" t="s">
        <v>47</v>
      </c>
      <c r="C820" t="s">
        <v>1896</v>
      </c>
      <c r="D820" t="s">
        <v>696</v>
      </c>
      <c r="E820" t="s">
        <v>10</v>
      </c>
      <c r="F820" t="s">
        <v>11</v>
      </c>
      <c r="H820">
        <v>1</v>
      </c>
      <c r="I820">
        <f t="shared" si="60"/>
        <v>2</v>
      </c>
      <c r="J820" s="2">
        <f t="shared" si="61"/>
        <v>0.19500000000000001</v>
      </c>
      <c r="K820">
        <f t="shared" si="62"/>
        <v>10.256410256410255</v>
      </c>
      <c r="L820" t="str">
        <f t="shared" si="63"/>
        <v>Funded</v>
      </c>
      <c r="M820">
        <f t="shared" si="64"/>
        <v>2.3279029009783354</v>
      </c>
    </row>
    <row r="821" spans="1:13" x14ac:dyDescent="0.25">
      <c r="A821" t="s">
        <v>1897</v>
      </c>
      <c r="B821" t="s">
        <v>47</v>
      </c>
      <c r="C821" t="s">
        <v>1898</v>
      </c>
      <c r="D821" t="s">
        <v>1899</v>
      </c>
      <c r="E821" t="s">
        <v>10</v>
      </c>
      <c r="F821" t="s">
        <v>11</v>
      </c>
      <c r="H821">
        <v>1</v>
      </c>
      <c r="I821">
        <f t="shared" si="60"/>
        <v>2</v>
      </c>
      <c r="J821" s="2">
        <f t="shared" si="61"/>
        <v>0.27600000000000002</v>
      </c>
      <c r="K821">
        <f t="shared" si="62"/>
        <v>7.2463768115942022</v>
      </c>
      <c r="L821" t="str">
        <f t="shared" si="63"/>
        <v>Funded</v>
      </c>
      <c r="M821">
        <f t="shared" si="64"/>
        <v>1.9805015938249322</v>
      </c>
    </row>
    <row r="822" spans="1:13" x14ac:dyDescent="0.25">
      <c r="A822" t="s">
        <v>1900</v>
      </c>
      <c r="B822" t="s">
        <v>47</v>
      </c>
      <c r="C822" t="s">
        <v>1901</v>
      </c>
      <c r="E822" t="s">
        <v>1902</v>
      </c>
      <c r="F822" t="s">
        <v>11</v>
      </c>
      <c r="H822">
        <v>1</v>
      </c>
      <c r="I822">
        <f t="shared" si="60"/>
        <v>2</v>
      </c>
      <c r="J822" s="2">
        <f t="shared" si="61"/>
        <v>0.12</v>
      </c>
      <c r="K822">
        <f t="shared" si="62"/>
        <v>16.666666666666668</v>
      </c>
      <c r="L822" t="str">
        <f t="shared" si="63"/>
        <v>Funded</v>
      </c>
      <c r="M822">
        <f t="shared" si="64"/>
        <v>2.8134107167600364</v>
      </c>
    </row>
    <row r="823" spans="1:13" x14ac:dyDescent="0.25">
      <c r="A823" t="s">
        <v>1903</v>
      </c>
      <c r="B823" t="s">
        <v>47</v>
      </c>
      <c r="C823" t="s">
        <v>1904</v>
      </c>
      <c r="D823" t="s">
        <v>1905</v>
      </c>
      <c r="E823" t="s">
        <v>10</v>
      </c>
      <c r="F823" t="s">
        <v>11</v>
      </c>
      <c r="H823">
        <v>1</v>
      </c>
      <c r="I823">
        <f t="shared" si="60"/>
        <v>2</v>
      </c>
      <c r="J823" s="2">
        <f t="shared" si="61"/>
        <v>0.38</v>
      </c>
      <c r="K823">
        <f t="shared" si="62"/>
        <v>5.2631578947368425</v>
      </c>
      <c r="L823" t="str">
        <f t="shared" si="63"/>
        <v>Funded</v>
      </c>
      <c r="M823">
        <f t="shared" si="64"/>
        <v>1.6607312068216509</v>
      </c>
    </row>
    <row r="824" spans="1:13" x14ac:dyDescent="0.25">
      <c r="A824" t="s">
        <v>1906</v>
      </c>
      <c r="B824" t="s">
        <v>47</v>
      </c>
      <c r="C824" t="s">
        <v>1346</v>
      </c>
      <c r="D824" t="s">
        <v>137</v>
      </c>
      <c r="E824" t="s">
        <v>10</v>
      </c>
      <c r="F824" t="s">
        <v>11</v>
      </c>
      <c r="H824">
        <v>1</v>
      </c>
      <c r="I824">
        <f t="shared" si="60"/>
        <v>2</v>
      </c>
      <c r="J824" s="2">
        <f t="shared" si="61"/>
        <v>0.30299999999999999</v>
      </c>
      <c r="K824">
        <f t="shared" si="62"/>
        <v>6.6006600660066006</v>
      </c>
      <c r="L824" t="str">
        <f t="shared" si="63"/>
        <v>Funded</v>
      </c>
      <c r="M824">
        <f t="shared" si="64"/>
        <v>1.8871696540327132</v>
      </c>
    </row>
    <row r="825" spans="1:13" x14ac:dyDescent="0.25">
      <c r="A825" t="s">
        <v>1907</v>
      </c>
      <c r="B825" t="s">
        <v>47</v>
      </c>
      <c r="C825" t="s">
        <v>1908</v>
      </c>
      <c r="D825" t="s">
        <v>1909</v>
      </c>
      <c r="E825" t="s">
        <v>44</v>
      </c>
      <c r="F825" t="s">
        <v>21</v>
      </c>
      <c r="H825">
        <v>1</v>
      </c>
      <c r="I825">
        <f t="shared" si="60"/>
        <v>2</v>
      </c>
      <c r="J825" s="2">
        <f t="shared" si="61"/>
        <v>0.627</v>
      </c>
      <c r="K825">
        <f t="shared" si="62"/>
        <v>3.1897926634768741</v>
      </c>
      <c r="L825" t="str">
        <f t="shared" si="63"/>
        <v>Funded</v>
      </c>
      <c r="M825">
        <f t="shared" si="64"/>
        <v>1.1599559189091617</v>
      </c>
    </row>
    <row r="826" spans="1:13" x14ac:dyDescent="0.25">
      <c r="A826" t="s">
        <v>1910</v>
      </c>
      <c r="B826" t="s">
        <v>47</v>
      </c>
      <c r="C826" t="s">
        <v>1891</v>
      </c>
      <c r="D826" t="s">
        <v>1911</v>
      </c>
      <c r="E826" t="s">
        <v>10</v>
      </c>
      <c r="F826" t="s">
        <v>11</v>
      </c>
      <c r="H826">
        <v>1</v>
      </c>
      <c r="I826">
        <f t="shared" si="60"/>
        <v>2</v>
      </c>
      <c r="J826" s="2">
        <f t="shared" si="61"/>
        <v>0.23599999999999999</v>
      </c>
      <c r="K826">
        <f t="shared" si="62"/>
        <v>8.4745762711864412</v>
      </c>
      <c r="L826" t="str">
        <f t="shared" si="63"/>
        <v>Funded</v>
      </c>
      <c r="M826">
        <f t="shared" si="64"/>
        <v>2.1370706545164722</v>
      </c>
    </row>
    <row r="827" spans="1:13" x14ac:dyDescent="0.25">
      <c r="A827" t="s">
        <v>1912</v>
      </c>
      <c r="B827" t="s">
        <v>47</v>
      </c>
      <c r="C827" t="s">
        <v>628</v>
      </c>
      <c r="D827" t="s">
        <v>1913</v>
      </c>
      <c r="E827" t="s">
        <v>10</v>
      </c>
      <c r="F827" t="s">
        <v>11</v>
      </c>
      <c r="H827">
        <v>1</v>
      </c>
      <c r="I827">
        <f t="shared" si="60"/>
        <v>2</v>
      </c>
      <c r="J827" s="2">
        <f t="shared" si="61"/>
        <v>0.17</v>
      </c>
      <c r="K827">
        <f t="shared" si="62"/>
        <v>11.76470588235294</v>
      </c>
      <c r="L827" t="str">
        <f t="shared" si="63"/>
        <v>Funded</v>
      </c>
      <c r="M827">
        <f t="shared" si="64"/>
        <v>2.4651040224918206</v>
      </c>
    </row>
    <row r="828" spans="1:13" x14ac:dyDescent="0.25">
      <c r="A828" t="s">
        <v>1914</v>
      </c>
      <c r="B828" t="s">
        <v>47</v>
      </c>
      <c r="C828" t="s">
        <v>1915</v>
      </c>
      <c r="D828" t="s">
        <v>1507</v>
      </c>
      <c r="E828" t="s">
        <v>10</v>
      </c>
      <c r="F828" t="s">
        <v>11</v>
      </c>
      <c r="H828">
        <v>1</v>
      </c>
      <c r="I828">
        <f t="shared" si="60"/>
        <v>2</v>
      </c>
      <c r="J828" s="2">
        <f t="shared" si="61"/>
        <v>0.16300000000000001</v>
      </c>
      <c r="K828">
        <f t="shared" si="62"/>
        <v>12.269938650306749</v>
      </c>
      <c r="L828" t="str">
        <f t="shared" si="63"/>
        <v>Funded</v>
      </c>
      <c r="M828">
        <f t="shared" si="64"/>
        <v>2.5071522587353199</v>
      </c>
    </row>
    <row r="829" spans="1:13" x14ac:dyDescent="0.25">
      <c r="A829" t="s">
        <v>1916</v>
      </c>
      <c r="B829" t="s">
        <v>47</v>
      </c>
      <c r="C829" t="s">
        <v>1917</v>
      </c>
      <c r="D829" t="s">
        <v>159</v>
      </c>
      <c r="E829" t="s">
        <v>44</v>
      </c>
      <c r="F829" t="s">
        <v>21</v>
      </c>
      <c r="H829">
        <v>1</v>
      </c>
      <c r="I829">
        <f t="shared" si="60"/>
        <v>2</v>
      </c>
      <c r="J829" s="2">
        <f t="shared" si="61"/>
        <v>0.11700000000000001</v>
      </c>
      <c r="K829">
        <f t="shared" si="62"/>
        <v>17.094017094017094</v>
      </c>
      <c r="L829" t="str">
        <f t="shared" si="63"/>
        <v>Funded</v>
      </c>
      <c r="M829">
        <f t="shared" si="64"/>
        <v>2.8387285247443264</v>
      </c>
    </row>
    <row r="830" spans="1:13" x14ac:dyDescent="0.25">
      <c r="A830" t="s">
        <v>1918</v>
      </c>
      <c r="B830" t="s">
        <v>47</v>
      </c>
      <c r="C830" t="s">
        <v>1569</v>
      </c>
      <c r="D830" t="s">
        <v>1042</v>
      </c>
      <c r="E830" t="s">
        <v>10</v>
      </c>
      <c r="F830" t="s">
        <v>11</v>
      </c>
      <c r="H830">
        <v>1</v>
      </c>
      <c r="I830">
        <f t="shared" si="60"/>
        <v>2</v>
      </c>
      <c r="J830" s="2">
        <f t="shared" si="61"/>
        <v>0.251</v>
      </c>
      <c r="K830">
        <f t="shared" si="62"/>
        <v>7.9681274900398407</v>
      </c>
      <c r="L830" t="str">
        <f t="shared" si="63"/>
        <v>Funded</v>
      </c>
      <c r="M830">
        <f t="shared" si="64"/>
        <v>2.0754495204102983</v>
      </c>
    </row>
    <row r="831" spans="1:13" x14ac:dyDescent="0.25">
      <c r="A831" t="s">
        <v>1919</v>
      </c>
      <c r="B831" t="s">
        <v>47</v>
      </c>
      <c r="C831" t="s">
        <v>487</v>
      </c>
      <c r="D831" t="s">
        <v>689</v>
      </c>
      <c r="E831" t="s">
        <v>10</v>
      </c>
      <c r="F831" t="s">
        <v>11</v>
      </c>
      <c r="H831">
        <v>1</v>
      </c>
      <c r="I831">
        <f t="shared" si="60"/>
        <v>2</v>
      </c>
      <c r="J831" s="2">
        <f t="shared" si="61"/>
        <v>0.41499999999999998</v>
      </c>
      <c r="K831">
        <f t="shared" si="62"/>
        <v>4.8192771084337354</v>
      </c>
      <c r="L831" t="str">
        <f t="shared" si="63"/>
        <v>Funded</v>
      </c>
      <c r="M831">
        <f t="shared" si="64"/>
        <v>1.5726239393113841</v>
      </c>
    </row>
    <row r="832" spans="1:13" x14ac:dyDescent="0.25">
      <c r="A832" t="s">
        <v>1920</v>
      </c>
      <c r="B832" t="s">
        <v>47</v>
      </c>
      <c r="C832" t="s">
        <v>1921</v>
      </c>
      <c r="D832" t="s">
        <v>1922</v>
      </c>
      <c r="E832" t="s">
        <v>10</v>
      </c>
      <c r="F832" t="s">
        <v>11</v>
      </c>
      <c r="H832">
        <v>1</v>
      </c>
      <c r="I832">
        <f t="shared" si="60"/>
        <v>2</v>
      </c>
      <c r="J832" s="2">
        <f t="shared" si="61"/>
        <v>0.78400000000000003</v>
      </c>
      <c r="K832">
        <f t="shared" si="62"/>
        <v>2.5510204081632653</v>
      </c>
      <c r="L832" t="str">
        <f t="shared" si="63"/>
        <v>Funded</v>
      </c>
      <c r="M832">
        <f t="shared" si="64"/>
        <v>0.93649343919167449</v>
      </c>
    </row>
    <row r="833" spans="1:13" x14ac:dyDescent="0.25">
      <c r="A833" t="s">
        <v>1923</v>
      </c>
      <c r="B833" t="s">
        <v>47</v>
      </c>
      <c r="C833" t="s">
        <v>1904</v>
      </c>
      <c r="D833" t="s">
        <v>1671</v>
      </c>
      <c r="E833" t="s">
        <v>10</v>
      </c>
      <c r="F833" t="s">
        <v>11</v>
      </c>
      <c r="H833">
        <v>1</v>
      </c>
      <c r="I833">
        <f t="shared" si="60"/>
        <v>2</v>
      </c>
      <c r="J833" s="2">
        <f t="shared" si="61"/>
        <v>0.38</v>
      </c>
      <c r="K833">
        <f t="shared" si="62"/>
        <v>5.2631578947368425</v>
      </c>
      <c r="L833" t="str">
        <f t="shared" si="63"/>
        <v>Funded</v>
      </c>
      <c r="M833">
        <f t="shared" si="64"/>
        <v>1.6607312068216509</v>
      </c>
    </row>
    <row r="834" spans="1:13" x14ac:dyDescent="0.25">
      <c r="A834" t="s">
        <v>1924</v>
      </c>
      <c r="B834" t="s">
        <v>47</v>
      </c>
      <c r="C834" t="s">
        <v>495</v>
      </c>
      <c r="D834" t="s">
        <v>221</v>
      </c>
      <c r="E834" t="s">
        <v>10</v>
      </c>
      <c r="F834" t="s">
        <v>11</v>
      </c>
      <c r="H834">
        <v>1</v>
      </c>
      <c r="I834">
        <f t="shared" si="60"/>
        <v>2</v>
      </c>
      <c r="J834" s="2">
        <f t="shared" si="61"/>
        <v>0.433</v>
      </c>
      <c r="K834">
        <f t="shared" si="62"/>
        <v>4.6189376443418011</v>
      </c>
      <c r="L834" t="str">
        <f t="shared" si="63"/>
        <v>Funded</v>
      </c>
      <c r="M834">
        <f t="shared" si="64"/>
        <v>1.5301647315395925</v>
      </c>
    </row>
    <row r="835" spans="1:13" x14ac:dyDescent="0.25">
      <c r="A835" t="s">
        <v>1925</v>
      </c>
      <c r="B835" t="s">
        <v>47</v>
      </c>
      <c r="C835" t="s">
        <v>1926</v>
      </c>
      <c r="D835" t="s">
        <v>1927</v>
      </c>
      <c r="E835" t="s">
        <v>10</v>
      </c>
      <c r="F835" t="s">
        <v>11</v>
      </c>
      <c r="H835">
        <v>1</v>
      </c>
      <c r="I835">
        <f t="shared" ref="I835:I898" si="65">IF(B835="","",
VALUE(SUBSTITUTE(SUBSTITUTE(B835,"$",""),"B","")))</f>
        <v>2</v>
      </c>
      <c r="J835" s="2">
        <f t="shared" ref="J835:J898" si="66">IF(C835="","",
IF(C835="$0",0,
IF(RIGHT(C835,1)="B",
VALUE(SUBSTITUTE(SUBSTITUTE(C835,"$",""),"B","")),
IF(RIGHT(C835,1)="M",
VALUE(SUBSTITUTE(SUBSTITUTE(C835,"$",""),"M",""))/1000,
IF(RIGHT(C835,1)="K",
VALUE(SUBSTITUTE(SUBSTITUTE(C835,"$",""),"K",""))/1000000,
VALUE(SUBSTITUTE(C835,"$",""))
)))))</f>
        <v>0.27300000000000002</v>
      </c>
      <c r="K835">
        <f t="shared" ref="K835:K898" si="67">IF(J835&gt;0,I835/J835,"")</f>
        <v>7.3260073260073257</v>
      </c>
      <c r="L835" t="str">
        <f t="shared" ref="L835:L898" si="68">IF(J835=0,"Bootstrapped","Funded")</f>
        <v>Funded</v>
      </c>
      <c r="M835">
        <f t="shared" ref="M835:M898" si="69">IF(AND(I835&gt;0,J835&gt;0),LN(I835/J835),"")</f>
        <v>1.9914306643571227</v>
      </c>
    </row>
    <row r="836" spans="1:13" x14ac:dyDescent="0.25">
      <c r="A836" t="s">
        <v>1928</v>
      </c>
      <c r="B836" t="s">
        <v>47</v>
      </c>
      <c r="C836" t="s">
        <v>1929</v>
      </c>
      <c r="D836" t="s">
        <v>1930</v>
      </c>
      <c r="E836" t="s">
        <v>294</v>
      </c>
      <c r="F836" t="s">
        <v>21</v>
      </c>
      <c r="H836">
        <v>1</v>
      </c>
      <c r="I836">
        <f t="shared" si="65"/>
        <v>2</v>
      </c>
      <c r="J836" s="2">
        <f t="shared" si="66"/>
        <v>0.94899999999999995</v>
      </c>
      <c r="K836">
        <f t="shared" si="67"/>
        <v>2.1074815595363541</v>
      </c>
      <c r="L836" t="str">
        <f t="shared" si="68"/>
        <v>Funded</v>
      </c>
      <c r="M836">
        <f t="shared" si="69"/>
        <v>0.74549366093215452</v>
      </c>
    </row>
    <row r="837" spans="1:13" x14ac:dyDescent="0.25">
      <c r="A837" t="s">
        <v>1931</v>
      </c>
      <c r="B837" t="s">
        <v>47</v>
      </c>
      <c r="C837" t="s">
        <v>1932</v>
      </c>
      <c r="D837" t="s">
        <v>254</v>
      </c>
      <c r="E837" t="s">
        <v>10</v>
      </c>
      <c r="F837" t="s">
        <v>11</v>
      </c>
      <c r="H837">
        <v>1</v>
      </c>
      <c r="I837">
        <f t="shared" si="65"/>
        <v>2</v>
      </c>
      <c r="J837" s="2">
        <f t="shared" si="66"/>
        <v>0.42099999999999999</v>
      </c>
      <c r="K837">
        <f t="shared" si="67"/>
        <v>4.7505938242280283</v>
      </c>
      <c r="L837" t="str">
        <f t="shared" si="68"/>
        <v>Funded</v>
      </c>
      <c r="M837">
        <f t="shared" si="69"/>
        <v>1.5582696258597009</v>
      </c>
    </row>
    <row r="838" spans="1:13" x14ac:dyDescent="0.25">
      <c r="A838" t="s">
        <v>1933</v>
      </c>
      <c r="B838" t="s">
        <v>47</v>
      </c>
      <c r="C838" t="s">
        <v>370</v>
      </c>
      <c r="D838" t="s">
        <v>1934</v>
      </c>
      <c r="E838" t="s">
        <v>20</v>
      </c>
      <c r="F838" t="s">
        <v>21</v>
      </c>
      <c r="H838">
        <v>1</v>
      </c>
      <c r="I838">
        <f t="shared" si="65"/>
        <v>2</v>
      </c>
      <c r="J838" s="2">
        <f t="shared" si="66"/>
        <v>0.65600000000000003</v>
      </c>
      <c r="K838">
        <f t="shared" si="67"/>
        <v>3.0487804878048781</v>
      </c>
      <c r="L838" t="str">
        <f t="shared" si="68"/>
        <v>Funded</v>
      </c>
      <c r="M838">
        <f t="shared" si="69"/>
        <v>1.1147416705979933</v>
      </c>
    </row>
    <row r="839" spans="1:13" x14ac:dyDescent="0.25">
      <c r="A839" t="s">
        <v>1935</v>
      </c>
      <c r="B839" t="s">
        <v>47</v>
      </c>
      <c r="C839" t="s">
        <v>1101</v>
      </c>
      <c r="D839" t="s">
        <v>409</v>
      </c>
      <c r="E839" t="s">
        <v>10</v>
      </c>
      <c r="F839" t="s">
        <v>11</v>
      </c>
      <c r="H839">
        <v>1</v>
      </c>
      <c r="I839">
        <f t="shared" si="65"/>
        <v>2</v>
      </c>
      <c r="J839" s="2">
        <f t="shared" si="66"/>
        <v>0.44700000000000001</v>
      </c>
      <c r="K839">
        <f t="shared" si="67"/>
        <v>4.4742729306487696</v>
      </c>
      <c r="L839" t="str">
        <f t="shared" si="68"/>
        <v>Funded</v>
      </c>
      <c r="M839">
        <f t="shared" si="69"/>
        <v>1.4983438649285135</v>
      </c>
    </row>
    <row r="840" spans="1:13" x14ac:dyDescent="0.25">
      <c r="A840" t="s">
        <v>1936</v>
      </c>
      <c r="B840" t="s">
        <v>47</v>
      </c>
      <c r="C840" t="s">
        <v>1714</v>
      </c>
      <c r="D840" t="s">
        <v>1937</v>
      </c>
      <c r="E840" t="s">
        <v>20</v>
      </c>
      <c r="F840" t="s">
        <v>21</v>
      </c>
      <c r="H840">
        <v>1</v>
      </c>
      <c r="I840">
        <f t="shared" si="65"/>
        <v>2</v>
      </c>
      <c r="J840" s="2">
        <f t="shared" si="66"/>
        <v>0.308</v>
      </c>
      <c r="K840">
        <f t="shared" si="67"/>
        <v>6.4935064935064934</v>
      </c>
      <c r="L840" t="str">
        <f t="shared" si="68"/>
        <v>Funded</v>
      </c>
      <c r="M840">
        <f t="shared" si="69"/>
        <v>1.870802676568508</v>
      </c>
    </row>
    <row r="841" spans="1:13" x14ac:dyDescent="0.25">
      <c r="A841" t="s">
        <v>1938</v>
      </c>
      <c r="B841" t="s">
        <v>47</v>
      </c>
      <c r="C841" t="s">
        <v>1939</v>
      </c>
      <c r="D841" t="s">
        <v>1940</v>
      </c>
      <c r="E841" t="s">
        <v>10</v>
      </c>
      <c r="F841" t="s">
        <v>11</v>
      </c>
      <c r="H841">
        <v>1</v>
      </c>
      <c r="I841">
        <f t="shared" si="65"/>
        <v>2</v>
      </c>
      <c r="J841" s="2">
        <f t="shared" si="66"/>
        <v>0.66300000000000003</v>
      </c>
      <c r="K841">
        <f t="shared" si="67"/>
        <v>3.0165912518853695</v>
      </c>
      <c r="L841" t="str">
        <f t="shared" si="68"/>
        <v>Funded</v>
      </c>
      <c r="M841">
        <f t="shared" si="69"/>
        <v>1.1041274693562197</v>
      </c>
    </row>
    <row r="842" spans="1:13" x14ac:dyDescent="0.25">
      <c r="A842" t="s">
        <v>1941</v>
      </c>
      <c r="B842" t="s">
        <v>47</v>
      </c>
      <c r="C842" t="s">
        <v>1942</v>
      </c>
      <c r="D842" t="s">
        <v>1943</v>
      </c>
      <c r="E842" t="s">
        <v>20</v>
      </c>
      <c r="F842" t="s">
        <v>21</v>
      </c>
      <c r="H842">
        <v>1</v>
      </c>
      <c r="I842">
        <f t="shared" si="65"/>
        <v>2</v>
      </c>
      <c r="J842" s="2">
        <f t="shared" si="66"/>
        <v>0.79200000000000004</v>
      </c>
      <c r="K842">
        <f t="shared" si="67"/>
        <v>2.5252525252525251</v>
      </c>
      <c r="L842" t="str">
        <f t="shared" si="68"/>
        <v>Funded</v>
      </c>
      <c r="M842">
        <f t="shared" si="69"/>
        <v>0.92634106772765645</v>
      </c>
    </row>
    <row r="843" spans="1:13" x14ac:dyDescent="0.25">
      <c r="A843" t="s">
        <v>1944</v>
      </c>
      <c r="B843" t="s">
        <v>47</v>
      </c>
      <c r="C843" t="s">
        <v>1646</v>
      </c>
      <c r="D843" t="s">
        <v>1945</v>
      </c>
      <c r="E843" t="s">
        <v>20</v>
      </c>
      <c r="F843" t="s">
        <v>21</v>
      </c>
      <c r="H843">
        <v>1</v>
      </c>
      <c r="I843">
        <f t="shared" si="65"/>
        <v>2</v>
      </c>
      <c r="J843" s="2">
        <f t="shared" si="66"/>
        <v>0.41799999999999998</v>
      </c>
      <c r="K843">
        <f t="shared" si="67"/>
        <v>4.7846889952153111</v>
      </c>
      <c r="L843" t="str">
        <f t="shared" si="68"/>
        <v>Funded</v>
      </c>
      <c r="M843">
        <f t="shared" si="69"/>
        <v>1.5654210270173261</v>
      </c>
    </row>
    <row r="844" spans="1:13" x14ac:dyDescent="0.25">
      <c r="A844" t="s">
        <v>1946</v>
      </c>
      <c r="B844" t="s">
        <v>47</v>
      </c>
      <c r="C844" t="s">
        <v>1947</v>
      </c>
      <c r="D844" t="s">
        <v>1620</v>
      </c>
      <c r="E844" t="s">
        <v>20</v>
      </c>
      <c r="F844" t="s">
        <v>21</v>
      </c>
      <c r="H844">
        <v>1</v>
      </c>
      <c r="I844">
        <f t="shared" si="65"/>
        <v>2</v>
      </c>
      <c r="J844" s="2">
        <f t="shared" si="66"/>
        <v>1.4E-2</v>
      </c>
      <c r="K844">
        <f t="shared" si="67"/>
        <v>142.85714285714286</v>
      </c>
      <c r="L844" t="str">
        <f t="shared" si="68"/>
        <v>Funded</v>
      </c>
      <c r="M844">
        <f t="shared" si="69"/>
        <v>4.9618451299268234</v>
      </c>
    </row>
    <row r="845" spans="1:13" x14ac:dyDescent="0.25">
      <c r="A845" t="s">
        <v>1948</v>
      </c>
      <c r="B845" t="s">
        <v>47</v>
      </c>
      <c r="C845" t="s">
        <v>1022</v>
      </c>
      <c r="E845" t="s">
        <v>20</v>
      </c>
      <c r="F845" t="s">
        <v>21</v>
      </c>
      <c r="H845">
        <v>1</v>
      </c>
      <c r="I845">
        <f t="shared" si="65"/>
        <v>2</v>
      </c>
      <c r="J845" s="2">
        <f t="shared" si="66"/>
        <v>9.2999999999999999E-2</v>
      </c>
      <c r="K845">
        <f t="shared" si="67"/>
        <v>21.50537634408602</v>
      </c>
      <c r="L845" t="str">
        <f t="shared" si="68"/>
        <v>Funded</v>
      </c>
      <c r="M845">
        <f t="shared" si="69"/>
        <v>3.0683029663888264</v>
      </c>
    </row>
    <row r="846" spans="1:13" x14ac:dyDescent="0.25">
      <c r="A846" t="s">
        <v>1949</v>
      </c>
      <c r="B846" t="s">
        <v>47</v>
      </c>
      <c r="C846" t="s">
        <v>1950</v>
      </c>
      <c r="D846" t="s">
        <v>1951</v>
      </c>
      <c r="E846" t="s">
        <v>365</v>
      </c>
      <c r="F846" t="s">
        <v>11</v>
      </c>
      <c r="H846">
        <v>1</v>
      </c>
      <c r="I846">
        <f t="shared" si="65"/>
        <v>2</v>
      </c>
      <c r="J846" s="2">
        <f t="shared" si="66"/>
        <v>0.113</v>
      </c>
      <c r="K846">
        <f t="shared" si="67"/>
        <v>17.699115044247787</v>
      </c>
      <c r="L846" t="str">
        <f t="shared" si="68"/>
        <v>Funded</v>
      </c>
      <c r="M846">
        <f t="shared" si="69"/>
        <v>2.8735146408297418</v>
      </c>
    </row>
    <row r="847" spans="1:13" x14ac:dyDescent="0.25">
      <c r="A847" t="s">
        <v>1952</v>
      </c>
      <c r="B847" t="s">
        <v>47</v>
      </c>
      <c r="C847" t="s">
        <v>1851</v>
      </c>
      <c r="D847" t="s">
        <v>1953</v>
      </c>
      <c r="E847" t="s">
        <v>20</v>
      </c>
      <c r="F847" t="s">
        <v>21</v>
      </c>
      <c r="H847">
        <v>1</v>
      </c>
      <c r="I847">
        <f t="shared" si="65"/>
        <v>2</v>
      </c>
      <c r="J847" s="2">
        <f t="shared" si="66"/>
        <v>0.20399999999999999</v>
      </c>
      <c r="K847">
        <f t="shared" si="67"/>
        <v>9.8039215686274517</v>
      </c>
      <c r="L847" t="str">
        <f t="shared" si="68"/>
        <v>Funded</v>
      </c>
      <c r="M847">
        <f t="shared" si="69"/>
        <v>2.2827824656978661</v>
      </c>
    </row>
    <row r="848" spans="1:13" x14ac:dyDescent="0.25">
      <c r="A848" t="s">
        <v>1954</v>
      </c>
      <c r="B848" t="s">
        <v>47</v>
      </c>
      <c r="C848" t="s">
        <v>1955</v>
      </c>
      <c r="D848" t="s">
        <v>1956</v>
      </c>
      <c r="E848" t="s">
        <v>384</v>
      </c>
      <c r="F848" t="s">
        <v>21</v>
      </c>
      <c r="H848">
        <v>1</v>
      </c>
      <c r="I848">
        <f t="shared" si="65"/>
        <v>2</v>
      </c>
      <c r="J848" s="2">
        <f t="shared" si="66"/>
        <v>0.32200000000000001</v>
      </c>
      <c r="K848">
        <f t="shared" si="67"/>
        <v>6.2111801242236027</v>
      </c>
      <c r="L848" t="str">
        <f t="shared" si="68"/>
        <v>Funded</v>
      </c>
      <c r="M848">
        <f t="shared" si="69"/>
        <v>1.8263509139976741</v>
      </c>
    </row>
    <row r="849" spans="1:13" x14ac:dyDescent="0.25">
      <c r="A849" t="s">
        <v>1957</v>
      </c>
      <c r="B849" t="s">
        <v>47</v>
      </c>
      <c r="C849" s="1">
        <v>0</v>
      </c>
      <c r="D849" t="s">
        <v>1958</v>
      </c>
      <c r="E849" t="s">
        <v>10</v>
      </c>
      <c r="F849" t="s">
        <v>11</v>
      </c>
      <c r="H849">
        <v>1</v>
      </c>
      <c r="I849">
        <f t="shared" si="65"/>
        <v>2</v>
      </c>
      <c r="J849" s="2">
        <f t="shared" si="66"/>
        <v>0</v>
      </c>
      <c r="K849" t="str">
        <f t="shared" si="67"/>
        <v/>
      </c>
      <c r="L849" t="str">
        <f t="shared" si="68"/>
        <v>Bootstrapped</v>
      </c>
      <c r="M849" t="str">
        <f t="shared" si="69"/>
        <v/>
      </c>
    </row>
    <row r="850" spans="1:13" x14ac:dyDescent="0.25">
      <c r="A850" t="s">
        <v>1959</v>
      </c>
      <c r="B850" t="s">
        <v>47</v>
      </c>
      <c r="C850" t="s">
        <v>1960</v>
      </c>
      <c r="D850" t="s">
        <v>1961</v>
      </c>
      <c r="E850" t="s">
        <v>10</v>
      </c>
      <c r="F850" t="s">
        <v>11</v>
      </c>
      <c r="H850">
        <v>1</v>
      </c>
      <c r="I850">
        <f t="shared" si="65"/>
        <v>2</v>
      </c>
      <c r="J850" s="2">
        <f t="shared" si="66"/>
        <v>0.21299999999999999</v>
      </c>
      <c r="K850">
        <f t="shared" si="67"/>
        <v>9.3896713615023479</v>
      </c>
      <c r="L850" t="str">
        <f t="shared" si="68"/>
        <v>Funded</v>
      </c>
      <c r="M850">
        <f t="shared" si="69"/>
        <v>2.2396102938326572</v>
      </c>
    </row>
    <row r="851" spans="1:13" x14ac:dyDescent="0.25">
      <c r="A851" t="s">
        <v>1962</v>
      </c>
      <c r="B851" t="s">
        <v>47</v>
      </c>
      <c r="C851" t="s">
        <v>1963</v>
      </c>
      <c r="D851" t="s">
        <v>254</v>
      </c>
      <c r="E851" t="s">
        <v>242</v>
      </c>
      <c r="F851" t="s">
        <v>21</v>
      </c>
      <c r="H851">
        <v>1</v>
      </c>
      <c r="I851">
        <f t="shared" si="65"/>
        <v>2</v>
      </c>
      <c r="J851" s="2">
        <f t="shared" si="66"/>
        <v>0.80400000000000005</v>
      </c>
      <c r="K851">
        <f t="shared" si="67"/>
        <v>2.4875621890547261</v>
      </c>
      <c r="L851" t="str">
        <f t="shared" si="68"/>
        <v>Funded</v>
      </c>
      <c r="M851">
        <f t="shared" si="69"/>
        <v>0.91130319036311591</v>
      </c>
    </row>
    <row r="852" spans="1:13" x14ac:dyDescent="0.25">
      <c r="A852" t="s">
        <v>1964</v>
      </c>
      <c r="B852" t="s">
        <v>47</v>
      </c>
      <c r="C852" t="s">
        <v>125</v>
      </c>
      <c r="D852" t="s">
        <v>1965</v>
      </c>
      <c r="E852" t="s">
        <v>20</v>
      </c>
      <c r="F852" t="s">
        <v>21</v>
      </c>
      <c r="H852">
        <v>1</v>
      </c>
      <c r="I852">
        <f t="shared" si="65"/>
        <v>2</v>
      </c>
      <c r="J852" s="2">
        <f t="shared" si="66"/>
        <v>1</v>
      </c>
      <c r="K852">
        <f t="shared" si="67"/>
        <v>2</v>
      </c>
      <c r="L852" t="str">
        <f t="shared" si="68"/>
        <v>Funded</v>
      </c>
      <c r="M852">
        <f t="shared" si="69"/>
        <v>0.69314718055994529</v>
      </c>
    </row>
    <row r="853" spans="1:13" x14ac:dyDescent="0.25">
      <c r="A853" t="s">
        <v>1966</v>
      </c>
      <c r="B853" t="s">
        <v>47</v>
      </c>
      <c r="C853" s="1">
        <v>0</v>
      </c>
      <c r="D853" t="s">
        <v>1620</v>
      </c>
      <c r="E853" t="s">
        <v>20</v>
      </c>
      <c r="F853" t="s">
        <v>21</v>
      </c>
      <c r="H853">
        <v>1</v>
      </c>
      <c r="I853">
        <f t="shared" si="65"/>
        <v>2</v>
      </c>
      <c r="J853" s="2">
        <f t="shared" si="66"/>
        <v>0</v>
      </c>
      <c r="K853" t="str">
        <f t="shared" si="67"/>
        <v/>
      </c>
      <c r="L853" t="str">
        <f t="shared" si="68"/>
        <v>Bootstrapped</v>
      </c>
      <c r="M853" t="str">
        <f t="shared" si="69"/>
        <v/>
      </c>
    </row>
    <row r="854" spans="1:13" x14ac:dyDescent="0.25">
      <c r="A854" t="s">
        <v>1967</v>
      </c>
      <c r="B854" t="s">
        <v>47</v>
      </c>
      <c r="C854" t="s">
        <v>1968</v>
      </c>
      <c r="D854" t="s">
        <v>1969</v>
      </c>
      <c r="E854" t="s">
        <v>1035</v>
      </c>
      <c r="F854" t="s">
        <v>21</v>
      </c>
      <c r="H854">
        <v>1</v>
      </c>
      <c r="I854">
        <f t="shared" si="65"/>
        <v>2</v>
      </c>
      <c r="J854" s="2">
        <f t="shared" si="66"/>
        <v>0.13800000000000001</v>
      </c>
      <c r="K854">
        <f t="shared" si="67"/>
        <v>14.492753623188404</v>
      </c>
      <c r="L854" t="str">
        <f t="shared" si="68"/>
        <v>Funded</v>
      </c>
      <c r="M854">
        <f t="shared" si="69"/>
        <v>2.6736487743848776</v>
      </c>
    </row>
    <row r="855" spans="1:13" x14ac:dyDescent="0.25">
      <c r="A855" t="s">
        <v>1970</v>
      </c>
      <c r="B855" t="s">
        <v>47</v>
      </c>
      <c r="C855" t="s">
        <v>1971</v>
      </c>
      <c r="D855" t="s">
        <v>731</v>
      </c>
      <c r="E855" t="s">
        <v>20</v>
      </c>
      <c r="F855" t="s">
        <v>21</v>
      </c>
      <c r="H855">
        <v>1</v>
      </c>
      <c r="I855">
        <f t="shared" si="65"/>
        <v>2</v>
      </c>
      <c r="J855" s="2">
        <f t="shared" si="66"/>
        <v>9.0999999999999998E-2</v>
      </c>
      <c r="K855">
        <f t="shared" si="67"/>
        <v>21.978021978021978</v>
      </c>
      <c r="L855" t="str">
        <f t="shared" si="68"/>
        <v>Funded</v>
      </c>
      <c r="M855">
        <f t="shared" si="69"/>
        <v>3.0900429530252325</v>
      </c>
    </row>
    <row r="856" spans="1:13" x14ac:dyDescent="0.25">
      <c r="A856" t="s">
        <v>1972</v>
      </c>
      <c r="B856" t="s">
        <v>47</v>
      </c>
      <c r="C856" t="s">
        <v>1973</v>
      </c>
      <c r="H856">
        <v>1</v>
      </c>
      <c r="I856">
        <f t="shared" si="65"/>
        <v>2</v>
      </c>
      <c r="J856" s="2">
        <f t="shared" si="66"/>
        <v>0.27900000000000003</v>
      </c>
      <c r="K856">
        <f t="shared" si="67"/>
        <v>7.1684587813620064</v>
      </c>
      <c r="L856" t="str">
        <f t="shared" si="68"/>
        <v>Funded</v>
      </c>
      <c r="M856">
        <f t="shared" si="69"/>
        <v>1.9696906777207166</v>
      </c>
    </row>
    <row r="857" spans="1:13" x14ac:dyDescent="0.25">
      <c r="A857" t="s">
        <v>1974</v>
      </c>
      <c r="B857" t="s">
        <v>47</v>
      </c>
      <c r="C857" t="s">
        <v>1975</v>
      </c>
      <c r="E857" t="s">
        <v>20</v>
      </c>
      <c r="F857" t="s">
        <v>21</v>
      </c>
      <c r="H857">
        <v>1</v>
      </c>
      <c r="I857">
        <f t="shared" si="65"/>
        <v>2</v>
      </c>
      <c r="J857" s="2">
        <f t="shared" si="66"/>
        <v>0.30599999999999999</v>
      </c>
      <c r="K857">
        <f t="shared" si="67"/>
        <v>6.5359477124183005</v>
      </c>
      <c r="L857" t="str">
        <f t="shared" si="68"/>
        <v>Funded</v>
      </c>
      <c r="M857">
        <f t="shared" si="69"/>
        <v>1.8773173575897015</v>
      </c>
    </row>
    <row r="858" spans="1:13" x14ac:dyDescent="0.25">
      <c r="A858" t="s">
        <v>1976</v>
      </c>
      <c r="B858" t="s">
        <v>47</v>
      </c>
      <c r="C858" t="s">
        <v>1278</v>
      </c>
      <c r="D858" t="s">
        <v>641</v>
      </c>
      <c r="E858" t="s">
        <v>360</v>
      </c>
      <c r="F858" t="s">
        <v>50</v>
      </c>
      <c r="H858">
        <v>1</v>
      </c>
      <c r="I858">
        <f t="shared" si="65"/>
        <v>2</v>
      </c>
      <c r="J858" s="2">
        <f t="shared" si="66"/>
        <v>0.22500000000000001</v>
      </c>
      <c r="K858">
        <f t="shared" si="67"/>
        <v>8.8888888888888893</v>
      </c>
      <c r="L858" t="str">
        <f t="shared" si="68"/>
        <v>Funded</v>
      </c>
      <c r="M858">
        <f t="shared" si="69"/>
        <v>2.1848020573376621</v>
      </c>
    </row>
    <row r="859" spans="1:13" x14ac:dyDescent="0.25">
      <c r="A859" t="s">
        <v>1977</v>
      </c>
      <c r="B859" t="s">
        <v>47</v>
      </c>
      <c r="C859" t="s">
        <v>1549</v>
      </c>
      <c r="D859" t="s">
        <v>1813</v>
      </c>
      <c r="E859" t="s">
        <v>10</v>
      </c>
      <c r="F859" t="s">
        <v>11</v>
      </c>
      <c r="H859">
        <v>1</v>
      </c>
      <c r="I859">
        <f t="shared" si="65"/>
        <v>2</v>
      </c>
      <c r="J859" s="2">
        <f t="shared" si="66"/>
        <v>0.34200000000000003</v>
      </c>
      <c r="K859">
        <f t="shared" si="67"/>
        <v>5.8479532163742682</v>
      </c>
      <c r="L859" t="str">
        <f t="shared" si="68"/>
        <v>Funded</v>
      </c>
      <c r="M859">
        <f t="shared" si="69"/>
        <v>1.766091722479477</v>
      </c>
    </row>
    <row r="860" spans="1:13" x14ac:dyDescent="0.25">
      <c r="A860" t="s">
        <v>1978</v>
      </c>
      <c r="B860" t="s">
        <v>47</v>
      </c>
      <c r="C860" t="s">
        <v>1774</v>
      </c>
      <c r="D860" t="s">
        <v>254</v>
      </c>
      <c r="E860" t="s">
        <v>10</v>
      </c>
      <c r="F860" t="s">
        <v>11</v>
      </c>
      <c r="H860">
        <v>1</v>
      </c>
      <c r="I860">
        <f t="shared" si="65"/>
        <v>2</v>
      </c>
      <c r="J860" s="2">
        <f t="shared" si="66"/>
        <v>0.32500000000000001</v>
      </c>
      <c r="K860">
        <f t="shared" si="67"/>
        <v>6.1538461538461533</v>
      </c>
      <c r="L860" t="str">
        <f t="shared" si="68"/>
        <v>Funded</v>
      </c>
      <c r="M860">
        <f t="shared" si="69"/>
        <v>1.8170772772123447</v>
      </c>
    </row>
    <row r="861" spans="1:13" x14ac:dyDescent="0.25">
      <c r="A861" t="s">
        <v>1979</v>
      </c>
      <c r="B861" t="s">
        <v>47</v>
      </c>
      <c r="C861" t="s">
        <v>1980</v>
      </c>
      <c r="D861" t="s">
        <v>1981</v>
      </c>
      <c r="E861" t="s">
        <v>10</v>
      </c>
      <c r="F861" t="s">
        <v>11</v>
      </c>
      <c r="H861">
        <v>1</v>
      </c>
      <c r="I861">
        <f t="shared" si="65"/>
        <v>2</v>
      </c>
      <c r="J861" s="2">
        <f t="shared" si="66"/>
        <v>0.27</v>
      </c>
      <c r="K861">
        <f t="shared" si="67"/>
        <v>7.4074074074074066</v>
      </c>
      <c r="L861" t="str">
        <f t="shared" si="68"/>
        <v>Funded</v>
      </c>
      <c r="M861">
        <f t="shared" si="69"/>
        <v>2.0024805005437076</v>
      </c>
    </row>
    <row r="862" spans="1:13" x14ac:dyDescent="0.25">
      <c r="A862" t="s">
        <v>1982</v>
      </c>
      <c r="B862" t="s">
        <v>47</v>
      </c>
      <c r="C862" t="s">
        <v>1431</v>
      </c>
      <c r="D862" t="s">
        <v>1983</v>
      </c>
      <c r="E862" t="s">
        <v>1488</v>
      </c>
      <c r="F862" t="s">
        <v>21</v>
      </c>
      <c r="H862">
        <v>1</v>
      </c>
      <c r="I862">
        <f t="shared" si="65"/>
        <v>2</v>
      </c>
      <c r="J862" s="2">
        <f t="shared" si="66"/>
        <v>0.34499999999999997</v>
      </c>
      <c r="K862">
        <f t="shared" si="67"/>
        <v>5.7971014492753632</v>
      </c>
      <c r="L862" t="str">
        <f t="shared" si="68"/>
        <v>Funded</v>
      </c>
      <c r="M862">
        <f t="shared" si="69"/>
        <v>1.7573580425107227</v>
      </c>
    </row>
    <row r="863" spans="1:13" x14ac:dyDescent="0.25">
      <c r="A863" t="s">
        <v>1984</v>
      </c>
      <c r="B863" t="s">
        <v>47</v>
      </c>
      <c r="C863" t="s">
        <v>1985</v>
      </c>
      <c r="D863" t="s">
        <v>1282</v>
      </c>
      <c r="E863" t="s">
        <v>10</v>
      </c>
      <c r="F863" t="s">
        <v>11</v>
      </c>
      <c r="H863">
        <v>1</v>
      </c>
      <c r="I863">
        <f t="shared" si="65"/>
        <v>2</v>
      </c>
      <c r="J863" s="2">
        <f t="shared" si="66"/>
        <v>0.43</v>
      </c>
      <c r="K863">
        <f t="shared" si="67"/>
        <v>4.6511627906976747</v>
      </c>
      <c r="L863" t="str">
        <f t="shared" si="68"/>
        <v>Funded</v>
      </c>
      <c r="M863">
        <f t="shared" si="69"/>
        <v>1.5371172508544744</v>
      </c>
    </row>
    <row r="864" spans="1:13" x14ac:dyDescent="0.25">
      <c r="A864" t="s">
        <v>1986</v>
      </c>
      <c r="B864" t="s">
        <v>47</v>
      </c>
      <c r="C864" t="s">
        <v>1987</v>
      </c>
      <c r="D864" t="s">
        <v>1988</v>
      </c>
      <c r="E864" t="s">
        <v>1035</v>
      </c>
      <c r="F864" t="s">
        <v>21</v>
      </c>
      <c r="H864">
        <v>1</v>
      </c>
      <c r="I864">
        <f t="shared" si="65"/>
        <v>2</v>
      </c>
      <c r="J864" s="2">
        <f t="shared" si="66"/>
        <v>0.56699999999999995</v>
      </c>
      <c r="K864">
        <f t="shared" si="67"/>
        <v>3.5273368606701943</v>
      </c>
      <c r="L864" t="str">
        <f t="shared" si="68"/>
        <v>Funded</v>
      </c>
      <c r="M864">
        <f t="shared" si="69"/>
        <v>1.2605431558143303</v>
      </c>
    </row>
    <row r="865" spans="1:13" x14ac:dyDescent="0.25">
      <c r="A865" t="s">
        <v>1989</v>
      </c>
      <c r="B865" t="s">
        <v>47</v>
      </c>
      <c r="C865" t="s">
        <v>1802</v>
      </c>
      <c r="D865" t="s">
        <v>689</v>
      </c>
      <c r="E865" t="s">
        <v>10</v>
      </c>
      <c r="F865" t="s">
        <v>11</v>
      </c>
      <c r="H865">
        <v>1</v>
      </c>
      <c r="I865">
        <f t="shared" si="65"/>
        <v>2</v>
      </c>
      <c r="J865" s="2">
        <f t="shared" si="66"/>
        <v>0.26200000000000001</v>
      </c>
      <c r="K865">
        <f t="shared" si="67"/>
        <v>7.6335877862595414</v>
      </c>
      <c r="L865" t="str">
        <f t="shared" si="68"/>
        <v>Funded</v>
      </c>
      <c r="M865">
        <f t="shared" si="69"/>
        <v>2.0325579557809856</v>
      </c>
    </row>
    <row r="866" spans="1:13" x14ac:dyDescent="0.25">
      <c r="A866" t="s">
        <v>1990</v>
      </c>
      <c r="B866" t="s">
        <v>47</v>
      </c>
      <c r="C866" t="s">
        <v>1991</v>
      </c>
      <c r="D866" t="s">
        <v>1992</v>
      </c>
      <c r="E866" t="s">
        <v>10</v>
      </c>
      <c r="F866" t="s">
        <v>11</v>
      </c>
      <c r="H866">
        <v>1</v>
      </c>
      <c r="I866">
        <f t="shared" si="65"/>
        <v>2</v>
      </c>
      <c r="J866" s="2">
        <f t="shared" si="66"/>
        <v>0.62</v>
      </c>
      <c r="K866">
        <f t="shared" si="67"/>
        <v>3.2258064516129035</v>
      </c>
      <c r="L866" t="str">
        <f t="shared" si="68"/>
        <v>Funded</v>
      </c>
      <c r="M866">
        <f t="shared" si="69"/>
        <v>1.1711829815029453</v>
      </c>
    </row>
    <row r="867" spans="1:13" x14ac:dyDescent="0.25">
      <c r="A867" t="s">
        <v>1993</v>
      </c>
      <c r="B867" t="s">
        <v>47</v>
      </c>
      <c r="C867" t="s">
        <v>1994</v>
      </c>
      <c r="D867" t="s">
        <v>611</v>
      </c>
      <c r="E867" t="s">
        <v>10</v>
      </c>
      <c r="F867" t="s">
        <v>11</v>
      </c>
      <c r="H867">
        <v>1</v>
      </c>
      <c r="I867">
        <f t="shared" si="65"/>
        <v>2</v>
      </c>
      <c r="J867" s="2">
        <f t="shared" si="66"/>
        <v>0.184</v>
      </c>
      <c r="K867">
        <f t="shared" si="67"/>
        <v>10.869565217391305</v>
      </c>
      <c r="L867" t="str">
        <f t="shared" si="68"/>
        <v>Funded</v>
      </c>
      <c r="M867">
        <f t="shared" si="69"/>
        <v>2.3859667019330968</v>
      </c>
    </row>
    <row r="868" spans="1:13" x14ac:dyDescent="0.25">
      <c r="A868" t="s">
        <v>1995</v>
      </c>
      <c r="B868" t="s">
        <v>47</v>
      </c>
      <c r="C868" t="s">
        <v>1996</v>
      </c>
      <c r="E868" t="s">
        <v>10</v>
      </c>
      <c r="F868" t="s">
        <v>11</v>
      </c>
      <c r="H868">
        <v>1</v>
      </c>
      <c r="I868">
        <f t="shared" si="65"/>
        <v>2</v>
      </c>
      <c r="J868" s="2">
        <f t="shared" si="66"/>
        <v>1.4999999999999999E-2</v>
      </c>
      <c r="K868">
        <f t="shared" si="67"/>
        <v>133.33333333333334</v>
      </c>
      <c r="L868" t="str">
        <f t="shared" si="68"/>
        <v>Funded</v>
      </c>
      <c r="M868">
        <f t="shared" si="69"/>
        <v>4.8928522584398726</v>
      </c>
    </row>
    <row r="869" spans="1:13" x14ac:dyDescent="0.25">
      <c r="A869" t="s">
        <v>1997</v>
      </c>
      <c r="B869" t="s">
        <v>47</v>
      </c>
      <c r="C869" t="s">
        <v>1281</v>
      </c>
      <c r="D869" t="s">
        <v>1998</v>
      </c>
      <c r="E869" t="s">
        <v>275</v>
      </c>
      <c r="F869" t="s">
        <v>21</v>
      </c>
      <c r="H869">
        <v>1</v>
      </c>
      <c r="I869">
        <f t="shared" si="65"/>
        <v>2</v>
      </c>
      <c r="J869" s="2">
        <f t="shared" si="66"/>
        <v>0.254</v>
      </c>
      <c r="K869">
        <f t="shared" si="67"/>
        <v>7.8740157480314963</v>
      </c>
      <c r="L869" t="str">
        <f t="shared" si="68"/>
        <v>Funded</v>
      </c>
      <c r="M869">
        <f t="shared" si="69"/>
        <v>2.0635681925235456</v>
      </c>
    </row>
    <row r="870" spans="1:13" x14ac:dyDescent="0.25">
      <c r="A870" t="s">
        <v>1999</v>
      </c>
      <c r="B870" t="s">
        <v>47</v>
      </c>
      <c r="C870" t="s">
        <v>2000</v>
      </c>
      <c r="D870" t="s">
        <v>496</v>
      </c>
      <c r="E870" t="s">
        <v>10</v>
      </c>
      <c r="F870" t="s">
        <v>11</v>
      </c>
      <c r="H870">
        <v>1</v>
      </c>
      <c r="I870">
        <f t="shared" si="65"/>
        <v>2</v>
      </c>
      <c r="J870" s="2">
        <f t="shared" si="66"/>
        <v>0.23300000000000001</v>
      </c>
      <c r="K870">
        <f t="shared" si="67"/>
        <v>8.5836909871244629</v>
      </c>
      <c r="L870" t="str">
        <f t="shared" si="68"/>
        <v>Funded</v>
      </c>
      <c r="M870">
        <f t="shared" si="69"/>
        <v>2.1498640059763816</v>
      </c>
    </row>
    <row r="871" spans="1:13" x14ac:dyDescent="0.25">
      <c r="A871" t="s">
        <v>2001</v>
      </c>
      <c r="B871" t="s">
        <v>47</v>
      </c>
      <c r="C871" t="s">
        <v>1428</v>
      </c>
      <c r="D871" t="s">
        <v>1927</v>
      </c>
      <c r="E871" t="s">
        <v>10</v>
      </c>
      <c r="F871" t="s">
        <v>11</v>
      </c>
      <c r="H871">
        <v>1</v>
      </c>
      <c r="I871">
        <f t="shared" si="65"/>
        <v>2</v>
      </c>
      <c r="J871" s="2">
        <f t="shared" si="66"/>
        <v>0.311</v>
      </c>
      <c r="K871">
        <f t="shared" si="67"/>
        <v>6.430868167202572</v>
      </c>
      <c r="L871" t="str">
        <f t="shared" si="68"/>
        <v>Funded</v>
      </c>
      <c r="M871">
        <f t="shared" si="69"/>
        <v>1.8611095473628483</v>
      </c>
    </row>
    <row r="872" spans="1:13" x14ac:dyDescent="0.25">
      <c r="A872" t="s">
        <v>2002</v>
      </c>
      <c r="B872" t="s">
        <v>47</v>
      </c>
      <c r="C872" t="s">
        <v>1896</v>
      </c>
      <c r="D872" t="s">
        <v>2003</v>
      </c>
      <c r="E872" t="s">
        <v>10</v>
      </c>
      <c r="F872" t="s">
        <v>11</v>
      </c>
      <c r="H872">
        <v>1</v>
      </c>
      <c r="I872">
        <f t="shared" si="65"/>
        <v>2</v>
      </c>
      <c r="J872" s="2">
        <f t="shared" si="66"/>
        <v>0.19500000000000001</v>
      </c>
      <c r="K872">
        <f t="shared" si="67"/>
        <v>10.256410256410255</v>
      </c>
      <c r="L872" t="str">
        <f t="shared" si="68"/>
        <v>Funded</v>
      </c>
      <c r="M872">
        <f t="shared" si="69"/>
        <v>2.3279029009783354</v>
      </c>
    </row>
    <row r="873" spans="1:13" x14ac:dyDescent="0.25">
      <c r="A873" t="s">
        <v>2004</v>
      </c>
      <c r="B873" t="s">
        <v>47</v>
      </c>
      <c r="C873" t="s">
        <v>2005</v>
      </c>
      <c r="D873" t="s">
        <v>876</v>
      </c>
      <c r="E873" t="s">
        <v>10</v>
      </c>
      <c r="F873" t="s">
        <v>11</v>
      </c>
      <c r="H873">
        <v>1</v>
      </c>
      <c r="I873">
        <f t="shared" si="65"/>
        <v>2</v>
      </c>
      <c r="J873" s="2">
        <f t="shared" si="66"/>
        <v>0.17499999999999999</v>
      </c>
      <c r="K873">
        <f t="shared" si="67"/>
        <v>11.428571428571429</v>
      </c>
      <c r="L873" t="str">
        <f t="shared" si="68"/>
        <v>Funded</v>
      </c>
      <c r="M873">
        <f t="shared" si="69"/>
        <v>2.4361164856185682</v>
      </c>
    </row>
    <row r="874" spans="1:13" x14ac:dyDescent="0.25">
      <c r="A874" t="s">
        <v>2006</v>
      </c>
      <c r="B874" t="s">
        <v>47</v>
      </c>
      <c r="C874" t="s">
        <v>2007</v>
      </c>
      <c r="D874" t="s">
        <v>1647</v>
      </c>
      <c r="E874" t="s">
        <v>10</v>
      </c>
      <c r="F874" t="s">
        <v>11</v>
      </c>
      <c r="H874">
        <v>1</v>
      </c>
      <c r="I874">
        <f t="shared" si="65"/>
        <v>2</v>
      </c>
      <c r="J874" s="2">
        <f t="shared" si="66"/>
        <v>8.8999999999999996E-2</v>
      </c>
      <c r="K874">
        <f t="shared" si="67"/>
        <v>22.471910112359552</v>
      </c>
      <c r="L874" t="str">
        <f t="shared" si="68"/>
        <v>Funded</v>
      </c>
      <c r="M874">
        <f t="shared" si="69"/>
        <v>3.1122660898099426</v>
      </c>
    </row>
    <row r="875" spans="1:13" x14ac:dyDescent="0.25">
      <c r="A875" t="s">
        <v>2008</v>
      </c>
      <c r="B875" t="s">
        <v>47</v>
      </c>
      <c r="C875" t="s">
        <v>1525</v>
      </c>
      <c r="D875" t="s">
        <v>1437</v>
      </c>
      <c r="E875" t="s">
        <v>44</v>
      </c>
      <c r="F875" t="s">
        <v>21</v>
      </c>
      <c r="H875">
        <v>1</v>
      </c>
      <c r="I875">
        <f t="shared" si="65"/>
        <v>2</v>
      </c>
      <c r="J875" s="2">
        <f t="shared" si="66"/>
        <v>0.432</v>
      </c>
      <c r="K875">
        <f t="shared" si="67"/>
        <v>4.6296296296296298</v>
      </c>
      <c r="L875" t="str">
        <f t="shared" si="68"/>
        <v>Funded</v>
      </c>
      <c r="M875">
        <f t="shared" si="69"/>
        <v>1.5324768712979722</v>
      </c>
    </row>
    <row r="876" spans="1:13" x14ac:dyDescent="0.25">
      <c r="A876" t="s">
        <v>2009</v>
      </c>
      <c r="B876" t="s">
        <v>47</v>
      </c>
      <c r="C876" t="s">
        <v>2010</v>
      </c>
      <c r="D876" t="s">
        <v>254</v>
      </c>
      <c r="E876" t="s">
        <v>10</v>
      </c>
      <c r="F876" t="s">
        <v>11</v>
      </c>
      <c r="H876">
        <v>1</v>
      </c>
      <c r="I876">
        <f t="shared" si="65"/>
        <v>2</v>
      </c>
      <c r="J876" s="2">
        <f t="shared" si="66"/>
        <v>0.38100000000000001</v>
      </c>
      <c r="K876">
        <f t="shared" si="67"/>
        <v>5.2493438320209975</v>
      </c>
      <c r="L876" t="str">
        <f t="shared" si="68"/>
        <v>Funded</v>
      </c>
      <c r="M876">
        <f t="shared" si="69"/>
        <v>1.6581030844153815</v>
      </c>
    </row>
    <row r="877" spans="1:13" x14ac:dyDescent="0.25">
      <c r="A877" t="s">
        <v>2011</v>
      </c>
      <c r="B877" t="s">
        <v>47</v>
      </c>
      <c r="C877" t="s">
        <v>2012</v>
      </c>
      <c r="D877" t="s">
        <v>636</v>
      </c>
      <c r="E877" t="s">
        <v>10</v>
      </c>
      <c r="F877" t="s">
        <v>11</v>
      </c>
      <c r="H877">
        <v>1</v>
      </c>
      <c r="I877">
        <f t="shared" si="65"/>
        <v>2</v>
      </c>
      <c r="J877" s="2">
        <f t="shared" si="66"/>
        <v>0.18099999999999999</v>
      </c>
      <c r="K877">
        <f t="shared" si="67"/>
        <v>11.049723756906078</v>
      </c>
      <c r="L877" t="str">
        <f t="shared" si="68"/>
        <v>Funded</v>
      </c>
      <c r="M877">
        <f t="shared" si="69"/>
        <v>2.4024054282762566</v>
      </c>
    </row>
    <row r="878" spans="1:13" x14ac:dyDescent="0.25">
      <c r="A878" t="s">
        <v>2013</v>
      </c>
      <c r="B878" t="s">
        <v>47</v>
      </c>
      <c r="C878" t="s">
        <v>1157</v>
      </c>
      <c r="D878" t="s">
        <v>2014</v>
      </c>
      <c r="E878" t="s">
        <v>10</v>
      </c>
      <c r="F878" t="s">
        <v>11</v>
      </c>
      <c r="H878">
        <v>1</v>
      </c>
      <c r="I878">
        <f t="shared" si="65"/>
        <v>2</v>
      </c>
      <c r="J878" s="2">
        <f t="shared" si="66"/>
        <v>0.11899999999999999</v>
      </c>
      <c r="K878">
        <f t="shared" si="67"/>
        <v>16.806722689075631</v>
      </c>
      <c r="L878" t="str">
        <f t="shared" si="68"/>
        <v>Funded</v>
      </c>
      <c r="M878">
        <f t="shared" si="69"/>
        <v>2.821778966430553</v>
      </c>
    </row>
    <row r="879" spans="1:13" x14ac:dyDescent="0.25">
      <c r="A879" t="s">
        <v>2015</v>
      </c>
      <c r="B879" t="s">
        <v>47</v>
      </c>
      <c r="C879" t="s">
        <v>986</v>
      </c>
      <c r="D879" t="s">
        <v>1542</v>
      </c>
      <c r="E879" t="s">
        <v>10</v>
      </c>
      <c r="F879" t="s">
        <v>11</v>
      </c>
      <c r="H879">
        <v>1</v>
      </c>
      <c r="I879">
        <f t="shared" si="65"/>
        <v>2</v>
      </c>
      <c r="J879" s="2">
        <f t="shared" si="66"/>
        <v>0.29899999999999999</v>
      </c>
      <c r="K879">
        <f t="shared" si="67"/>
        <v>6.6889632107023411</v>
      </c>
      <c r="L879" t="str">
        <f t="shared" si="68"/>
        <v>Funded</v>
      </c>
      <c r="M879">
        <f t="shared" si="69"/>
        <v>1.900458886151396</v>
      </c>
    </row>
    <row r="880" spans="1:13" x14ac:dyDescent="0.25">
      <c r="A880" t="s">
        <v>2016</v>
      </c>
      <c r="B880" t="s">
        <v>47</v>
      </c>
      <c r="C880" t="s">
        <v>2017</v>
      </c>
      <c r="D880" t="s">
        <v>2018</v>
      </c>
      <c r="E880" t="s">
        <v>319</v>
      </c>
      <c r="F880" t="s">
        <v>50</v>
      </c>
      <c r="H880">
        <v>1</v>
      </c>
      <c r="I880">
        <f t="shared" si="65"/>
        <v>2</v>
      </c>
      <c r="J880" s="2">
        <f t="shared" si="66"/>
        <v>0.17699999999999999</v>
      </c>
      <c r="K880">
        <f t="shared" si="67"/>
        <v>11.299435028248588</v>
      </c>
      <c r="L880" t="str">
        <f t="shared" si="68"/>
        <v>Funded</v>
      </c>
      <c r="M880">
        <f t="shared" si="69"/>
        <v>2.4247527269682534</v>
      </c>
    </row>
    <row r="881" spans="1:13" x14ac:dyDescent="0.25">
      <c r="A881" t="s">
        <v>2019</v>
      </c>
      <c r="B881" t="s">
        <v>47</v>
      </c>
      <c r="C881" t="s">
        <v>2020</v>
      </c>
      <c r="D881" t="s">
        <v>2021</v>
      </c>
      <c r="E881" t="s">
        <v>49</v>
      </c>
      <c r="F881" t="s">
        <v>50</v>
      </c>
      <c r="H881">
        <v>1</v>
      </c>
      <c r="I881">
        <f t="shared" si="65"/>
        <v>2</v>
      </c>
      <c r="J881" s="2">
        <f t="shared" si="66"/>
        <v>0.28999999999999998</v>
      </c>
      <c r="K881">
        <f t="shared" si="67"/>
        <v>6.8965517241379315</v>
      </c>
      <c r="L881" t="str">
        <f t="shared" si="68"/>
        <v>Funded</v>
      </c>
      <c r="M881">
        <f t="shared" si="69"/>
        <v>1.9310215365615626</v>
      </c>
    </row>
    <row r="882" spans="1:13" x14ac:dyDescent="0.25">
      <c r="A882" t="s">
        <v>2022</v>
      </c>
      <c r="B882" t="s">
        <v>47</v>
      </c>
      <c r="C882" t="s">
        <v>2023</v>
      </c>
      <c r="D882" t="s">
        <v>2024</v>
      </c>
      <c r="E882" t="s">
        <v>10</v>
      </c>
      <c r="F882" t="s">
        <v>11</v>
      </c>
      <c r="H882">
        <v>1</v>
      </c>
      <c r="I882">
        <f t="shared" si="65"/>
        <v>2</v>
      </c>
      <c r="J882" s="2">
        <f t="shared" si="66"/>
        <v>0.115</v>
      </c>
      <c r="K882">
        <f t="shared" si="67"/>
        <v>17.391304347826086</v>
      </c>
      <c r="L882" t="str">
        <f t="shared" si="68"/>
        <v>Funded</v>
      </c>
      <c r="M882">
        <f t="shared" si="69"/>
        <v>2.855970331178832</v>
      </c>
    </row>
    <row r="883" spans="1:13" x14ac:dyDescent="0.25">
      <c r="A883" t="s">
        <v>2025</v>
      </c>
      <c r="B883" t="s">
        <v>47</v>
      </c>
      <c r="C883" t="s">
        <v>1894</v>
      </c>
      <c r="D883" t="s">
        <v>389</v>
      </c>
      <c r="E883" t="s">
        <v>554</v>
      </c>
      <c r="F883" t="s">
        <v>526</v>
      </c>
      <c r="H883">
        <v>1</v>
      </c>
      <c r="I883">
        <f t="shared" si="65"/>
        <v>2</v>
      </c>
      <c r="J883" s="2">
        <f t="shared" si="66"/>
        <v>0.32</v>
      </c>
      <c r="K883">
        <f t="shared" si="67"/>
        <v>6.25</v>
      </c>
      <c r="L883" t="str">
        <f t="shared" si="68"/>
        <v>Funded</v>
      </c>
      <c r="M883">
        <f t="shared" si="69"/>
        <v>1.8325814637483102</v>
      </c>
    </row>
    <row r="884" spans="1:13" x14ac:dyDescent="0.25">
      <c r="A884" t="s">
        <v>2026</v>
      </c>
      <c r="B884" t="s">
        <v>47</v>
      </c>
      <c r="C884" t="s">
        <v>721</v>
      </c>
      <c r="D884" t="s">
        <v>2027</v>
      </c>
      <c r="E884" t="s">
        <v>10</v>
      </c>
      <c r="F884" t="s">
        <v>11</v>
      </c>
      <c r="H884">
        <v>1</v>
      </c>
      <c r="I884">
        <f t="shared" si="65"/>
        <v>2</v>
      </c>
      <c r="J884" s="2">
        <f t="shared" si="66"/>
        <v>0.80200000000000005</v>
      </c>
      <c r="K884">
        <f t="shared" si="67"/>
        <v>2.4937655860349124</v>
      </c>
      <c r="L884" t="str">
        <f t="shared" si="68"/>
        <v>Funded</v>
      </c>
      <c r="M884">
        <f t="shared" si="69"/>
        <v>0.9137938516755677</v>
      </c>
    </row>
    <row r="885" spans="1:13" x14ac:dyDescent="0.25">
      <c r="A885" t="s">
        <v>2028</v>
      </c>
      <c r="B885" t="s">
        <v>47</v>
      </c>
      <c r="C885" t="s">
        <v>808</v>
      </c>
      <c r="D885" t="s">
        <v>2029</v>
      </c>
      <c r="E885" t="s">
        <v>10</v>
      </c>
      <c r="F885" t="s">
        <v>11</v>
      </c>
      <c r="H885">
        <v>1</v>
      </c>
      <c r="I885">
        <f t="shared" si="65"/>
        <v>2</v>
      </c>
      <c r="J885" s="2">
        <f t="shared" si="66"/>
        <v>0.72499999999999998</v>
      </c>
      <c r="K885">
        <f t="shared" si="67"/>
        <v>2.7586206896551726</v>
      </c>
      <c r="L885" t="str">
        <f t="shared" si="68"/>
        <v>Funded</v>
      </c>
      <c r="M885">
        <f t="shared" si="69"/>
        <v>1.0147308046874077</v>
      </c>
    </row>
    <row r="886" spans="1:13" x14ac:dyDescent="0.25">
      <c r="A886" t="s">
        <v>2030</v>
      </c>
      <c r="B886" t="s">
        <v>47</v>
      </c>
      <c r="C886" t="s">
        <v>2031</v>
      </c>
      <c r="D886" t="s">
        <v>2032</v>
      </c>
      <c r="E886" t="s">
        <v>652</v>
      </c>
      <c r="F886" t="s">
        <v>50</v>
      </c>
      <c r="H886">
        <v>1</v>
      </c>
      <c r="I886">
        <f t="shared" si="65"/>
        <v>2</v>
      </c>
      <c r="J886" s="2">
        <f t="shared" si="66"/>
        <v>0.34</v>
      </c>
      <c r="K886">
        <f t="shared" si="67"/>
        <v>5.8823529411764701</v>
      </c>
      <c r="L886" t="str">
        <f t="shared" si="68"/>
        <v>Funded</v>
      </c>
      <c r="M886">
        <f t="shared" si="69"/>
        <v>1.7719568419318752</v>
      </c>
    </row>
    <row r="887" spans="1:13" x14ac:dyDescent="0.25">
      <c r="A887" t="s">
        <v>2033</v>
      </c>
      <c r="B887" t="s">
        <v>47</v>
      </c>
      <c r="C887" t="s">
        <v>2034</v>
      </c>
      <c r="D887" t="s">
        <v>2035</v>
      </c>
      <c r="E887" t="s">
        <v>10</v>
      </c>
      <c r="F887" t="s">
        <v>11</v>
      </c>
      <c r="H887">
        <v>1</v>
      </c>
      <c r="I887">
        <f t="shared" si="65"/>
        <v>2</v>
      </c>
      <c r="J887" s="2">
        <f t="shared" si="66"/>
        <v>0.245</v>
      </c>
      <c r="K887">
        <f t="shared" si="67"/>
        <v>8.1632653061224492</v>
      </c>
      <c r="L887" t="str">
        <f t="shared" si="68"/>
        <v>Funded</v>
      </c>
      <c r="M887">
        <f t="shared" si="69"/>
        <v>2.0996442489973552</v>
      </c>
    </row>
    <row r="888" spans="1:13" x14ac:dyDescent="0.25">
      <c r="A888" t="s">
        <v>2036</v>
      </c>
      <c r="B888" t="s">
        <v>47</v>
      </c>
      <c r="C888" t="s">
        <v>2037</v>
      </c>
      <c r="D888" t="s">
        <v>955</v>
      </c>
      <c r="E888" t="s">
        <v>10</v>
      </c>
      <c r="F888" t="s">
        <v>11</v>
      </c>
      <c r="H888">
        <v>1</v>
      </c>
      <c r="I888">
        <f t="shared" si="65"/>
        <v>2</v>
      </c>
      <c r="J888" s="2">
        <f t="shared" si="66"/>
        <v>0.33100000000000002</v>
      </c>
      <c r="K888">
        <f t="shared" si="67"/>
        <v>6.0422960725075523</v>
      </c>
      <c r="L888" t="str">
        <f t="shared" si="68"/>
        <v>Funded</v>
      </c>
      <c r="M888">
        <f t="shared" si="69"/>
        <v>1.7987840841650193</v>
      </c>
    </row>
    <row r="889" spans="1:13" x14ac:dyDescent="0.25">
      <c r="A889" t="s">
        <v>2038</v>
      </c>
      <c r="B889" t="s">
        <v>47</v>
      </c>
      <c r="C889" t="s">
        <v>2039</v>
      </c>
      <c r="D889" t="s">
        <v>932</v>
      </c>
      <c r="E889" t="s">
        <v>10</v>
      </c>
      <c r="F889" t="s">
        <v>11</v>
      </c>
      <c r="H889">
        <v>1</v>
      </c>
      <c r="I889">
        <f t="shared" si="65"/>
        <v>2</v>
      </c>
      <c r="J889" s="2">
        <f t="shared" si="66"/>
        <v>0.313</v>
      </c>
      <c r="K889">
        <f t="shared" si="67"/>
        <v>6.3897763578274764</v>
      </c>
      <c r="L889" t="str">
        <f t="shared" si="68"/>
        <v>Funded</v>
      </c>
      <c r="M889">
        <f t="shared" si="69"/>
        <v>1.8546992690019293</v>
      </c>
    </row>
    <row r="890" spans="1:13" x14ac:dyDescent="0.25">
      <c r="A890" t="s">
        <v>2040</v>
      </c>
      <c r="B890" t="s">
        <v>47</v>
      </c>
      <c r="C890" t="s">
        <v>575</v>
      </c>
      <c r="D890" t="s">
        <v>496</v>
      </c>
      <c r="E890" t="s">
        <v>10</v>
      </c>
      <c r="F890" t="s">
        <v>11</v>
      </c>
      <c r="H890">
        <v>1</v>
      </c>
      <c r="I890">
        <f t="shared" si="65"/>
        <v>2</v>
      </c>
      <c r="J890" s="2">
        <f t="shared" si="66"/>
        <v>0.183</v>
      </c>
      <c r="K890">
        <f t="shared" si="67"/>
        <v>10.928961748633879</v>
      </c>
      <c r="L890" t="str">
        <f t="shared" si="68"/>
        <v>Funded</v>
      </c>
      <c r="M890">
        <f t="shared" si="69"/>
        <v>2.3914163067006613</v>
      </c>
    </row>
    <row r="891" spans="1:13" x14ac:dyDescent="0.25">
      <c r="A891" t="s">
        <v>2041</v>
      </c>
      <c r="B891" t="s">
        <v>47</v>
      </c>
      <c r="C891" t="s">
        <v>2042</v>
      </c>
      <c r="D891" t="s">
        <v>1526</v>
      </c>
      <c r="E891" t="s">
        <v>350</v>
      </c>
      <c r="F891" t="s">
        <v>21</v>
      </c>
      <c r="H891">
        <v>1</v>
      </c>
      <c r="I891">
        <f t="shared" si="65"/>
        <v>2</v>
      </c>
      <c r="J891" s="2">
        <f t="shared" si="66"/>
        <v>0.20300000000000001</v>
      </c>
      <c r="K891">
        <f t="shared" si="67"/>
        <v>9.8522167487684715</v>
      </c>
      <c r="L891" t="str">
        <f t="shared" si="68"/>
        <v>Funded</v>
      </c>
      <c r="M891">
        <f t="shared" si="69"/>
        <v>2.2876964805002951</v>
      </c>
    </row>
    <row r="892" spans="1:13" x14ac:dyDescent="0.25">
      <c r="A892" t="s">
        <v>2043</v>
      </c>
      <c r="B892" t="s">
        <v>47</v>
      </c>
      <c r="C892" t="s">
        <v>1917</v>
      </c>
      <c r="D892" t="s">
        <v>79</v>
      </c>
      <c r="E892" t="s">
        <v>10</v>
      </c>
      <c r="F892" t="s">
        <v>11</v>
      </c>
      <c r="H892">
        <v>1</v>
      </c>
      <c r="I892">
        <f t="shared" si="65"/>
        <v>2</v>
      </c>
      <c r="J892" s="2">
        <f t="shared" si="66"/>
        <v>0.11700000000000001</v>
      </c>
      <c r="K892">
        <f t="shared" si="67"/>
        <v>17.094017094017094</v>
      </c>
      <c r="L892" t="str">
        <f t="shared" si="68"/>
        <v>Funded</v>
      </c>
      <c r="M892">
        <f t="shared" si="69"/>
        <v>2.8387285247443264</v>
      </c>
    </row>
    <row r="893" spans="1:13" x14ac:dyDescent="0.25">
      <c r="A893" t="s">
        <v>2044</v>
      </c>
      <c r="B893" t="s">
        <v>47</v>
      </c>
      <c r="C893" t="s">
        <v>2045</v>
      </c>
      <c r="D893" t="s">
        <v>2046</v>
      </c>
      <c r="E893" t="s">
        <v>20</v>
      </c>
      <c r="F893" t="s">
        <v>21</v>
      </c>
      <c r="H893">
        <v>1</v>
      </c>
      <c r="I893">
        <f t="shared" si="65"/>
        <v>2</v>
      </c>
      <c r="J893" s="2">
        <f t="shared" si="66"/>
        <v>0.28499999999999998</v>
      </c>
      <c r="K893">
        <f t="shared" si="67"/>
        <v>7.0175438596491233</v>
      </c>
      <c r="L893" t="str">
        <f t="shared" si="68"/>
        <v>Funded</v>
      </c>
      <c r="M893">
        <f t="shared" si="69"/>
        <v>1.9484132792734319</v>
      </c>
    </row>
    <row r="894" spans="1:13" x14ac:dyDescent="0.25">
      <c r="A894" t="s">
        <v>2047</v>
      </c>
      <c r="B894" t="s">
        <v>47</v>
      </c>
      <c r="C894" t="s">
        <v>1562</v>
      </c>
      <c r="D894" t="s">
        <v>545</v>
      </c>
      <c r="E894" t="s">
        <v>44</v>
      </c>
      <c r="F894" t="s">
        <v>21</v>
      </c>
      <c r="H894">
        <v>1</v>
      </c>
      <c r="I894">
        <f t="shared" si="65"/>
        <v>2</v>
      </c>
      <c r="J894" s="2">
        <f t="shared" si="66"/>
        <v>0.21199999999999999</v>
      </c>
      <c r="K894">
        <f t="shared" si="67"/>
        <v>9.433962264150944</v>
      </c>
      <c r="L894" t="str">
        <f t="shared" si="68"/>
        <v>Funded</v>
      </c>
      <c r="M894">
        <f t="shared" si="69"/>
        <v>2.2443161848700699</v>
      </c>
    </row>
    <row r="895" spans="1:13" x14ac:dyDescent="0.25">
      <c r="A895" t="s">
        <v>2048</v>
      </c>
      <c r="B895" t="s">
        <v>47</v>
      </c>
      <c r="C895" t="s">
        <v>2049</v>
      </c>
      <c r="D895" t="s">
        <v>120</v>
      </c>
      <c r="E895" t="s">
        <v>10</v>
      </c>
      <c r="F895" t="s">
        <v>11</v>
      </c>
      <c r="H895">
        <v>1</v>
      </c>
      <c r="I895">
        <f t="shared" si="65"/>
        <v>2</v>
      </c>
      <c r="J895" s="2">
        <f t="shared" si="66"/>
        <v>0.36099999999999999</v>
      </c>
      <c r="K895">
        <f t="shared" si="67"/>
        <v>5.54016620498615</v>
      </c>
      <c r="L895" t="str">
        <f t="shared" si="68"/>
        <v>Funded</v>
      </c>
      <c r="M895">
        <f t="shared" si="69"/>
        <v>1.7120245012092015</v>
      </c>
    </row>
    <row r="896" spans="1:13" x14ac:dyDescent="0.25">
      <c r="A896" t="s">
        <v>2050</v>
      </c>
      <c r="B896" t="s">
        <v>47</v>
      </c>
      <c r="C896" t="s">
        <v>1994</v>
      </c>
      <c r="D896" t="s">
        <v>2051</v>
      </c>
      <c r="E896" t="s">
        <v>350</v>
      </c>
      <c r="F896" t="s">
        <v>21</v>
      </c>
      <c r="H896">
        <v>1</v>
      </c>
      <c r="I896">
        <f t="shared" si="65"/>
        <v>2</v>
      </c>
      <c r="J896" s="2">
        <f t="shared" si="66"/>
        <v>0.184</v>
      </c>
      <c r="K896">
        <f t="shared" si="67"/>
        <v>10.869565217391305</v>
      </c>
      <c r="L896" t="str">
        <f t="shared" si="68"/>
        <v>Funded</v>
      </c>
      <c r="M896">
        <f t="shared" si="69"/>
        <v>2.3859667019330968</v>
      </c>
    </row>
    <row r="897" spans="1:13" x14ac:dyDescent="0.25">
      <c r="A897" t="s">
        <v>2052</v>
      </c>
      <c r="B897" t="s">
        <v>47</v>
      </c>
      <c r="C897" t="s">
        <v>552</v>
      </c>
      <c r="D897" t="s">
        <v>2053</v>
      </c>
      <c r="E897" t="s">
        <v>20</v>
      </c>
      <c r="F897" t="s">
        <v>21</v>
      </c>
      <c r="H897">
        <v>1</v>
      </c>
      <c r="I897">
        <f t="shared" si="65"/>
        <v>2</v>
      </c>
      <c r="J897" s="2">
        <f t="shared" si="66"/>
        <v>0.755</v>
      </c>
      <c r="K897">
        <f t="shared" si="67"/>
        <v>2.6490066225165565</v>
      </c>
      <c r="L897" t="str">
        <f t="shared" si="68"/>
        <v>Funded</v>
      </c>
      <c r="M897">
        <f t="shared" si="69"/>
        <v>0.97418471029305775</v>
      </c>
    </row>
    <row r="898" spans="1:13" x14ac:dyDescent="0.25">
      <c r="A898" t="s">
        <v>2054</v>
      </c>
      <c r="B898" t="s">
        <v>47</v>
      </c>
      <c r="C898" t="s">
        <v>495</v>
      </c>
      <c r="D898" t="s">
        <v>2055</v>
      </c>
      <c r="E898" t="s">
        <v>2056</v>
      </c>
      <c r="F898" t="s">
        <v>526</v>
      </c>
      <c r="H898">
        <v>1</v>
      </c>
      <c r="I898">
        <f t="shared" si="65"/>
        <v>2</v>
      </c>
      <c r="J898" s="2">
        <f t="shared" si="66"/>
        <v>0.433</v>
      </c>
      <c r="K898">
        <f t="shared" si="67"/>
        <v>4.6189376443418011</v>
      </c>
      <c r="L898" t="str">
        <f t="shared" si="68"/>
        <v>Funded</v>
      </c>
      <c r="M898">
        <f t="shared" si="69"/>
        <v>1.5301647315395925</v>
      </c>
    </row>
    <row r="899" spans="1:13" x14ac:dyDescent="0.25">
      <c r="A899" t="s">
        <v>2057</v>
      </c>
      <c r="B899" t="s">
        <v>47</v>
      </c>
      <c r="C899" t="s">
        <v>1743</v>
      </c>
      <c r="D899" t="s">
        <v>66</v>
      </c>
      <c r="E899" t="s">
        <v>10</v>
      </c>
      <c r="F899" t="s">
        <v>11</v>
      </c>
      <c r="H899">
        <v>1</v>
      </c>
      <c r="I899">
        <f t="shared" ref="I899:I962" si="70">IF(B899="","",
VALUE(SUBSTITUTE(SUBSTITUTE(B899,"$",""),"B","")))</f>
        <v>2</v>
      </c>
      <c r="J899" s="2">
        <f t="shared" ref="J899:J962" si="71">IF(C899="","",
IF(C899="$0",0,
IF(RIGHT(C899,1)="B",
VALUE(SUBSTITUTE(SUBSTITUTE(C899,"$",""),"B","")),
IF(RIGHT(C899,1)="M",
VALUE(SUBSTITUTE(SUBSTITUTE(C899,"$",""),"M",""))/1000,
IF(RIGHT(C899,1)="K",
VALUE(SUBSTITUTE(SUBSTITUTE(C899,"$",""),"K",""))/1000000,
VALUE(SUBSTITUTE(C899,"$",""))
)))))</f>
        <v>0.253</v>
      </c>
      <c r="K899">
        <f t="shared" ref="K899:K962" si="72">IF(J899&gt;0,I899/J899,"")</f>
        <v>7.9051383399209483</v>
      </c>
      <c r="L899" t="str">
        <f t="shared" ref="L899:L962" si="73">IF(J899=0,"Bootstrapped","Funded")</f>
        <v>Funded</v>
      </c>
      <c r="M899">
        <f t="shared" ref="M899:M962" si="74">IF(AND(I899&gt;0,J899&gt;0),LN(I899/J899),"")</f>
        <v>2.0675129708145619</v>
      </c>
    </row>
    <row r="900" spans="1:13" x14ac:dyDescent="0.25">
      <c r="A900" t="s">
        <v>2058</v>
      </c>
      <c r="B900" t="s">
        <v>47</v>
      </c>
      <c r="C900" t="s">
        <v>2059</v>
      </c>
      <c r="D900" t="s">
        <v>2060</v>
      </c>
      <c r="E900" t="s">
        <v>10</v>
      </c>
      <c r="F900" t="s">
        <v>11</v>
      </c>
      <c r="H900">
        <v>1</v>
      </c>
      <c r="I900">
        <f t="shared" si="70"/>
        <v>2</v>
      </c>
      <c r="J900" s="2">
        <f t="shared" si="71"/>
        <v>1.4999999999999999E-4</v>
      </c>
      <c r="K900">
        <f t="shared" si="72"/>
        <v>13333.333333333334</v>
      </c>
      <c r="L900" t="str">
        <f t="shared" si="73"/>
        <v>Funded</v>
      </c>
      <c r="M900">
        <f t="shared" si="74"/>
        <v>9.4980224444279635</v>
      </c>
    </row>
    <row r="901" spans="1:13" x14ac:dyDescent="0.25">
      <c r="A901" t="s">
        <v>2061</v>
      </c>
      <c r="B901" t="s">
        <v>47</v>
      </c>
      <c r="C901" t="s">
        <v>2062</v>
      </c>
      <c r="D901" t="s">
        <v>2063</v>
      </c>
      <c r="E901" t="s">
        <v>62</v>
      </c>
      <c r="F901" t="s">
        <v>63</v>
      </c>
      <c r="H901">
        <v>1</v>
      </c>
      <c r="I901">
        <f t="shared" si="70"/>
        <v>2</v>
      </c>
      <c r="J901" s="2">
        <f t="shared" si="71"/>
        <v>0.25700000000000001</v>
      </c>
      <c r="K901">
        <f t="shared" si="72"/>
        <v>7.782101167315175</v>
      </c>
      <c r="L901" t="str">
        <f t="shared" si="73"/>
        <v>Funded</v>
      </c>
      <c r="M901">
        <f t="shared" si="74"/>
        <v>2.0518263746468626</v>
      </c>
    </row>
    <row r="902" spans="1:13" x14ac:dyDescent="0.25">
      <c r="A902" t="s">
        <v>2064</v>
      </c>
      <c r="B902" t="s">
        <v>47</v>
      </c>
      <c r="C902" t="s">
        <v>960</v>
      </c>
      <c r="D902" t="s">
        <v>209</v>
      </c>
      <c r="E902" t="s">
        <v>10</v>
      </c>
      <c r="F902" t="s">
        <v>11</v>
      </c>
      <c r="H902">
        <v>1</v>
      </c>
      <c r="I902">
        <f t="shared" si="70"/>
        <v>2</v>
      </c>
      <c r="J902" s="2">
        <f t="shared" si="71"/>
        <v>0.43099999999999999</v>
      </c>
      <c r="K902">
        <f t="shared" si="72"/>
        <v>4.6403712296983759</v>
      </c>
      <c r="L902" t="str">
        <f t="shared" si="73"/>
        <v>Funded</v>
      </c>
      <c r="M902">
        <f t="shared" si="74"/>
        <v>1.5347943694383346</v>
      </c>
    </row>
    <row r="903" spans="1:13" x14ac:dyDescent="0.25">
      <c r="A903" t="s">
        <v>2065</v>
      </c>
      <c r="B903" t="s">
        <v>47</v>
      </c>
      <c r="C903" t="s">
        <v>1449</v>
      </c>
      <c r="D903" t="s">
        <v>578</v>
      </c>
      <c r="E903" t="s">
        <v>20</v>
      </c>
      <c r="F903" t="s">
        <v>21</v>
      </c>
      <c r="H903">
        <v>1</v>
      </c>
      <c r="I903">
        <f t="shared" si="70"/>
        <v>2</v>
      </c>
      <c r="J903" s="2">
        <f t="shared" si="71"/>
        <v>0.59299999999999997</v>
      </c>
      <c r="K903">
        <f t="shared" si="72"/>
        <v>3.3726812816188874</v>
      </c>
      <c r="L903" t="str">
        <f t="shared" si="73"/>
        <v>Funded</v>
      </c>
      <c r="M903">
        <f t="shared" si="74"/>
        <v>1.2157080605443571</v>
      </c>
    </row>
    <row r="904" spans="1:13" x14ac:dyDescent="0.25">
      <c r="A904" t="s">
        <v>2066</v>
      </c>
      <c r="B904" t="s">
        <v>47</v>
      </c>
      <c r="C904" s="1">
        <v>0</v>
      </c>
      <c r="D904" t="s">
        <v>2067</v>
      </c>
      <c r="E904" t="s">
        <v>10</v>
      </c>
      <c r="F904" t="s">
        <v>11</v>
      </c>
      <c r="H904">
        <v>1</v>
      </c>
      <c r="I904">
        <f t="shared" si="70"/>
        <v>2</v>
      </c>
      <c r="J904" s="2">
        <f t="shared" si="71"/>
        <v>0</v>
      </c>
      <c r="K904" t="str">
        <f t="shared" si="72"/>
        <v/>
      </c>
      <c r="L904" t="str">
        <f t="shared" si="73"/>
        <v>Bootstrapped</v>
      </c>
      <c r="M904" t="str">
        <f t="shared" si="74"/>
        <v/>
      </c>
    </row>
    <row r="905" spans="1:13" x14ac:dyDescent="0.25">
      <c r="A905" t="s">
        <v>2068</v>
      </c>
      <c r="B905" t="s">
        <v>47</v>
      </c>
      <c r="C905" t="s">
        <v>2069</v>
      </c>
      <c r="D905" t="s">
        <v>2070</v>
      </c>
      <c r="E905" t="s">
        <v>20</v>
      </c>
      <c r="F905" t="s">
        <v>21</v>
      </c>
      <c r="H905">
        <v>1</v>
      </c>
      <c r="I905">
        <f t="shared" si="70"/>
        <v>2</v>
      </c>
      <c r="J905" s="2">
        <f t="shared" si="71"/>
        <v>0.26700000000000002</v>
      </c>
      <c r="K905">
        <f t="shared" si="72"/>
        <v>7.4906367041198498</v>
      </c>
      <c r="L905" t="str">
        <f t="shared" si="73"/>
        <v>Funded</v>
      </c>
      <c r="M905">
        <f t="shared" si="74"/>
        <v>2.0136538011418326</v>
      </c>
    </row>
    <row r="906" spans="1:13" x14ac:dyDescent="0.25">
      <c r="A906" t="s">
        <v>2071</v>
      </c>
      <c r="B906" t="s">
        <v>47</v>
      </c>
      <c r="C906" t="s">
        <v>894</v>
      </c>
      <c r="D906" t="s">
        <v>254</v>
      </c>
      <c r="E906" t="s">
        <v>10</v>
      </c>
      <c r="F906" t="s">
        <v>11</v>
      </c>
      <c r="H906">
        <v>1</v>
      </c>
      <c r="I906">
        <f t="shared" si="70"/>
        <v>2</v>
      </c>
      <c r="J906" s="2">
        <f t="shared" si="71"/>
        <v>0.29399999999999998</v>
      </c>
      <c r="K906">
        <f t="shared" si="72"/>
        <v>6.8027210884353746</v>
      </c>
      <c r="L906" t="str">
        <f t="shared" si="73"/>
        <v>Funded</v>
      </c>
      <c r="M906">
        <f t="shared" si="74"/>
        <v>1.9173226922034008</v>
      </c>
    </row>
    <row r="907" spans="1:13" x14ac:dyDescent="0.25">
      <c r="A907" t="s">
        <v>2072</v>
      </c>
      <c r="B907" t="s">
        <v>47</v>
      </c>
      <c r="C907" t="s">
        <v>1234</v>
      </c>
      <c r="D907" t="s">
        <v>576</v>
      </c>
      <c r="E907" t="s">
        <v>20</v>
      </c>
      <c r="F907" t="s">
        <v>21</v>
      </c>
      <c r="H907">
        <v>1</v>
      </c>
      <c r="I907">
        <f t="shared" si="70"/>
        <v>2</v>
      </c>
      <c r="J907" s="2">
        <f t="shared" si="71"/>
        <v>0.36799999999999999</v>
      </c>
      <c r="K907">
        <f t="shared" si="72"/>
        <v>5.4347826086956523</v>
      </c>
      <c r="L907" t="str">
        <f t="shared" si="73"/>
        <v>Funded</v>
      </c>
      <c r="M907">
        <f t="shared" si="74"/>
        <v>1.6928195213731514</v>
      </c>
    </row>
    <row r="908" spans="1:13" x14ac:dyDescent="0.25">
      <c r="A908" t="s">
        <v>2073</v>
      </c>
      <c r="B908" t="s">
        <v>47</v>
      </c>
      <c r="C908" t="s">
        <v>1805</v>
      </c>
      <c r="D908" t="s">
        <v>1228</v>
      </c>
      <c r="E908" t="s">
        <v>44</v>
      </c>
      <c r="F908" t="s">
        <v>21</v>
      </c>
      <c r="H908">
        <v>1</v>
      </c>
      <c r="I908">
        <f t="shared" si="70"/>
        <v>2</v>
      </c>
      <c r="J908" s="2">
        <f t="shared" si="71"/>
        <v>0.55300000000000005</v>
      </c>
      <c r="K908">
        <f t="shared" si="72"/>
        <v>3.6166365280289328</v>
      </c>
      <c r="L908" t="str">
        <f t="shared" si="73"/>
        <v>Funded</v>
      </c>
      <c r="M908">
        <f t="shared" si="74"/>
        <v>1.2855444580197475</v>
      </c>
    </row>
    <row r="909" spans="1:13" x14ac:dyDescent="0.25">
      <c r="A909" t="s">
        <v>2074</v>
      </c>
      <c r="B909" t="s">
        <v>47</v>
      </c>
      <c r="C909" t="s">
        <v>2075</v>
      </c>
      <c r="D909" t="s">
        <v>2076</v>
      </c>
      <c r="E909" t="s">
        <v>10</v>
      </c>
      <c r="F909" t="s">
        <v>11</v>
      </c>
      <c r="H909">
        <v>1</v>
      </c>
      <c r="I909">
        <f t="shared" si="70"/>
        <v>2</v>
      </c>
      <c r="J909" s="2">
        <f t="shared" si="71"/>
        <v>0.54</v>
      </c>
      <c r="K909">
        <f t="shared" si="72"/>
        <v>3.7037037037037033</v>
      </c>
      <c r="L909" t="str">
        <f t="shared" si="73"/>
        <v>Funded</v>
      </c>
      <c r="M909">
        <f t="shared" si="74"/>
        <v>1.3093333199837622</v>
      </c>
    </row>
    <row r="910" spans="1:13" x14ac:dyDescent="0.25">
      <c r="A910" t="s">
        <v>2077</v>
      </c>
      <c r="B910" t="s">
        <v>47</v>
      </c>
      <c r="C910" t="s">
        <v>2078</v>
      </c>
      <c r="D910" t="s">
        <v>409</v>
      </c>
      <c r="E910" t="s">
        <v>10</v>
      </c>
      <c r="F910" t="s">
        <v>11</v>
      </c>
      <c r="H910">
        <v>1</v>
      </c>
      <c r="I910">
        <f t="shared" si="70"/>
        <v>2</v>
      </c>
      <c r="J910" s="2">
        <f t="shared" si="71"/>
        <v>7.3999999999999996E-2</v>
      </c>
      <c r="K910">
        <f t="shared" si="72"/>
        <v>27.027027027027028</v>
      </c>
      <c r="L910" t="str">
        <f t="shared" si="73"/>
        <v>Funded</v>
      </c>
      <c r="M910">
        <f t="shared" si="74"/>
        <v>3.2968373663379125</v>
      </c>
    </row>
    <row r="911" spans="1:13" x14ac:dyDescent="0.25">
      <c r="A911" t="s">
        <v>2079</v>
      </c>
      <c r="B911" t="s">
        <v>47</v>
      </c>
      <c r="C911" t="s">
        <v>1375</v>
      </c>
      <c r="D911" t="s">
        <v>177</v>
      </c>
      <c r="E911" t="s">
        <v>10</v>
      </c>
      <c r="F911" t="s">
        <v>11</v>
      </c>
      <c r="H911">
        <v>1</v>
      </c>
      <c r="I911">
        <f t="shared" si="70"/>
        <v>2</v>
      </c>
      <c r="J911" s="2">
        <f t="shared" si="71"/>
        <v>0.19</v>
      </c>
      <c r="K911">
        <f t="shared" si="72"/>
        <v>10.526315789473685</v>
      </c>
      <c r="L911" t="str">
        <f t="shared" si="73"/>
        <v>Funded</v>
      </c>
      <c r="M911">
        <f t="shared" si="74"/>
        <v>2.3538783873815965</v>
      </c>
    </row>
    <row r="912" spans="1:13" x14ac:dyDescent="0.25">
      <c r="A912" t="s">
        <v>2080</v>
      </c>
      <c r="B912" t="s">
        <v>47</v>
      </c>
      <c r="C912" t="s">
        <v>2081</v>
      </c>
      <c r="D912" t="s">
        <v>2082</v>
      </c>
      <c r="E912" t="s">
        <v>554</v>
      </c>
      <c r="F912" t="s">
        <v>526</v>
      </c>
      <c r="H912">
        <v>1</v>
      </c>
      <c r="I912">
        <f t="shared" si="70"/>
        <v>2</v>
      </c>
      <c r="J912" s="2">
        <f t="shared" si="71"/>
        <v>0.28000000000000003</v>
      </c>
      <c r="K912">
        <f t="shared" si="72"/>
        <v>7.1428571428571423</v>
      </c>
      <c r="L912" t="str">
        <f t="shared" si="73"/>
        <v>Funded</v>
      </c>
      <c r="M912">
        <f t="shared" si="74"/>
        <v>1.9661128563728327</v>
      </c>
    </row>
    <row r="913" spans="1:13" x14ac:dyDescent="0.25">
      <c r="A913" t="s">
        <v>2083</v>
      </c>
      <c r="B913" t="s">
        <v>47</v>
      </c>
      <c r="C913" t="s">
        <v>2084</v>
      </c>
      <c r="D913" t="s">
        <v>2085</v>
      </c>
      <c r="E913" t="s">
        <v>350</v>
      </c>
      <c r="F913" t="s">
        <v>21</v>
      </c>
      <c r="H913">
        <v>1</v>
      </c>
      <c r="I913">
        <f t="shared" si="70"/>
        <v>2</v>
      </c>
      <c r="J913" s="2">
        <f t="shared" si="71"/>
        <v>0.29599999999999999</v>
      </c>
      <c r="K913">
        <f t="shared" si="72"/>
        <v>6.756756756756757</v>
      </c>
      <c r="L913" t="str">
        <f t="shared" si="73"/>
        <v>Funded</v>
      </c>
      <c r="M913">
        <f t="shared" si="74"/>
        <v>1.9105430052180221</v>
      </c>
    </row>
    <row r="914" spans="1:13" x14ac:dyDescent="0.25">
      <c r="A914" t="s">
        <v>2086</v>
      </c>
      <c r="B914" t="s">
        <v>47</v>
      </c>
      <c r="C914" t="s">
        <v>1545</v>
      </c>
      <c r="D914" t="s">
        <v>2087</v>
      </c>
      <c r="E914" t="s">
        <v>49</v>
      </c>
      <c r="F914" t="s">
        <v>50</v>
      </c>
      <c r="H914">
        <v>1</v>
      </c>
      <c r="I914">
        <f t="shared" si="70"/>
        <v>2</v>
      </c>
      <c r="J914" s="2">
        <f t="shared" si="71"/>
        <v>0.121</v>
      </c>
      <c r="K914">
        <f t="shared" si="72"/>
        <v>16.528925619834713</v>
      </c>
      <c r="L914" t="str">
        <f t="shared" si="73"/>
        <v>Funded</v>
      </c>
      <c r="M914">
        <f t="shared" si="74"/>
        <v>2.8051119139453413</v>
      </c>
    </row>
    <row r="915" spans="1:13" x14ac:dyDescent="0.25">
      <c r="A915" t="s">
        <v>2088</v>
      </c>
      <c r="B915" t="s">
        <v>47</v>
      </c>
      <c r="C915" t="s">
        <v>2020</v>
      </c>
      <c r="D915" t="s">
        <v>984</v>
      </c>
      <c r="E915" t="s">
        <v>49</v>
      </c>
      <c r="F915" t="s">
        <v>50</v>
      </c>
      <c r="H915">
        <v>1</v>
      </c>
      <c r="I915">
        <f t="shared" si="70"/>
        <v>2</v>
      </c>
      <c r="J915" s="2">
        <f t="shared" si="71"/>
        <v>0.28999999999999998</v>
      </c>
      <c r="K915">
        <f t="shared" si="72"/>
        <v>6.8965517241379315</v>
      </c>
      <c r="L915" t="str">
        <f t="shared" si="73"/>
        <v>Funded</v>
      </c>
      <c r="M915">
        <f t="shared" si="74"/>
        <v>1.9310215365615626</v>
      </c>
    </row>
    <row r="916" spans="1:13" x14ac:dyDescent="0.25">
      <c r="A916" t="s">
        <v>2089</v>
      </c>
      <c r="B916" t="s">
        <v>47</v>
      </c>
      <c r="C916" t="s">
        <v>2090</v>
      </c>
      <c r="D916" t="s">
        <v>496</v>
      </c>
      <c r="E916" t="s">
        <v>365</v>
      </c>
      <c r="F916" t="s">
        <v>11</v>
      </c>
      <c r="H916">
        <v>1</v>
      </c>
      <c r="I916">
        <f t="shared" si="70"/>
        <v>2</v>
      </c>
      <c r="J916" s="2">
        <f t="shared" si="71"/>
        <v>0.13100000000000001</v>
      </c>
      <c r="K916">
        <f t="shared" si="72"/>
        <v>15.267175572519083</v>
      </c>
      <c r="L916" t="str">
        <f t="shared" si="73"/>
        <v>Funded</v>
      </c>
      <c r="M916">
        <f t="shared" si="74"/>
        <v>2.7257051363409306</v>
      </c>
    </row>
    <row r="917" spans="1:13" x14ac:dyDescent="0.25">
      <c r="A917" t="s">
        <v>2091</v>
      </c>
      <c r="B917" t="s">
        <v>47</v>
      </c>
      <c r="C917" t="s">
        <v>125</v>
      </c>
      <c r="D917" t="s">
        <v>2092</v>
      </c>
      <c r="E917" t="s">
        <v>10</v>
      </c>
      <c r="F917" t="s">
        <v>11</v>
      </c>
      <c r="H917">
        <v>1</v>
      </c>
      <c r="I917">
        <f t="shared" si="70"/>
        <v>2</v>
      </c>
      <c r="J917" s="2">
        <f t="shared" si="71"/>
        <v>1</v>
      </c>
      <c r="K917">
        <f t="shared" si="72"/>
        <v>2</v>
      </c>
      <c r="L917" t="str">
        <f t="shared" si="73"/>
        <v>Funded</v>
      </c>
      <c r="M917">
        <f t="shared" si="74"/>
        <v>0.69314718055994529</v>
      </c>
    </row>
    <row r="918" spans="1:13" x14ac:dyDescent="0.25">
      <c r="A918" t="s">
        <v>2093</v>
      </c>
      <c r="B918" t="s">
        <v>47</v>
      </c>
      <c r="C918" t="s">
        <v>2094</v>
      </c>
      <c r="D918" t="s">
        <v>2095</v>
      </c>
      <c r="E918" t="s">
        <v>20</v>
      </c>
      <c r="F918" t="s">
        <v>21</v>
      </c>
      <c r="H918">
        <v>1</v>
      </c>
      <c r="I918">
        <f t="shared" si="70"/>
        <v>2</v>
      </c>
      <c r="J918" s="2">
        <f t="shared" si="71"/>
        <v>0.435</v>
      </c>
      <c r="K918">
        <f t="shared" si="72"/>
        <v>4.5977011494252871</v>
      </c>
      <c r="L918" t="str">
        <f t="shared" si="73"/>
        <v>Funded</v>
      </c>
      <c r="M918">
        <f t="shared" si="74"/>
        <v>1.5255564284533982</v>
      </c>
    </row>
    <row r="919" spans="1:13" x14ac:dyDescent="0.25">
      <c r="A919" t="s">
        <v>2096</v>
      </c>
      <c r="B919" t="s">
        <v>47</v>
      </c>
      <c r="C919" t="s">
        <v>2097</v>
      </c>
      <c r="D919" t="s">
        <v>2098</v>
      </c>
      <c r="E919" t="s">
        <v>10</v>
      </c>
      <c r="F919" t="s">
        <v>11</v>
      </c>
      <c r="H919">
        <v>1</v>
      </c>
      <c r="I919">
        <f t="shared" si="70"/>
        <v>2</v>
      </c>
      <c r="J919" s="2">
        <f t="shared" si="71"/>
        <v>0.14199999999999999</v>
      </c>
      <c r="K919">
        <f t="shared" si="72"/>
        <v>14.084507042253522</v>
      </c>
      <c r="L919" t="str">
        <f t="shared" si="73"/>
        <v>Funded</v>
      </c>
      <c r="M919">
        <f t="shared" si="74"/>
        <v>2.6450754019408218</v>
      </c>
    </row>
    <row r="920" spans="1:13" x14ac:dyDescent="0.25">
      <c r="A920" t="s">
        <v>2099</v>
      </c>
      <c r="B920" t="s">
        <v>47</v>
      </c>
      <c r="C920" t="s">
        <v>2100</v>
      </c>
      <c r="D920" t="s">
        <v>2101</v>
      </c>
      <c r="E920" t="s">
        <v>10</v>
      </c>
      <c r="F920" t="s">
        <v>11</v>
      </c>
      <c r="H920">
        <v>1</v>
      </c>
      <c r="I920">
        <f t="shared" si="70"/>
        <v>2</v>
      </c>
      <c r="J920" s="2">
        <f t="shared" si="71"/>
        <v>0.622</v>
      </c>
      <c r="K920">
        <f t="shared" si="72"/>
        <v>3.215434083601286</v>
      </c>
      <c r="L920" t="str">
        <f t="shared" si="73"/>
        <v>Funded</v>
      </c>
      <c r="M920">
        <f t="shared" si="74"/>
        <v>1.1679623668029029</v>
      </c>
    </row>
    <row r="921" spans="1:13" x14ac:dyDescent="0.25">
      <c r="A921" t="s">
        <v>2102</v>
      </c>
      <c r="B921" t="s">
        <v>47</v>
      </c>
      <c r="C921" t="s">
        <v>2103</v>
      </c>
      <c r="D921" t="s">
        <v>2104</v>
      </c>
      <c r="E921" t="s">
        <v>10</v>
      </c>
      <c r="F921" t="s">
        <v>11</v>
      </c>
      <c r="H921">
        <v>1</v>
      </c>
      <c r="I921">
        <f t="shared" si="70"/>
        <v>2</v>
      </c>
      <c r="J921" s="2">
        <f t="shared" si="71"/>
        <v>0.39300000000000002</v>
      </c>
      <c r="K921">
        <f t="shared" si="72"/>
        <v>5.0890585241730282</v>
      </c>
      <c r="L921" t="str">
        <f t="shared" si="73"/>
        <v>Funded</v>
      </c>
      <c r="M921">
        <f t="shared" si="74"/>
        <v>1.6270928476728213</v>
      </c>
    </row>
    <row r="922" spans="1:13" x14ac:dyDescent="0.25">
      <c r="A922" t="s">
        <v>2105</v>
      </c>
      <c r="B922" t="s">
        <v>47</v>
      </c>
      <c r="C922" t="s">
        <v>678</v>
      </c>
      <c r="D922" t="s">
        <v>2106</v>
      </c>
      <c r="E922" t="s">
        <v>10</v>
      </c>
      <c r="F922" t="s">
        <v>11</v>
      </c>
      <c r="H922">
        <v>1</v>
      </c>
      <c r="I922">
        <f t="shared" si="70"/>
        <v>2</v>
      </c>
      <c r="J922" s="2">
        <f t="shared" si="71"/>
        <v>0.64700000000000002</v>
      </c>
      <c r="K922">
        <f t="shared" si="72"/>
        <v>3.0911901081916535</v>
      </c>
      <c r="L922" t="str">
        <f t="shared" si="73"/>
        <v>Funded</v>
      </c>
      <c r="M922">
        <f t="shared" si="74"/>
        <v>1.1285561650411817</v>
      </c>
    </row>
    <row r="923" spans="1:13" x14ac:dyDescent="0.25">
      <c r="A923" t="s">
        <v>2107</v>
      </c>
      <c r="B923" t="s">
        <v>47</v>
      </c>
      <c r="C923" t="s">
        <v>1663</v>
      </c>
      <c r="D923" t="s">
        <v>2108</v>
      </c>
      <c r="E923" t="s">
        <v>10</v>
      </c>
      <c r="F923" t="s">
        <v>11</v>
      </c>
      <c r="H923">
        <v>1</v>
      </c>
      <c r="I923">
        <f t="shared" si="70"/>
        <v>2</v>
      </c>
      <c r="J923" s="2">
        <f t="shared" si="71"/>
        <v>0.40500000000000003</v>
      </c>
      <c r="K923">
        <f t="shared" si="72"/>
        <v>4.9382716049382713</v>
      </c>
      <c r="L923" t="str">
        <f t="shared" si="73"/>
        <v>Funded</v>
      </c>
      <c r="M923">
        <f t="shared" si="74"/>
        <v>1.5970153924355432</v>
      </c>
    </row>
    <row r="924" spans="1:13" x14ac:dyDescent="0.25">
      <c r="A924" t="s">
        <v>2109</v>
      </c>
      <c r="B924" t="s">
        <v>47</v>
      </c>
      <c r="C924" t="s">
        <v>770</v>
      </c>
      <c r="D924" t="s">
        <v>66</v>
      </c>
      <c r="E924" t="s">
        <v>44</v>
      </c>
      <c r="F924" t="s">
        <v>21</v>
      </c>
      <c r="H924">
        <v>1</v>
      </c>
      <c r="I924">
        <f t="shared" si="70"/>
        <v>2</v>
      </c>
      <c r="J924" s="2">
        <f t="shared" si="71"/>
        <v>0.307</v>
      </c>
      <c r="K924">
        <f t="shared" si="72"/>
        <v>6.5146579804560263</v>
      </c>
      <c r="L924" t="str">
        <f t="shared" si="73"/>
        <v>Funded</v>
      </c>
      <c r="M924">
        <f t="shared" si="74"/>
        <v>1.8740547119548852</v>
      </c>
    </row>
    <row r="925" spans="1:13" x14ac:dyDescent="0.25">
      <c r="A925" t="s">
        <v>2110</v>
      </c>
      <c r="B925" t="s">
        <v>47</v>
      </c>
      <c r="C925" t="s">
        <v>1055</v>
      </c>
      <c r="D925" t="s">
        <v>2111</v>
      </c>
      <c r="E925" t="s">
        <v>10</v>
      </c>
      <c r="F925" t="s">
        <v>11</v>
      </c>
      <c r="H925">
        <v>1</v>
      </c>
      <c r="I925">
        <f t="shared" si="70"/>
        <v>2</v>
      </c>
      <c r="J925" s="2">
        <f t="shared" si="71"/>
        <v>0.26800000000000002</v>
      </c>
      <c r="K925">
        <f t="shared" si="72"/>
        <v>7.4626865671641784</v>
      </c>
      <c r="L925" t="str">
        <f t="shared" si="73"/>
        <v>Funded</v>
      </c>
      <c r="M925">
        <f t="shared" si="74"/>
        <v>2.0099154790312257</v>
      </c>
    </row>
    <row r="926" spans="1:13" x14ac:dyDescent="0.25">
      <c r="A926" t="s">
        <v>2112</v>
      </c>
      <c r="B926" t="s">
        <v>47</v>
      </c>
      <c r="C926" t="s">
        <v>1537</v>
      </c>
      <c r="D926" t="s">
        <v>2113</v>
      </c>
      <c r="E926" t="s">
        <v>2114</v>
      </c>
      <c r="F926" t="s">
        <v>526</v>
      </c>
      <c r="H926">
        <v>1</v>
      </c>
      <c r="I926">
        <f t="shared" si="70"/>
        <v>2</v>
      </c>
      <c r="J926" s="2">
        <f t="shared" si="71"/>
        <v>0.19400000000000001</v>
      </c>
      <c r="K926">
        <f t="shared" si="72"/>
        <v>10.309278350515463</v>
      </c>
      <c r="L926" t="str">
        <f t="shared" si="73"/>
        <v>Funded</v>
      </c>
      <c r="M926">
        <f t="shared" si="74"/>
        <v>2.333044300478754</v>
      </c>
    </row>
    <row r="927" spans="1:13" x14ac:dyDescent="0.25">
      <c r="A927" t="s">
        <v>2115</v>
      </c>
      <c r="B927" t="s">
        <v>47</v>
      </c>
      <c r="C927" t="s">
        <v>1185</v>
      </c>
      <c r="D927" t="s">
        <v>2116</v>
      </c>
      <c r="E927" t="s">
        <v>44</v>
      </c>
      <c r="F927" t="s">
        <v>21</v>
      </c>
      <c r="H927">
        <v>1</v>
      </c>
      <c r="I927">
        <f t="shared" si="70"/>
        <v>2</v>
      </c>
      <c r="J927" s="2">
        <f t="shared" si="71"/>
        <v>0.23499999999999999</v>
      </c>
      <c r="K927">
        <f t="shared" si="72"/>
        <v>8.5106382978723403</v>
      </c>
      <c r="L927" t="str">
        <f t="shared" si="73"/>
        <v>Funded</v>
      </c>
      <c r="M927">
        <f t="shared" si="74"/>
        <v>2.1413169453979233</v>
      </c>
    </row>
    <row r="928" spans="1:13" x14ac:dyDescent="0.25">
      <c r="A928" t="s">
        <v>2117</v>
      </c>
      <c r="B928" t="s">
        <v>47</v>
      </c>
      <c r="C928" t="s">
        <v>2118</v>
      </c>
      <c r="D928" t="s">
        <v>469</v>
      </c>
      <c r="E928" t="s">
        <v>10</v>
      </c>
      <c r="F928" t="s">
        <v>11</v>
      </c>
      <c r="H928">
        <v>1</v>
      </c>
      <c r="I928">
        <f t="shared" si="70"/>
        <v>2</v>
      </c>
      <c r="J928" s="2">
        <f t="shared" si="71"/>
        <v>6.5000000000000002E-2</v>
      </c>
      <c r="K928">
        <f t="shared" si="72"/>
        <v>30.769230769230766</v>
      </c>
      <c r="L928" t="str">
        <f t="shared" si="73"/>
        <v>Funded</v>
      </c>
      <c r="M928">
        <f t="shared" si="74"/>
        <v>3.426515189646445</v>
      </c>
    </row>
    <row r="929" spans="1:13" x14ac:dyDescent="0.25">
      <c r="A929" t="s">
        <v>2119</v>
      </c>
      <c r="B929" t="s">
        <v>47</v>
      </c>
      <c r="C929" s="1">
        <v>0</v>
      </c>
      <c r="E929" t="s">
        <v>10</v>
      </c>
      <c r="F929" t="s">
        <v>11</v>
      </c>
      <c r="H929">
        <v>1</v>
      </c>
      <c r="I929">
        <f t="shared" si="70"/>
        <v>2</v>
      </c>
      <c r="J929" s="2">
        <f t="shared" si="71"/>
        <v>0</v>
      </c>
      <c r="K929" t="str">
        <f t="shared" si="72"/>
        <v/>
      </c>
      <c r="L929" t="str">
        <f t="shared" si="73"/>
        <v>Bootstrapped</v>
      </c>
      <c r="M929" t="str">
        <f t="shared" si="74"/>
        <v/>
      </c>
    </row>
    <row r="930" spans="1:13" x14ac:dyDescent="0.25">
      <c r="A930" t="s">
        <v>2120</v>
      </c>
      <c r="B930" t="s">
        <v>47</v>
      </c>
      <c r="C930" t="s">
        <v>1346</v>
      </c>
      <c r="D930" t="s">
        <v>1779</v>
      </c>
      <c r="E930" t="s">
        <v>10</v>
      </c>
      <c r="F930" t="s">
        <v>11</v>
      </c>
      <c r="H930">
        <v>1</v>
      </c>
      <c r="I930">
        <f t="shared" si="70"/>
        <v>2</v>
      </c>
      <c r="J930" s="2">
        <f t="shared" si="71"/>
        <v>0.30299999999999999</v>
      </c>
      <c r="K930">
        <f t="shared" si="72"/>
        <v>6.6006600660066006</v>
      </c>
      <c r="L930" t="str">
        <f t="shared" si="73"/>
        <v>Funded</v>
      </c>
      <c r="M930">
        <f t="shared" si="74"/>
        <v>1.8871696540327132</v>
      </c>
    </row>
    <row r="931" spans="1:13" x14ac:dyDescent="0.25">
      <c r="A931" t="s">
        <v>2121</v>
      </c>
      <c r="B931" t="s">
        <v>47</v>
      </c>
      <c r="C931" t="s">
        <v>250</v>
      </c>
      <c r="D931" t="s">
        <v>2122</v>
      </c>
      <c r="E931" t="s">
        <v>10</v>
      </c>
      <c r="F931" t="s">
        <v>11</v>
      </c>
      <c r="H931">
        <v>1</v>
      </c>
      <c r="I931">
        <f t="shared" si="70"/>
        <v>2</v>
      </c>
      <c r="J931" s="2">
        <f t="shared" si="71"/>
        <v>0.18</v>
      </c>
      <c r="K931">
        <f t="shared" si="72"/>
        <v>11.111111111111111</v>
      </c>
      <c r="L931" t="str">
        <f t="shared" si="73"/>
        <v>Funded</v>
      </c>
      <c r="M931">
        <f t="shared" si="74"/>
        <v>2.4079456086518718</v>
      </c>
    </row>
    <row r="932" spans="1:13" x14ac:dyDescent="0.25">
      <c r="A932" t="s">
        <v>2123</v>
      </c>
      <c r="B932" t="s">
        <v>47</v>
      </c>
      <c r="C932" t="s">
        <v>2062</v>
      </c>
      <c r="D932" t="s">
        <v>2104</v>
      </c>
      <c r="E932" t="s">
        <v>10</v>
      </c>
      <c r="F932" t="s">
        <v>11</v>
      </c>
      <c r="H932">
        <v>1</v>
      </c>
      <c r="I932">
        <f t="shared" si="70"/>
        <v>2</v>
      </c>
      <c r="J932" s="2">
        <f t="shared" si="71"/>
        <v>0.25700000000000001</v>
      </c>
      <c r="K932">
        <f t="shared" si="72"/>
        <v>7.782101167315175</v>
      </c>
      <c r="L932" t="str">
        <f t="shared" si="73"/>
        <v>Funded</v>
      </c>
      <c r="M932">
        <f t="shared" si="74"/>
        <v>2.0518263746468626</v>
      </c>
    </row>
    <row r="933" spans="1:13" x14ac:dyDescent="0.25">
      <c r="A933" t="s">
        <v>2124</v>
      </c>
      <c r="B933" t="s">
        <v>125</v>
      </c>
      <c r="C933" t="s">
        <v>925</v>
      </c>
      <c r="D933" t="s">
        <v>2125</v>
      </c>
      <c r="E933" t="s">
        <v>170</v>
      </c>
      <c r="F933" t="s">
        <v>50</v>
      </c>
      <c r="H933">
        <v>1</v>
      </c>
      <c r="I933">
        <f t="shared" si="70"/>
        <v>1</v>
      </c>
      <c r="J933" s="2">
        <f t="shared" si="71"/>
        <v>0.83</v>
      </c>
      <c r="K933">
        <f t="shared" si="72"/>
        <v>1.2048192771084338</v>
      </c>
      <c r="L933" t="str">
        <f t="shared" si="73"/>
        <v>Funded</v>
      </c>
      <c r="M933">
        <f t="shared" si="74"/>
        <v>0.18632957819149354</v>
      </c>
    </row>
    <row r="934" spans="1:13" x14ac:dyDescent="0.25">
      <c r="A934" t="s">
        <v>2126</v>
      </c>
      <c r="B934" t="s">
        <v>125</v>
      </c>
      <c r="C934" t="s">
        <v>1098</v>
      </c>
      <c r="D934" t="s">
        <v>2127</v>
      </c>
      <c r="E934" t="s">
        <v>365</v>
      </c>
      <c r="F934" t="s">
        <v>11</v>
      </c>
      <c r="H934">
        <v>1</v>
      </c>
      <c r="I934">
        <f t="shared" si="70"/>
        <v>1</v>
      </c>
      <c r="J934" s="2">
        <f t="shared" si="71"/>
        <v>0.38900000000000001</v>
      </c>
      <c r="K934">
        <f t="shared" si="72"/>
        <v>2.5706940874035991</v>
      </c>
      <c r="L934" t="str">
        <f t="shared" si="73"/>
        <v>Funded</v>
      </c>
      <c r="M934">
        <f t="shared" si="74"/>
        <v>0.94417593536369082</v>
      </c>
    </row>
    <row r="935" spans="1:13" x14ac:dyDescent="0.25">
      <c r="A935" t="s">
        <v>2128</v>
      </c>
      <c r="B935" t="s">
        <v>125</v>
      </c>
      <c r="C935" t="s">
        <v>2129</v>
      </c>
      <c r="D935" t="s">
        <v>2130</v>
      </c>
      <c r="E935" t="s">
        <v>20</v>
      </c>
      <c r="F935" t="s">
        <v>21</v>
      </c>
      <c r="H935">
        <v>1</v>
      </c>
      <c r="I935">
        <f t="shared" si="70"/>
        <v>1</v>
      </c>
      <c r="J935" s="2">
        <f t="shared" si="71"/>
        <v>0.106</v>
      </c>
      <c r="K935">
        <f t="shared" si="72"/>
        <v>9.433962264150944</v>
      </c>
      <c r="L935" t="str">
        <f t="shared" si="73"/>
        <v>Funded</v>
      </c>
      <c r="M935">
        <f t="shared" si="74"/>
        <v>2.2443161848700699</v>
      </c>
    </row>
    <row r="936" spans="1:13" x14ac:dyDescent="0.25">
      <c r="A936" t="s">
        <v>2131</v>
      </c>
      <c r="B936" t="s">
        <v>125</v>
      </c>
      <c r="C936" t="s">
        <v>662</v>
      </c>
      <c r="D936" t="s">
        <v>29</v>
      </c>
      <c r="E936" t="s">
        <v>20</v>
      </c>
      <c r="F936" t="s">
        <v>21</v>
      </c>
      <c r="H936">
        <v>1</v>
      </c>
      <c r="I936">
        <f t="shared" si="70"/>
        <v>1</v>
      </c>
      <c r="J936" s="2">
        <f t="shared" si="71"/>
        <v>0.28599999999999998</v>
      </c>
      <c r="K936">
        <f t="shared" si="72"/>
        <v>3.4965034965034967</v>
      </c>
      <c r="L936" t="str">
        <f t="shared" si="73"/>
        <v>Funded</v>
      </c>
      <c r="M936">
        <f t="shared" si="74"/>
        <v>1.2517634681622845</v>
      </c>
    </row>
    <row r="937" spans="1:13" x14ac:dyDescent="0.25">
      <c r="A937" t="s">
        <v>2132</v>
      </c>
      <c r="B937" t="s">
        <v>125</v>
      </c>
      <c r="C937" t="s">
        <v>2133</v>
      </c>
      <c r="D937" t="s">
        <v>2134</v>
      </c>
      <c r="E937" t="s">
        <v>20</v>
      </c>
      <c r="F937" t="s">
        <v>21</v>
      </c>
      <c r="H937">
        <v>1</v>
      </c>
      <c r="I937">
        <f t="shared" si="70"/>
        <v>1</v>
      </c>
      <c r="J937" s="2">
        <f t="shared" si="71"/>
        <v>0.65500000000000003</v>
      </c>
      <c r="K937">
        <f t="shared" si="72"/>
        <v>1.5267175572519083</v>
      </c>
      <c r="L937" t="str">
        <f t="shared" si="73"/>
        <v>Funded</v>
      </c>
      <c r="M937">
        <f t="shared" si="74"/>
        <v>0.42312004334688508</v>
      </c>
    </row>
    <row r="938" spans="1:13" x14ac:dyDescent="0.25">
      <c r="A938" t="s">
        <v>2135</v>
      </c>
      <c r="B938" t="s">
        <v>125</v>
      </c>
      <c r="C938" t="s">
        <v>544</v>
      </c>
      <c r="D938" t="s">
        <v>2136</v>
      </c>
      <c r="E938" t="s">
        <v>20</v>
      </c>
      <c r="F938" t="s">
        <v>21</v>
      </c>
      <c r="H938">
        <v>1</v>
      </c>
      <c r="I938">
        <f t="shared" si="70"/>
        <v>1</v>
      </c>
      <c r="J938" s="2">
        <f t="shared" si="71"/>
        <v>0.19900000000000001</v>
      </c>
      <c r="K938">
        <f t="shared" si="72"/>
        <v>5.0251256281407031</v>
      </c>
      <c r="L938" t="str">
        <f t="shared" si="73"/>
        <v>Funded</v>
      </c>
      <c r="M938">
        <f t="shared" si="74"/>
        <v>1.6144504542576446</v>
      </c>
    </row>
    <row r="939" spans="1:13" x14ac:dyDescent="0.25">
      <c r="A939" t="s">
        <v>2137</v>
      </c>
      <c r="B939" t="s">
        <v>125</v>
      </c>
      <c r="C939" t="s">
        <v>2017</v>
      </c>
      <c r="E939" t="s">
        <v>20</v>
      </c>
      <c r="F939" t="s">
        <v>21</v>
      </c>
      <c r="H939">
        <v>1</v>
      </c>
      <c r="I939">
        <f t="shared" si="70"/>
        <v>1</v>
      </c>
      <c r="J939" s="2">
        <f t="shared" si="71"/>
        <v>0.17699999999999999</v>
      </c>
      <c r="K939">
        <f t="shared" si="72"/>
        <v>5.6497175141242941</v>
      </c>
      <c r="L939" t="str">
        <f t="shared" si="73"/>
        <v>Funded</v>
      </c>
      <c r="M939">
        <f t="shared" si="74"/>
        <v>1.731605546408308</v>
      </c>
    </row>
    <row r="940" spans="1:13" x14ac:dyDescent="0.25">
      <c r="A940" t="s">
        <v>2138</v>
      </c>
      <c r="B940" t="s">
        <v>125</v>
      </c>
      <c r="C940" t="s">
        <v>2139</v>
      </c>
      <c r="D940" t="s">
        <v>2140</v>
      </c>
      <c r="E940" t="s">
        <v>20</v>
      </c>
      <c r="F940" t="s">
        <v>21</v>
      </c>
      <c r="H940">
        <v>1</v>
      </c>
      <c r="I940">
        <f t="shared" si="70"/>
        <v>1</v>
      </c>
      <c r="J940" s="2">
        <f t="shared" si="71"/>
        <v>0.629</v>
      </c>
      <c r="K940">
        <f t="shared" si="72"/>
        <v>1.589825119236884</v>
      </c>
      <c r="L940" t="str">
        <f t="shared" si="73"/>
        <v>Funded</v>
      </c>
      <c r="M940">
        <f t="shared" si="74"/>
        <v>0.46362402228169652</v>
      </c>
    </row>
    <row r="941" spans="1:13" x14ac:dyDescent="0.25">
      <c r="A941" t="s">
        <v>2141</v>
      </c>
      <c r="B941" t="s">
        <v>125</v>
      </c>
      <c r="C941" t="s">
        <v>628</v>
      </c>
      <c r="D941" t="s">
        <v>531</v>
      </c>
      <c r="E941" t="s">
        <v>10</v>
      </c>
      <c r="F941" t="s">
        <v>11</v>
      </c>
      <c r="H941">
        <v>1</v>
      </c>
      <c r="I941">
        <f t="shared" si="70"/>
        <v>1</v>
      </c>
      <c r="J941" s="2">
        <f t="shared" si="71"/>
        <v>0.17</v>
      </c>
      <c r="K941">
        <f t="shared" si="72"/>
        <v>5.8823529411764701</v>
      </c>
      <c r="L941" t="str">
        <f t="shared" si="73"/>
        <v>Funded</v>
      </c>
      <c r="M941">
        <f t="shared" si="74"/>
        <v>1.7719568419318752</v>
      </c>
    </row>
    <row r="942" spans="1:13" x14ac:dyDescent="0.25">
      <c r="A942" t="s">
        <v>2142</v>
      </c>
      <c r="B942" t="s">
        <v>125</v>
      </c>
      <c r="C942" t="s">
        <v>2143</v>
      </c>
      <c r="D942" t="s">
        <v>2144</v>
      </c>
      <c r="E942" t="s">
        <v>1195</v>
      </c>
      <c r="F942" t="s">
        <v>50</v>
      </c>
      <c r="H942">
        <v>1</v>
      </c>
      <c r="I942">
        <f t="shared" si="70"/>
        <v>1</v>
      </c>
      <c r="J942" s="2">
        <f t="shared" si="71"/>
        <v>0.99299999999999999</v>
      </c>
      <c r="K942">
        <f t="shared" si="72"/>
        <v>1.0070493454179255</v>
      </c>
      <c r="L942" t="str">
        <f t="shared" si="73"/>
        <v>Funded</v>
      </c>
      <c r="M942">
        <f t="shared" si="74"/>
        <v>7.0246149369644385E-3</v>
      </c>
    </row>
    <row r="943" spans="1:13" x14ac:dyDescent="0.25">
      <c r="A943" t="s">
        <v>2145</v>
      </c>
      <c r="B943" t="s">
        <v>125</v>
      </c>
      <c r="C943" t="s">
        <v>1076</v>
      </c>
      <c r="D943" t="s">
        <v>2146</v>
      </c>
      <c r="E943" t="s">
        <v>20</v>
      </c>
      <c r="F943" t="s">
        <v>21</v>
      </c>
      <c r="H943">
        <v>1</v>
      </c>
      <c r="I943">
        <f t="shared" si="70"/>
        <v>1</v>
      </c>
      <c r="J943" s="2">
        <f t="shared" si="71"/>
        <v>0.33</v>
      </c>
      <c r="K943">
        <f t="shared" si="72"/>
        <v>3.0303030303030303</v>
      </c>
      <c r="L943" t="str">
        <f t="shared" si="73"/>
        <v>Funded</v>
      </c>
      <c r="M943">
        <f t="shared" si="74"/>
        <v>1.1086626245216111</v>
      </c>
    </row>
    <row r="944" spans="1:13" x14ac:dyDescent="0.25">
      <c r="A944" t="s">
        <v>2147</v>
      </c>
      <c r="B944" t="s">
        <v>125</v>
      </c>
      <c r="C944" t="s">
        <v>896</v>
      </c>
      <c r="E944" t="s">
        <v>20</v>
      </c>
      <c r="F944" t="s">
        <v>21</v>
      </c>
      <c r="H944">
        <v>1</v>
      </c>
      <c r="I944">
        <f t="shared" si="70"/>
        <v>1</v>
      </c>
      <c r="J944" s="2">
        <f t="shared" si="71"/>
        <v>0.46800000000000003</v>
      </c>
      <c r="K944">
        <f t="shared" si="72"/>
        <v>2.1367521367521367</v>
      </c>
      <c r="L944" t="str">
        <f t="shared" si="73"/>
        <v>Funded</v>
      </c>
      <c r="M944">
        <f t="shared" si="74"/>
        <v>0.75928698306449027</v>
      </c>
    </row>
    <row r="945" spans="1:13" x14ac:dyDescent="0.25">
      <c r="A945" t="s">
        <v>2148</v>
      </c>
      <c r="B945" t="s">
        <v>125</v>
      </c>
      <c r="C945" t="s">
        <v>1058</v>
      </c>
      <c r="D945" t="s">
        <v>2149</v>
      </c>
      <c r="E945" t="s">
        <v>20</v>
      </c>
      <c r="F945" t="s">
        <v>21</v>
      </c>
      <c r="H945">
        <v>1</v>
      </c>
      <c r="I945">
        <f t="shared" si="70"/>
        <v>1</v>
      </c>
      <c r="J945" s="2">
        <f t="shared" si="71"/>
        <v>0.35099999999999998</v>
      </c>
      <c r="K945">
        <f t="shared" si="72"/>
        <v>2.8490028490028494</v>
      </c>
      <c r="L945" t="str">
        <f t="shared" si="73"/>
        <v>Funded</v>
      </c>
      <c r="M945">
        <f t="shared" si="74"/>
        <v>1.0469690555162714</v>
      </c>
    </row>
    <row r="946" spans="1:13" x14ac:dyDescent="0.25">
      <c r="A946" t="s">
        <v>2150</v>
      </c>
      <c r="B946" t="s">
        <v>125</v>
      </c>
      <c r="C946" t="s">
        <v>1339</v>
      </c>
      <c r="D946" t="s">
        <v>2151</v>
      </c>
      <c r="H946">
        <v>1</v>
      </c>
      <c r="I946">
        <f t="shared" si="70"/>
        <v>1</v>
      </c>
      <c r="J946" s="2">
        <f t="shared" si="71"/>
        <v>0.45900000000000002</v>
      </c>
      <c r="K946">
        <f t="shared" si="72"/>
        <v>2.1786492374727668</v>
      </c>
      <c r="L946" t="str">
        <f t="shared" si="73"/>
        <v>Funded</v>
      </c>
      <c r="M946">
        <f t="shared" si="74"/>
        <v>0.77870506892159186</v>
      </c>
    </row>
    <row r="947" spans="1:13" x14ac:dyDescent="0.25">
      <c r="A947" t="s">
        <v>2152</v>
      </c>
      <c r="B947" t="s">
        <v>125</v>
      </c>
      <c r="C947" t="s">
        <v>2153</v>
      </c>
      <c r="D947" t="s">
        <v>496</v>
      </c>
      <c r="E947" t="s">
        <v>187</v>
      </c>
      <c r="F947" t="s">
        <v>50</v>
      </c>
      <c r="H947">
        <v>1</v>
      </c>
      <c r="I947">
        <f t="shared" si="70"/>
        <v>1</v>
      </c>
      <c r="J947" s="2">
        <f t="shared" si="71"/>
        <v>0.36399999999999999</v>
      </c>
      <c r="K947">
        <f t="shared" si="72"/>
        <v>2.7472527472527473</v>
      </c>
      <c r="L947" t="str">
        <f t="shared" si="73"/>
        <v>Funded</v>
      </c>
      <c r="M947">
        <f t="shared" si="74"/>
        <v>1.0106014113453965</v>
      </c>
    </row>
    <row r="948" spans="1:13" x14ac:dyDescent="0.25">
      <c r="A948" t="s">
        <v>2154</v>
      </c>
      <c r="B948" t="s">
        <v>125</v>
      </c>
      <c r="C948" t="s">
        <v>2155</v>
      </c>
      <c r="D948" t="s">
        <v>2156</v>
      </c>
      <c r="E948" t="s">
        <v>20</v>
      </c>
      <c r="F948" t="s">
        <v>21</v>
      </c>
      <c r="H948">
        <v>1</v>
      </c>
      <c r="I948">
        <f t="shared" si="70"/>
        <v>1</v>
      </c>
      <c r="J948" s="2">
        <f t="shared" si="71"/>
        <v>0.16500000000000001</v>
      </c>
      <c r="K948">
        <f t="shared" si="72"/>
        <v>6.0606060606060606</v>
      </c>
      <c r="L948" t="str">
        <f t="shared" si="73"/>
        <v>Funded</v>
      </c>
      <c r="M948">
        <f t="shared" si="74"/>
        <v>1.8018098050815565</v>
      </c>
    </row>
    <row r="949" spans="1:13" x14ac:dyDescent="0.25">
      <c r="A949" t="s">
        <v>2157</v>
      </c>
      <c r="B949" t="s">
        <v>125</v>
      </c>
      <c r="C949" t="s">
        <v>2158</v>
      </c>
      <c r="D949" t="s">
        <v>2159</v>
      </c>
      <c r="E949" t="s">
        <v>20</v>
      </c>
      <c r="F949" t="s">
        <v>21</v>
      </c>
      <c r="H949">
        <v>1</v>
      </c>
      <c r="I949">
        <f t="shared" si="70"/>
        <v>1</v>
      </c>
      <c r="J949" s="2">
        <f t="shared" si="71"/>
        <v>0.41099999999999998</v>
      </c>
      <c r="K949">
        <f t="shared" si="72"/>
        <v>2.4330900243309004</v>
      </c>
      <c r="L949" t="str">
        <f t="shared" si="73"/>
        <v>Funded</v>
      </c>
      <c r="M949">
        <f t="shared" si="74"/>
        <v>0.88916206448590251</v>
      </c>
    </row>
    <row r="950" spans="1:13" x14ac:dyDescent="0.25">
      <c r="A950" t="s">
        <v>2160</v>
      </c>
      <c r="B950" t="s">
        <v>125</v>
      </c>
      <c r="C950" t="s">
        <v>345</v>
      </c>
      <c r="D950" t="s">
        <v>2161</v>
      </c>
      <c r="E950" t="s">
        <v>20</v>
      </c>
      <c r="F950" t="s">
        <v>21</v>
      </c>
      <c r="H950">
        <v>1</v>
      </c>
      <c r="I950">
        <f t="shared" si="70"/>
        <v>1</v>
      </c>
      <c r="J950" s="2">
        <f t="shared" si="71"/>
        <v>0.47399999999999998</v>
      </c>
      <c r="K950">
        <f t="shared" si="72"/>
        <v>2.109704641350211</v>
      </c>
      <c r="L950" t="str">
        <f t="shared" si="73"/>
        <v>Funded</v>
      </c>
      <c r="M950">
        <f t="shared" si="74"/>
        <v>0.74654795728706058</v>
      </c>
    </row>
    <row r="951" spans="1:13" x14ac:dyDescent="0.25">
      <c r="A951" t="s">
        <v>2162</v>
      </c>
      <c r="B951" t="s">
        <v>125</v>
      </c>
      <c r="C951" t="s">
        <v>2163</v>
      </c>
      <c r="D951" t="s">
        <v>2164</v>
      </c>
      <c r="E951" t="s">
        <v>10</v>
      </c>
      <c r="F951" t="s">
        <v>11</v>
      </c>
      <c r="H951">
        <v>1</v>
      </c>
      <c r="I951">
        <f t="shared" si="70"/>
        <v>1</v>
      </c>
      <c r="J951" s="2">
        <f t="shared" si="71"/>
        <v>0.249</v>
      </c>
      <c r="K951">
        <f t="shared" si="72"/>
        <v>4.0160642570281126</v>
      </c>
      <c r="L951" t="str">
        <f t="shared" si="73"/>
        <v>Funded</v>
      </c>
      <c r="M951">
        <f t="shared" si="74"/>
        <v>1.3903023825174294</v>
      </c>
    </row>
    <row r="952" spans="1:13" x14ac:dyDescent="0.25">
      <c r="A952" t="s">
        <v>2165</v>
      </c>
      <c r="B952" t="s">
        <v>125</v>
      </c>
      <c r="C952" t="s">
        <v>1721</v>
      </c>
      <c r="D952" t="s">
        <v>254</v>
      </c>
      <c r="E952" t="s">
        <v>10</v>
      </c>
      <c r="F952" t="s">
        <v>11</v>
      </c>
      <c r="H952">
        <v>1</v>
      </c>
      <c r="I952">
        <f t="shared" si="70"/>
        <v>1</v>
      </c>
      <c r="J952" s="2">
        <f t="shared" si="71"/>
        <v>0.32300000000000001</v>
      </c>
      <c r="K952">
        <f t="shared" si="72"/>
        <v>3.0959752321981422</v>
      </c>
      <c r="L952" t="str">
        <f t="shared" si="73"/>
        <v>Funded</v>
      </c>
      <c r="M952">
        <f t="shared" si="74"/>
        <v>1.1301029557594804</v>
      </c>
    </row>
    <row r="953" spans="1:13" x14ac:dyDescent="0.25">
      <c r="A953" t="s">
        <v>2166</v>
      </c>
      <c r="B953" t="s">
        <v>125</v>
      </c>
      <c r="C953" t="s">
        <v>1139</v>
      </c>
      <c r="D953" t="s">
        <v>1642</v>
      </c>
      <c r="E953" t="s">
        <v>10</v>
      </c>
      <c r="F953" t="s">
        <v>11</v>
      </c>
      <c r="H953">
        <v>1</v>
      </c>
      <c r="I953">
        <f t="shared" si="70"/>
        <v>1</v>
      </c>
      <c r="J953" s="2">
        <f t="shared" si="71"/>
        <v>0.29499999999999998</v>
      </c>
      <c r="K953">
        <f t="shared" si="72"/>
        <v>3.3898305084745766</v>
      </c>
      <c r="L953" t="str">
        <f t="shared" si="73"/>
        <v>Funded</v>
      </c>
      <c r="M953">
        <f t="shared" si="74"/>
        <v>1.2207799226423173</v>
      </c>
    </row>
    <row r="954" spans="1:13" x14ac:dyDescent="0.25">
      <c r="A954" t="s">
        <v>2167</v>
      </c>
      <c r="B954" t="s">
        <v>125</v>
      </c>
      <c r="C954" t="s">
        <v>1603</v>
      </c>
      <c r="D954" t="s">
        <v>2168</v>
      </c>
      <c r="E954" t="s">
        <v>20</v>
      </c>
      <c r="F954" t="s">
        <v>21</v>
      </c>
      <c r="H954">
        <v>1</v>
      </c>
      <c r="I954">
        <f t="shared" si="70"/>
        <v>1</v>
      </c>
      <c r="J954" s="2">
        <f t="shared" si="71"/>
        <v>0.218</v>
      </c>
      <c r="K954">
        <f t="shared" si="72"/>
        <v>4.5871559633027523</v>
      </c>
      <c r="L954" t="str">
        <f t="shared" si="73"/>
        <v>Funded</v>
      </c>
      <c r="M954">
        <f t="shared" si="74"/>
        <v>1.523260216193048</v>
      </c>
    </row>
    <row r="955" spans="1:13" x14ac:dyDescent="0.25">
      <c r="A955" t="s">
        <v>2169</v>
      </c>
      <c r="B955" t="s">
        <v>125</v>
      </c>
      <c r="C955" t="s">
        <v>81</v>
      </c>
      <c r="D955" t="s">
        <v>2170</v>
      </c>
      <c r="E955" t="s">
        <v>20</v>
      </c>
      <c r="F955" t="s">
        <v>21</v>
      </c>
      <c r="H955">
        <v>1</v>
      </c>
      <c r="I955">
        <f t="shared" si="70"/>
        <v>1</v>
      </c>
      <c r="J955" s="2">
        <f t="shared" si="71"/>
        <v>3</v>
      </c>
      <c r="K955">
        <f t="shared" si="72"/>
        <v>0.33333333333333331</v>
      </c>
      <c r="L955" t="str">
        <f t="shared" si="73"/>
        <v>Funded</v>
      </c>
      <c r="M955">
        <f t="shared" si="74"/>
        <v>-1.0986122886681098</v>
      </c>
    </row>
    <row r="956" spans="1:13" x14ac:dyDescent="0.25">
      <c r="A956" t="s">
        <v>2171</v>
      </c>
      <c r="B956" t="s">
        <v>125</v>
      </c>
      <c r="C956" t="s">
        <v>2172</v>
      </c>
      <c r="D956" t="s">
        <v>2173</v>
      </c>
      <c r="E956" t="s">
        <v>20</v>
      </c>
      <c r="F956" t="s">
        <v>21</v>
      </c>
      <c r="H956">
        <v>1</v>
      </c>
      <c r="I956">
        <f t="shared" si="70"/>
        <v>1</v>
      </c>
      <c r="J956" s="2">
        <f t="shared" si="71"/>
        <v>0.17299999999999999</v>
      </c>
      <c r="K956">
        <f t="shared" si="72"/>
        <v>5.7803468208092488</v>
      </c>
      <c r="L956" t="str">
        <f t="shared" si="73"/>
        <v>Funded</v>
      </c>
      <c r="M956">
        <f t="shared" si="74"/>
        <v>1.7544636844843582</v>
      </c>
    </row>
    <row r="957" spans="1:13" x14ac:dyDescent="0.25">
      <c r="A957" t="s">
        <v>2174</v>
      </c>
      <c r="B957" t="s">
        <v>125</v>
      </c>
      <c r="C957" t="s">
        <v>2175</v>
      </c>
      <c r="D957" t="s">
        <v>2176</v>
      </c>
      <c r="E957" t="s">
        <v>20</v>
      </c>
      <c r="F957" t="s">
        <v>21</v>
      </c>
      <c r="H957">
        <v>1</v>
      </c>
      <c r="I957">
        <f t="shared" si="70"/>
        <v>1</v>
      </c>
      <c r="J957" s="2">
        <f t="shared" si="71"/>
        <v>0.314</v>
      </c>
      <c r="K957">
        <f t="shared" si="72"/>
        <v>3.1847133757961785</v>
      </c>
      <c r="L957" t="str">
        <f t="shared" si="73"/>
        <v>Funded</v>
      </c>
      <c r="M957">
        <f t="shared" si="74"/>
        <v>1.1583622930738837</v>
      </c>
    </row>
    <row r="958" spans="1:13" x14ac:dyDescent="0.25">
      <c r="A958" t="s">
        <v>2177</v>
      </c>
      <c r="B958" t="s">
        <v>125</v>
      </c>
      <c r="C958" t="s">
        <v>873</v>
      </c>
      <c r="D958" t="s">
        <v>576</v>
      </c>
      <c r="E958" t="s">
        <v>20</v>
      </c>
      <c r="F958" t="s">
        <v>21</v>
      </c>
      <c r="H958">
        <v>1</v>
      </c>
      <c r="I958">
        <f t="shared" si="70"/>
        <v>1</v>
      </c>
      <c r="J958" s="2">
        <f t="shared" si="71"/>
        <v>0.14299999999999999</v>
      </c>
      <c r="K958">
        <f t="shared" si="72"/>
        <v>6.9930069930069934</v>
      </c>
      <c r="L958" t="str">
        <f t="shared" si="73"/>
        <v>Funded</v>
      </c>
      <c r="M958">
        <f t="shared" si="74"/>
        <v>1.9449106487222299</v>
      </c>
    </row>
    <row r="959" spans="1:13" x14ac:dyDescent="0.25">
      <c r="A959" t="s">
        <v>2178</v>
      </c>
      <c r="B959" t="s">
        <v>125</v>
      </c>
      <c r="C959" t="s">
        <v>2179</v>
      </c>
      <c r="D959" t="s">
        <v>2180</v>
      </c>
      <c r="E959" t="s">
        <v>10</v>
      </c>
      <c r="F959" t="s">
        <v>11</v>
      </c>
      <c r="H959">
        <v>1</v>
      </c>
      <c r="I959">
        <f t="shared" si="70"/>
        <v>1</v>
      </c>
      <c r="J959" s="2">
        <f t="shared" si="71"/>
        <v>0.28799999999999998</v>
      </c>
      <c r="K959">
        <f t="shared" si="72"/>
        <v>3.4722222222222223</v>
      </c>
      <c r="L959" t="str">
        <f t="shared" si="73"/>
        <v>Funded</v>
      </c>
      <c r="M959">
        <f t="shared" si="74"/>
        <v>1.2447947988461912</v>
      </c>
    </row>
    <row r="960" spans="1:13" x14ac:dyDescent="0.25">
      <c r="A960" t="s">
        <v>2181</v>
      </c>
      <c r="B960" t="s">
        <v>125</v>
      </c>
      <c r="C960" t="s">
        <v>1698</v>
      </c>
      <c r="E960" t="s">
        <v>62</v>
      </c>
      <c r="F960" t="s">
        <v>63</v>
      </c>
      <c r="H960">
        <v>1</v>
      </c>
      <c r="I960">
        <f t="shared" si="70"/>
        <v>1</v>
      </c>
      <c r="J960" s="2">
        <f t="shared" si="71"/>
        <v>0.83799999999999997</v>
      </c>
      <c r="K960">
        <f t="shared" si="72"/>
        <v>1.1933174224343677</v>
      </c>
      <c r="L960" t="str">
        <f t="shared" si="73"/>
        <v>Funded</v>
      </c>
      <c r="M960">
        <f t="shared" si="74"/>
        <v>0.17673717850005413</v>
      </c>
    </row>
    <row r="961" spans="1:13" x14ac:dyDescent="0.25">
      <c r="A961" t="s">
        <v>2182</v>
      </c>
      <c r="B961" t="s">
        <v>125</v>
      </c>
      <c r="C961" t="s">
        <v>2183</v>
      </c>
      <c r="D961" t="s">
        <v>2184</v>
      </c>
      <c r="E961" t="s">
        <v>187</v>
      </c>
      <c r="F961" t="s">
        <v>50</v>
      </c>
      <c r="H961">
        <v>1</v>
      </c>
      <c r="I961">
        <f t="shared" si="70"/>
        <v>1</v>
      </c>
      <c r="J961" s="2">
        <f t="shared" si="71"/>
        <v>0.57499999999999996</v>
      </c>
      <c r="K961">
        <f t="shared" si="72"/>
        <v>1.7391304347826089</v>
      </c>
      <c r="L961" t="str">
        <f t="shared" si="73"/>
        <v>Funded</v>
      </c>
      <c r="M961">
        <f t="shared" si="74"/>
        <v>0.55338523818478669</v>
      </c>
    </row>
    <row r="962" spans="1:13" x14ac:dyDescent="0.25">
      <c r="A962" t="s">
        <v>2185</v>
      </c>
      <c r="B962" t="s">
        <v>125</v>
      </c>
      <c r="C962" t="s">
        <v>2097</v>
      </c>
      <c r="D962" t="s">
        <v>2186</v>
      </c>
      <c r="E962" t="s">
        <v>20</v>
      </c>
      <c r="F962" t="s">
        <v>21</v>
      </c>
      <c r="H962">
        <v>1</v>
      </c>
      <c r="I962">
        <f t="shared" si="70"/>
        <v>1</v>
      </c>
      <c r="J962" s="2">
        <f t="shared" si="71"/>
        <v>0.14199999999999999</v>
      </c>
      <c r="K962">
        <f t="shared" si="72"/>
        <v>7.042253521126761</v>
      </c>
      <c r="L962" t="str">
        <f t="shared" si="73"/>
        <v>Funded</v>
      </c>
      <c r="M962">
        <f t="shared" si="74"/>
        <v>1.9519282213808764</v>
      </c>
    </row>
    <row r="963" spans="1:13" x14ac:dyDescent="0.25">
      <c r="A963" t="s">
        <v>2187</v>
      </c>
      <c r="B963" t="s">
        <v>125</v>
      </c>
      <c r="C963" t="s">
        <v>1453</v>
      </c>
      <c r="D963" t="s">
        <v>2188</v>
      </c>
      <c r="E963" t="s">
        <v>20</v>
      </c>
      <c r="F963" t="s">
        <v>21</v>
      </c>
      <c r="H963">
        <v>1</v>
      </c>
      <c r="I963">
        <f t="shared" ref="I963:I1026" si="75">IF(B963="","",
VALUE(SUBSTITUTE(SUBSTITUTE(B963,"$",""),"B","")))</f>
        <v>1</v>
      </c>
      <c r="J963" s="2">
        <f t="shared" ref="J963:J1026" si="76">IF(C963="","",
IF(C963="$0",0,
IF(RIGHT(C963,1)="B",
VALUE(SUBSTITUTE(SUBSTITUTE(C963,"$",""),"B","")),
IF(RIGHT(C963,1)="M",
VALUE(SUBSTITUTE(SUBSTITUTE(C963,"$",""),"M",""))/1000,
IF(RIGHT(C963,1)="K",
VALUE(SUBSTITUTE(SUBSTITUTE(C963,"$",""),"K",""))/1000000,
VALUE(SUBSTITUTE(C963,"$",""))
)))))</f>
        <v>0.50700000000000001</v>
      </c>
      <c r="K963">
        <f t="shared" ref="K963:K1026" si="77">IF(J963&gt;0,I963/J963,"")</f>
        <v>1.9723865877712032</v>
      </c>
      <c r="L963" t="str">
        <f t="shared" ref="L963:L1026" si="78">IF(J963=0,"Bootstrapped","Funded")</f>
        <v>Funded</v>
      </c>
      <c r="M963">
        <f t="shared" ref="M963:M1026" si="79">IF(AND(I963&gt;0,J963&gt;0),LN(I963/J963),"")</f>
        <v>0.67924427539095389</v>
      </c>
    </row>
    <row r="964" spans="1:13" x14ac:dyDescent="0.25">
      <c r="A964" t="s">
        <v>2189</v>
      </c>
      <c r="B964" t="s">
        <v>125</v>
      </c>
      <c r="C964" t="s">
        <v>2190</v>
      </c>
      <c r="H964">
        <v>1</v>
      </c>
      <c r="I964">
        <f t="shared" si="75"/>
        <v>1</v>
      </c>
      <c r="J964" s="2">
        <f t="shared" si="76"/>
        <v>0.28100000000000003</v>
      </c>
      <c r="K964">
        <f t="shared" si="77"/>
        <v>3.5587188612099641</v>
      </c>
      <c r="L964" t="str">
        <f t="shared" si="78"/>
        <v>Funded</v>
      </c>
      <c r="M964">
        <f t="shared" si="79"/>
        <v>1.2694006096483912</v>
      </c>
    </row>
    <row r="965" spans="1:13" x14ac:dyDescent="0.25">
      <c r="A965" t="s">
        <v>2191</v>
      </c>
      <c r="B965" t="s">
        <v>125</v>
      </c>
      <c r="C965" t="s">
        <v>1898</v>
      </c>
      <c r="D965" t="s">
        <v>130</v>
      </c>
      <c r="E965" t="s">
        <v>365</v>
      </c>
      <c r="F965" t="s">
        <v>11</v>
      </c>
      <c r="H965">
        <v>1</v>
      </c>
      <c r="I965">
        <f t="shared" si="75"/>
        <v>1</v>
      </c>
      <c r="J965" s="2">
        <f t="shared" si="76"/>
        <v>0.27600000000000002</v>
      </c>
      <c r="K965">
        <f t="shared" si="77"/>
        <v>3.6231884057971011</v>
      </c>
      <c r="L965" t="str">
        <f t="shared" si="78"/>
        <v>Funded</v>
      </c>
      <c r="M965">
        <f t="shared" si="79"/>
        <v>1.287354413264987</v>
      </c>
    </row>
    <row r="966" spans="1:13" x14ac:dyDescent="0.25">
      <c r="A966" t="s">
        <v>2192</v>
      </c>
      <c r="B966" t="s">
        <v>125</v>
      </c>
      <c r="C966" t="s">
        <v>1363</v>
      </c>
      <c r="D966" t="s">
        <v>722</v>
      </c>
      <c r="E966" t="s">
        <v>49</v>
      </c>
      <c r="F966" t="s">
        <v>50</v>
      </c>
      <c r="H966">
        <v>1</v>
      </c>
      <c r="I966">
        <f t="shared" si="75"/>
        <v>1</v>
      </c>
      <c r="J966" s="2">
        <f t="shared" si="76"/>
        <v>0.29299999999999998</v>
      </c>
      <c r="K966">
        <f t="shared" si="77"/>
        <v>3.4129692832764507</v>
      </c>
      <c r="L966" t="str">
        <f t="shared" si="78"/>
        <v>Funded</v>
      </c>
      <c r="M966">
        <f t="shared" si="79"/>
        <v>1.2275826699650698</v>
      </c>
    </row>
    <row r="967" spans="1:13" x14ac:dyDescent="0.25">
      <c r="A967" t="s">
        <v>2193</v>
      </c>
      <c r="B967" t="s">
        <v>125</v>
      </c>
      <c r="C967" t="s">
        <v>1199</v>
      </c>
      <c r="D967" t="s">
        <v>1983</v>
      </c>
      <c r="E967" t="s">
        <v>10</v>
      </c>
      <c r="F967" t="s">
        <v>11</v>
      </c>
      <c r="H967">
        <v>1</v>
      </c>
      <c r="I967">
        <f t="shared" si="75"/>
        <v>1</v>
      </c>
      <c r="J967" s="2">
        <f t="shared" si="76"/>
        <v>0.114</v>
      </c>
      <c r="K967">
        <f t="shared" si="77"/>
        <v>8.7719298245614024</v>
      </c>
      <c r="L967" t="str">
        <f t="shared" si="78"/>
        <v>Funded</v>
      </c>
      <c r="M967">
        <f t="shared" si="79"/>
        <v>2.1715568305876416</v>
      </c>
    </row>
    <row r="968" spans="1:13" x14ac:dyDescent="0.25">
      <c r="A968" t="s">
        <v>2194</v>
      </c>
      <c r="B968" t="s">
        <v>125</v>
      </c>
      <c r="C968" t="s">
        <v>348</v>
      </c>
      <c r="D968" t="s">
        <v>2120</v>
      </c>
      <c r="H968">
        <v>1</v>
      </c>
      <c r="I968">
        <f t="shared" si="75"/>
        <v>1</v>
      </c>
      <c r="J968" s="2">
        <f t="shared" si="76"/>
        <v>0.26100000000000001</v>
      </c>
      <c r="K968">
        <f t="shared" si="77"/>
        <v>3.8314176245210727</v>
      </c>
      <c r="L968" t="str">
        <f t="shared" si="78"/>
        <v>Funded</v>
      </c>
      <c r="M968">
        <f t="shared" si="79"/>
        <v>1.3432348716594436</v>
      </c>
    </row>
    <row r="969" spans="1:13" x14ac:dyDescent="0.25">
      <c r="A969" t="s">
        <v>2195</v>
      </c>
      <c r="B969" t="s">
        <v>125</v>
      </c>
      <c r="C969" t="s">
        <v>1908</v>
      </c>
      <c r="D969" t="s">
        <v>2196</v>
      </c>
      <c r="E969" t="s">
        <v>350</v>
      </c>
      <c r="F969" t="s">
        <v>21</v>
      </c>
      <c r="H969">
        <v>1</v>
      </c>
      <c r="I969">
        <f t="shared" si="75"/>
        <v>1</v>
      </c>
      <c r="J969" s="2">
        <f t="shared" si="76"/>
        <v>0.627</v>
      </c>
      <c r="K969">
        <f t="shared" si="77"/>
        <v>1.594896331738437</v>
      </c>
      <c r="L969" t="str">
        <f t="shared" si="78"/>
        <v>Funded</v>
      </c>
      <c r="M969">
        <f t="shared" si="79"/>
        <v>0.46680873834921638</v>
      </c>
    </row>
    <row r="970" spans="1:13" x14ac:dyDescent="0.25">
      <c r="A970" t="s">
        <v>2197</v>
      </c>
      <c r="B970" t="s">
        <v>125</v>
      </c>
      <c r="C970" t="s">
        <v>613</v>
      </c>
      <c r="D970" t="s">
        <v>2198</v>
      </c>
      <c r="E970" t="s">
        <v>1172</v>
      </c>
      <c r="F970" t="s">
        <v>21</v>
      </c>
      <c r="H970">
        <v>1</v>
      </c>
      <c r="I970">
        <f t="shared" si="75"/>
        <v>1</v>
      </c>
      <c r="J970" s="2">
        <f t="shared" si="76"/>
        <v>0.31</v>
      </c>
      <c r="K970">
        <f t="shared" si="77"/>
        <v>3.2258064516129035</v>
      </c>
      <c r="L970" t="str">
        <f t="shared" si="78"/>
        <v>Funded</v>
      </c>
      <c r="M970">
        <f t="shared" si="79"/>
        <v>1.1711829815029453</v>
      </c>
    </row>
    <row r="971" spans="1:13" x14ac:dyDescent="0.25">
      <c r="A971" t="s">
        <v>2199</v>
      </c>
      <c r="B971" t="s">
        <v>125</v>
      </c>
      <c r="C971" t="s">
        <v>1323</v>
      </c>
      <c r="D971" t="s">
        <v>2200</v>
      </c>
      <c r="E971" t="s">
        <v>294</v>
      </c>
      <c r="F971" t="s">
        <v>21</v>
      </c>
      <c r="H971">
        <v>1</v>
      </c>
      <c r="I971">
        <f t="shared" si="75"/>
        <v>1</v>
      </c>
      <c r="J971" s="2">
        <f t="shared" si="76"/>
        <v>0.45800000000000002</v>
      </c>
      <c r="K971">
        <f t="shared" si="77"/>
        <v>2.1834061135371177</v>
      </c>
      <c r="L971" t="str">
        <f t="shared" si="78"/>
        <v>Funded</v>
      </c>
      <c r="M971">
        <f t="shared" si="79"/>
        <v>0.78088609486795202</v>
      </c>
    </row>
    <row r="972" spans="1:13" x14ac:dyDescent="0.25">
      <c r="A972" t="s">
        <v>2201</v>
      </c>
      <c r="B972" t="s">
        <v>125</v>
      </c>
      <c r="C972" t="s">
        <v>1650</v>
      </c>
      <c r="D972" t="s">
        <v>1068</v>
      </c>
      <c r="E972" t="s">
        <v>10</v>
      </c>
      <c r="F972" t="s">
        <v>11</v>
      </c>
      <c r="H972">
        <v>1</v>
      </c>
      <c r="I972">
        <f t="shared" si="75"/>
        <v>1</v>
      </c>
      <c r="J972" s="2">
        <f t="shared" si="76"/>
        <v>0.161</v>
      </c>
      <c r="K972">
        <f t="shared" si="77"/>
        <v>6.2111801242236027</v>
      </c>
      <c r="L972" t="str">
        <f t="shared" si="78"/>
        <v>Funded</v>
      </c>
      <c r="M972">
        <f t="shared" si="79"/>
        <v>1.8263509139976741</v>
      </c>
    </row>
    <row r="973" spans="1:13" x14ac:dyDescent="0.25">
      <c r="A973" t="s">
        <v>2202</v>
      </c>
      <c r="B973" t="s">
        <v>125</v>
      </c>
      <c r="C973" t="s">
        <v>2203</v>
      </c>
      <c r="D973" t="s">
        <v>2204</v>
      </c>
      <c r="E973" t="s">
        <v>10</v>
      </c>
      <c r="F973" t="s">
        <v>11</v>
      </c>
      <c r="H973">
        <v>1</v>
      </c>
      <c r="I973">
        <f t="shared" si="75"/>
        <v>1</v>
      </c>
      <c r="J973" s="2">
        <f t="shared" si="76"/>
        <v>0.182</v>
      </c>
      <c r="K973">
        <f t="shared" si="77"/>
        <v>5.4945054945054945</v>
      </c>
      <c r="L973" t="str">
        <f t="shared" si="78"/>
        <v>Funded</v>
      </c>
      <c r="M973">
        <f t="shared" si="79"/>
        <v>1.7037485919053417</v>
      </c>
    </row>
    <row r="974" spans="1:13" x14ac:dyDescent="0.25">
      <c r="A974" t="s">
        <v>2205</v>
      </c>
      <c r="B974" t="s">
        <v>125</v>
      </c>
      <c r="C974" t="s">
        <v>2206</v>
      </c>
      <c r="E974" t="s">
        <v>20</v>
      </c>
      <c r="F974" t="s">
        <v>21</v>
      </c>
      <c r="H974">
        <v>1</v>
      </c>
      <c r="I974">
        <f t="shared" si="75"/>
        <v>1</v>
      </c>
      <c r="J974" s="2">
        <f t="shared" si="76"/>
        <v>0.36199999999999999</v>
      </c>
      <c r="K974">
        <f t="shared" si="77"/>
        <v>2.7624309392265194</v>
      </c>
      <c r="L974" t="str">
        <f t="shared" si="78"/>
        <v>Funded</v>
      </c>
      <c r="M974">
        <f t="shared" si="79"/>
        <v>1.016111067156366</v>
      </c>
    </row>
    <row r="975" spans="1:13" x14ac:dyDescent="0.25">
      <c r="A975" t="s">
        <v>2207</v>
      </c>
      <c r="B975" t="s">
        <v>125</v>
      </c>
      <c r="C975" t="s">
        <v>2208</v>
      </c>
      <c r="D975" t="s">
        <v>2209</v>
      </c>
      <c r="E975" t="s">
        <v>10</v>
      </c>
      <c r="F975" t="s">
        <v>11</v>
      </c>
      <c r="H975">
        <v>1</v>
      </c>
      <c r="I975">
        <f t="shared" si="75"/>
        <v>1</v>
      </c>
      <c r="J975" s="2">
        <f t="shared" si="76"/>
        <v>0.54400000000000004</v>
      </c>
      <c r="K975">
        <f t="shared" si="77"/>
        <v>1.838235294117647</v>
      </c>
      <c r="L975" t="str">
        <f t="shared" si="78"/>
        <v>Funded</v>
      </c>
      <c r="M975">
        <f t="shared" si="79"/>
        <v>0.60880603212619433</v>
      </c>
    </row>
    <row r="976" spans="1:13" x14ac:dyDescent="0.25">
      <c r="A976" t="s">
        <v>2210</v>
      </c>
      <c r="B976" t="s">
        <v>125</v>
      </c>
      <c r="C976" t="s">
        <v>1677</v>
      </c>
      <c r="D976" t="s">
        <v>254</v>
      </c>
      <c r="E976" t="s">
        <v>10</v>
      </c>
      <c r="F976" t="s">
        <v>11</v>
      </c>
      <c r="H976">
        <v>1</v>
      </c>
      <c r="I976">
        <f t="shared" si="75"/>
        <v>1</v>
      </c>
      <c r="J976" s="2">
        <f t="shared" si="76"/>
        <v>0.32800000000000001</v>
      </c>
      <c r="K976">
        <f t="shared" si="77"/>
        <v>3.0487804878048781</v>
      </c>
      <c r="L976" t="str">
        <f t="shared" si="78"/>
        <v>Funded</v>
      </c>
      <c r="M976">
        <f t="shared" si="79"/>
        <v>1.1147416705979933</v>
      </c>
    </row>
    <row r="977" spans="1:13" x14ac:dyDescent="0.25">
      <c r="A977" t="s">
        <v>2211</v>
      </c>
      <c r="B977" t="s">
        <v>125</v>
      </c>
      <c r="C977" t="s">
        <v>2212</v>
      </c>
      <c r="D977" t="s">
        <v>120</v>
      </c>
      <c r="E977" t="s">
        <v>44</v>
      </c>
      <c r="F977" t="s">
        <v>21</v>
      </c>
      <c r="H977">
        <v>1</v>
      </c>
      <c r="I977">
        <f t="shared" si="75"/>
        <v>1</v>
      </c>
      <c r="J977" s="2">
        <f t="shared" si="76"/>
        <v>0.749</v>
      </c>
      <c r="K977">
        <f t="shared" si="77"/>
        <v>1.3351134846461949</v>
      </c>
      <c r="L977" t="str">
        <f t="shared" si="78"/>
        <v>Funded</v>
      </c>
      <c r="M977">
        <f t="shared" si="79"/>
        <v>0.28901629546491758</v>
      </c>
    </row>
    <row r="978" spans="1:13" x14ac:dyDescent="0.25">
      <c r="A978" t="s">
        <v>2213</v>
      </c>
      <c r="B978" t="s">
        <v>125</v>
      </c>
      <c r="C978" t="s">
        <v>2214</v>
      </c>
      <c r="D978" t="s">
        <v>1175</v>
      </c>
      <c r="E978" t="s">
        <v>10</v>
      </c>
      <c r="F978" t="s">
        <v>11</v>
      </c>
      <c r="H978">
        <v>1</v>
      </c>
      <c r="I978">
        <f t="shared" si="75"/>
        <v>1</v>
      </c>
      <c r="J978" s="2">
        <f t="shared" si="76"/>
        <v>0.16400000000000001</v>
      </c>
      <c r="K978">
        <f t="shared" si="77"/>
        <v>6.0975609756097562</v>
      </c>
      <c r="L978" t="str">
        <f t="shared" si="78"/>
        <v>Funded</v>
      </c>
      <c r="M978">
        <f t="shared" si="79"/>
        <v>1.8078888511579387</v>
      </c>
    </row>
    <row r="979" spans="1:13" x14ac:dyDescent="0.25">
      <c r="A979" t="s">
        <v>2215</v>
      </c>
      <c r="B979" t="s">
        <v>125</v>
      </c>
      <c r="C979" t="s">
        <v>1446</v>
      </c>
      <c r="D979" t="s">
        <v>335</v>
      </c>
      <c r="E979" t="s">
        <v>10</v>
      </c>
      <c r="F979" t="s">
        <v>11</v>
      </c>
      <c r="H979">
        <v>1</v>
      </c>
      <c r="I979">
        <f t="shared" si="75"/>
        <v>1</v>
      </c>
      <c r="J979" s="2">
        <f t="shared" si="76"/>
        <v>0.436</v>
      </c>
      <c r="K979">
        <f t="shared" si="77"/>
        <v>2.2935779816513762</v>
      </c>
      <c r="L979" t="str">
        <f t="shared" si="78"/>
        <v>Funded</v>
      </c>
      <c r="M979">
        <f t="shared" si="79"/>
        <v>0.83011303563310279</v>
      </c>
    </row>
    <row r="980" spans="1:13" x14ac:dyDescent="0.25">
      <c r="A980" t="s">
        <v>2216</v>
      </c>
      <c r="B980" t="s">
        <v>125</v>
      </c>
      <c r="C980" t="s">
        <v>978</v>
      </c>
      <c r="D980" t="s">
        <v>148</v>
      </c>
      <c r="E980" t="s">
        <v>10</v>
      </c>
      <c r="F980" t="s">
        <v>11</v>
      </c>
      <c r="H980">
        <v>1</v>
      </c>
      <c r="I980">
        <f t="shared" si="75"/>
        <v>1</v>
      </c>
      <c r="J980" s="2">
        <f t="shared" si="76"/>
        <v>0.14099999999999999</v>
      </c>
      <c r="K980">
        <f t="shared" si="77"/>
        <v>7.0921985815602842</v>
      </c>
      <c r="L980" t="str">
        <f t="shared" si="78"/>
        <v>Funded</v>
      </c>
      <c r="M980">
        <f t="shared" si="79"/>
        <v>1.9589953886039688</v>
      </c>
    </row>
    <row r="981" spans="1:13" x14ac:dyDescent="0.25">
      <c r="A981" t="s">
        <v>2217</v>
      </c>
      <c r="B981" t="s">
        <v>125</v>
      </c>
      <c r="C981" t="s">
        <v>2218</v>
      </c>
      <c r="D981" t="s">
        <v>739</v>
      </c>
      <c r="E981" t="s">
        <v>10</v>
      </c>
      <c r="F981" t="s">
        <v>11</v>
      </c>
      <c r="H981">
        <v>1</v>
      </c>
      <c r="I981">
        <f t="shared" si="75"/>
        <v>1</v>
      </c>
      <c r="J981" s="2">
        <f t="shared" si="76"/>
        <v>0.53200000000000003</v>
      </c>
      <c r="K981">
        <f t="shared" si="77"/>
        <v>1.8796992481203008</v>
      </c>
      <c r="L981" t="str">
        <f t="shared" si="78"/>
        <v>Funded</v>
      </c>
      <c r="M981">
        <f t="shared" si="79"/>
        <v>0.63111178964049264</v>
      </c>
    </row>
    <row r="982" spans="1:13" x14ac:dyDescent="0.25">
      <c r="A982" t="s">
        <v>2219</v>
      </c>
      <c r="B982" t="s">
        <v>125</v>
      </c>
      <c r="C982" t="s">
        <v>2220</v>
      </c>
      <c r="D982" t="s">
        <v>2221</v>
      </c>
      <c r="E982" t="s">
        <v>10</v>
      </c>
      <c r="F982" t="s">
        <v>11</v>
      </c>
      <c r="H982">
        <v>1</v>
      </c>
      <c r="I982">
        <f t="shared" si="75"/>
        <v>1</v>
      </c>
      <c r="J982" s="2">
        <f t="shared" si="76"/>
        <v>0.27100000000000002</v>
      </c>
      <c r="K982">
        <f t="shared" si="77"/>
        <v>3.6900369003690034</v>
      </c>
      <c r="L982" t="str">
        <f t="shared" si="78"/>
        <v>Funded</v>
      </c>
      <c r="M982">
        <f t="shared" si="79"/>
        <v>1.305636458102436</v>
      </c>
    </row>
    <row r="983" spans="1:13" x14ac:dyDescent="0.25">
      <c r="A983" t="s">
        <v>2222</v>
      </c>
      <c r="B983" t="s">
        <v>125</v>
      </c>
      <c r="C983" t="s">
        <v>628</v>
      </c>
      <c r="D983" t="s">
        <v>1722</v>
      </c>
      <c r="E983" t="s">
        <v>10</v>
      </c>
      <c r="F983" t="s">
        <v>11</v>
      </c>
      <c r="H983">
        <v>1</v>
      </c>
      <c r="I983">
        <f t="shared" si="75"/>
        <v>1</v>
      </c>
      <c r="J983" s="2">
        <f t="shared" si="76"/>
        <v>0.17</v>
      </c>
      <c r="K983">
        <f t="shared" si="77"/>
        <v>5.8823529411764701</v>
      </c>
      <c r="L983" t="str">
        <f t="shared" si="78"/>
        <v>Funded</v>
      </c>
      <c r="M983">
        <f t="shared" si="79"/>
        <v>1.7719568419318752</v>
      </c>
    </row>
    <row r="984" spans="1:13" x14ac:dyDescent="0.25">
      <c r="A984" t="s">
        <v>2223</v>
      </c>
      <c r="B984" t="s">
        <v>125</v>
      </c>
      <c r="C984" t="s">
        <v>1822</v>
      </c>
      <c r="D984" t="s">
        <v>2224</v>
      </c>
      <c r="E984" t="s">
        <v>329</v>
      </c>
      <c r="F984" t="s">
        <v>50</v>
      </c>
      <c r="H984">
        <v>1</v>
      </c>
      <c r="I984">
        <f t="shared" si="75"/>
        <v>1</v>
      </c>
      <c r="J984" s="2">
        <f t="shared" si="76"/>
        <v>0.23699999999999999</v>
      </c>
      <c r="K984">
        <f t="shared" si="77"/>
        <v>4.2194092827004219</v>
      </c>
      <c r="L984" t="str">
        <f t="shared" si="78"/>
        <v>Funded</v>
      </c>
      <c r="M984">
        <f t="shared" si="79"/>
        <v>1.4396951378470058</v>
      </c>
    </row>
    <row r="985" spans="1:13" x14ac:dyDescent="0.25">
      <c r="A985" t="s">
        <v>2225</v>
      </c>
      <c r="B985" t="s">
        <v>125</v>
      </c>
      <c r="C985" t="s">
        <v>2226</v>
      </c>
      <c r="D985" t="s">
        <v>2227</v>
      </c>
      <c r="E985" t="s">
        <v>10</v>
      </c>
      <c r="F985" t="s">
        <v>11</v>
      </c>
      <c r="H985">
        <v>1</v>
      </c>
      <c r="I985">
        <f t="shared" si="75"/>
        <v>1</v>
      </c>
      <c r="J985" s="2">
        <f t="shared" si="76"/>
        <v>0.70299999999999996</v>
      </c>
      <c r="K985">
        <f t="shared" si="77"/>
        <v>1.4224751066856332</v>
      </c>
      <c r="L985" t="str">
        <f t="shared" si="78"/>
        <v>Funded</v>
      </c>
      <c r="M985">
        <f t="shared" si="79"/>
        <v>0.35239838717147226</v>
      </c>
    </row>
    <row r="986" spans="1:13" x14ac:dyDescent="0.25">
      <c r="A986" t="s">
        <v>2228</v>
      </c>
      <c r="B986" t="s">
        <v>125</v>
      </c>
      <c r="C986" t="s">
        <v>2012</v>
      </c>
      <c r="D986" t="s">
        <v>389</v>
      </c>
      <c r="E986" t="s">
        <v>10</v>
      </c>
      <c r="F986" t="s">
        <v>11</v>
      </c>
      <c r="H986">
        <v>1</v>
      </c>
      <c r="I986">
        <f t="shared" si="75"/>
        <v>1</v>
      </c>
      <c r="J986" s="2">
        <f t="shared" si="76"/>
        <v>0.18099999999999999</v>
      </c>
      <c r="K986">
        <f t="shared" si="77"/>
        <v>5.5248618784530388</v>
      </c>
      <c r="L986" t="str">
        <f t="shared" si="78"/>
        <v>Funded</v>
      </c>
      <c r="M986">
        <f t="shared" si="79"/>
        <v>1.7092582477163114</v>
      </c>
    </row>
    <row r="987" spans="1:13" x14ac:dyDescent="0.25">
      <c r="A987" t="s">
        <v>2229</v>
      </c>
      <c r="B987" t="s">
        <v>125</v>
      </c>
      <c r="C987" t="s">
        <v>1029</v>
      </c>
      <c r="D987" t="s">
        <v>2230</v>
      </c>
      <c r="E987" t="s">
        <v>1195</v>
      </c>
      <c r="F987" t="s">
        <v>50</v>
      </c>
      <c r="H987">
        <v>1</v>
      </c>
      <c r="I987">
        <f t="shared" si="75"/>
        <v>1</v>
      </c>
      <c r="J987" s="2">
        <f t="shared" si="76"/>
        <v>0.47199999999999998</v>
      </c>
      <c r="K987">
        <f t="shared" si="77"/>
        <v>2.1186440677966103</v>
      </c>
      <c r="L987" t="str">
        <f t="shared" si="78"/>
        <v>Funded</v>
      </c>
      <c r="M987">
        <f t="shared" si="79"/>
        <v>0.7507762933965817</v>
      </c>
    </row>
    <row r="988" spans="1:13" x14ac:dyDescent="0.25">
      <c r="A988" t="s">
        <v>2231</v>
      </c>
      <c r="B988" t="s">
        <v>125</v>
      </c>
      <c r="C988" t="s">
        <v>1314</v>
      </c>
      <c r="D988" t="s">
        <v>2232</v>
      </c>
      <c r="E988" t="s">
        <v>49</v>
      </c>
      <c r="F988" t="s">
        <v>50</v>
      </c>
      <c r="H988">
        <v>1</v>
      </c>
      <c r="I988">
        <f t="shared" si="75"/>
        <v>1</v>
      </c>
      <c r="J988" s="2">
        <f t="shared" si="76"/>
        <v>0.252</v>
      </c>
      <c r="K988">
        <f t="shared" si="77"/>
        <v>3.9682539682539684</v>
      </c>
      <c r="L988" t="str">
        <f t="shared" si="78"/>
        <v>Funded</v>
      </c>
      <c r="M988">
        <f t="shared" si="79"/>
        <v>1.3783261914707137</v>
      </c>
    </row>
    <row r="989" spans="1:13" x14ac:dyDescent="0.25">
      <c r="A989" t="s">
        <v>2233</v>
      </c>
      <c r="B989" t="s">
        <v>125</v>
      </c>
      <c r="C989" t="s">
        <v>2012</v>
      </c>
      <c r="D989" t="s">
        <v>225</v>
      </c>
      <c r="E989" t="s">
        <v>44</v>
      </c>
      <c r="F989" t="s">
        <v>21</v>
      </c>
      <c r="H989">
        <v>1</v>
      </c>
      <c r="I989">
        <f t="shared" si="75"/>
        <v>1</v>
      </c>
      <c r="J989" s="2">
        <f t="shared" si="76"/>
        <v>0.18099999999999999</v>
      </c>
      <c r="K989">
        <f t="shared" si="77"/>
        <v>5.5248618784530388</v>
      </c>
      <c r="L989" t="str">
        <f t="shared" si="78"/>
        <v>Funded</v>
      </c>
      <c r="M989">
        <f t="shared" si="79"/>
        <v>1.7092582477163114</v>
      </c>
    </row>
    <row r="990" spans="1:13" x14ac:dyDescent="0.25">
      <c r="A990" t="s">
        <v>2234</v>
      </c>
      <c r="B990" t="s">
        <v>125</v>
      </c>
      <c r="C990" t="s">
        <v>2235</v>
      </c>
      <c r="D990" t="s">
        <v>2236</v>
      </c>
      <c r="E990" t="s">
        <v>210</v>
      </c>
      <c r="F990" t="s">
        <v>50</v>
      </c>
      <c r="H990">
        <v>1</v>
      </c>
      <c r="I990">
        <f t="shared" si="75"/>
        <v>1</v>
      </c>
      <c r="J990" s="2">
        <f t="shared" si="76"/>
        <v>0.50900000000000001</v>
      </c>
      <c r="K990">
        <f t="shared" si="77"/>
        <v>1.9646365422396856</v>
      </c>
      <c r="L990" t="str">
        <f t="shared" si="78"/>
        <v>Funded</v>
      </c>
      <c r="M990">
        <f t="shared" si="79"/>
        <v>0.67530726243161432</v>
      </c>
    </row>
    <row r="991" spans="1:13" x14ac:dyDescent="0.25">
      <c r="A991" t="s">
        <v>2237</v>
      </c>
      <c r="B991" t="s">
        <v>125</v>
      </c>
      <c r="C991" t="s">
        <v>2238</v>
      </c>
      <c r="D991" t="s">
        <v>254</v>
      </c>
      <c r="E991" t="s">
        <v>10</v>
      </c>
      <c r="F991" t="s">
        <v>11</v>
      </c>
      <c r="H991">
        <v>1</v>
      </c>
      <c r="I991">
        <f t="shared" si="75"/>
        <v>1</v>
      </c>
      <c r="J991" s="2">
        <f t="shared" si="76"/>
        <v>0.24099999999999999</v>
      </c>
      <c r="K991">
        <f t="shared" si="77"/>
        <v>4.1493775933609962</v>
      </c>
      <c r="L991" t="str">
        <f t="shared" si="78"/>
        <v>Funded</v>
      </c>
      <c r="M991">
        <f t="shared" si="79"/>
        <v>1.422958345491482</v>
      </c>
    </row>
    <row r="992" spans="1:13" x14ac:dyDescent="0.25">
      <c r="A992" t="s">
        <v>2239</v>
      </c>
      <c r="B992" t="s">
        <v>125</v>
      </c>
      <c r="C992" t="s">
        <v>2240</v>
      </c>
      <c r="D992" t="s">
        <v>251</v>
      </c>
      <c r="E992" t="s">
        <v>604</v>
      </c>
      <c r="F992" t="s">
        <v>21</v>
      </c>
      <c r="H992">
        <v>1</v>
      </c>
      <c r="I992">
        <f t="shared" si="75"/>
        <v>1</v>
      </c>
      <c r="J992" s="2">
        <f t="shared" si="76"/>
        <v>0.502</v>
      </c>
      <c r="K992">
        <f t="shared" si="77"/>
        <v>1.9920318725099602</v>
      </c>
      <c r="L992" t="str">
        <f t="shared" si="78"/>
        <v>Funded</v>
      </c>
      <c r="M992">
        <f t="shared" si="79"/>
        <v>0.68915515929040783</v>
      </c>
    </row>
    <row r="993" spans="1:13" x14ac:dyDescent="0.25">
      <c r="A993" t="s">
        <v>2241</v>
      </c>
      <c r="B993" t="s">
        <v>125</v>
      </c>
      <c r="C993" t="s">
        <v>1638</v>
      </c>
      <c r="D993" t="s">
        <v>2242</v>
      </c>
      <c r="E993" t="s">
        <v>10</v>
      </c>
      <c r="F993" t="s">
        <v>11</v>
      </c>
      <c r="H993">
        <v>1</v>
      </c>
      <c r="I993">
        <f t="shared" si="75"/>
        <v>1</v>
      </c>
      <c r="J993" s="2">
        <f t="shared" si="76"/>
        <v>0.39</v>
      </c>
      <c r="K993">
        <f t="shared" si="77"/>
        <v>2.5641025641025639</v>
      </c>
      <c r="L993" t="str">
        <f t="shared" si="78"/>
        <v>Funded</v>
      </c>
      <c r="M993">
        <f t="shared" si="79"/>
        <v>0.94160853985844484</v>
      </c>
    </row>
    <row r="994" spans="1:13" x14ac:dyDescent="0.25">
      <c r="A994" t="s">
        <v>2243</v>
      </c>
      <c r="B994" t="s">
        <v>125</v>
      </c>
      <c r="C994" t="s">
        <v>1242</v>
      </c>
      <c r="D994" t="s">
        <v>2244</v>
      </c>
      <c r="E994" t="s">
        <v>350</v>
      </c>
      <c r="F994" t="s">
        <v>21</v>
      </c>
      <c r="H994">
        <v>1</v>
      </c>
      <c r="I994">
        <f t="shared" si="75"/>
        <v>1</v>
      </c>
      <c r="J994" s="2">
        <f t="shared" si="76"/>
        <v>0.26400000000000001</v>
      </c>
      <c r="K994">
        <f t="shared" si="77"/>
        <v>3.7878787878787876</v>
      </c>
      <c r="L994" t="str">
        <f t="shared" si="78"/>
        <v>Funded</v>
      </c>
      <c r="M994">
        <f t="shared" si="79"/>
        <v>1.3318061758358208</v>
      </c>
    </row>
    <row r="995" spans="1:13" x14ac:dyDescent="0.25">
      <c r="A995" t="s">
        <v>2245</v>
      </c>
      <c r="B995" t="s">
        <v>125</v>
      </c>
      <c r="C995" t="s">
        <v>2246</v>
      </c>
      <c r="D995" t="s">
        <v>2247</v>
      </c>
      <c r="E995" t="s">
        <v>10</v>
      </c>
      <c r="F995" t="s">
        <v>11</v>
      </c>
      <c r="H995">
        <v>1</v>
      </c>
      <c r="I995">
        <f t="shared" si="75"/>
        <v>1</v>
      </c>
      <c r="J995" s="2">
        <f t="shared" si="76"/>
        <v>0.51100000000000001</v>
      </c>
      <c r="K995">
        <f t="shared" si="77"/>
        <v>1.9569471624266144</v>
      </c>
      <c r="L995" t="str">
        <f t="shared" si="78"/>
        <v>Funded</v>
      </c>
      <c r="M995">
        <f t="shared" si="79"/>
        <v>0.67138568877843252</v>
      </c>
    </row>
    <row r="996" spans="1:13" x14ac:dyDescent="0.25">
      <c r="A996" t="s">
        <v>2248</v>
      </c>
      <c r="B996" t="s">
        <v>125</v>
      </c>
      <c r="C996" t="s">
        <v>1743</v>
      </c>
      <c r="D996" t="s">
        <v>2249</v>
      </c>
      <c r="E996" t="s">
        <v>10</v>
      </c>
      <c r="F996" t="s">
        <v>11</v>
      </c>
      <c r="H996">
        <v>1</v>
      </c>
      <c r="I996">
        <f t="shared" si="75"/>
        <v>1</v>
      </c>
      <c r="J996" s="2">
        <f t="shared" si="76"/>
        <v>0.253</v>
      </c>
      <c r="K996">
        <f t="shared" si="77"/>
        <v>3.9525691699604741</v>
      </c>
      <c r="L996" t="str">
        <f t="shared" si="78"/>
        <v>Funded</v>
      </c>
      <c r="M996">
        <f t="shared" si="79"/>
        <v>1.3743657902546167</v>
      </c>
    </row>
    <row r="997" spans="1:13" x14ac:dyDescent="0.25">
      <c r="A997" t="s">
        <v>2250</v>
      </c>
      <c r="B997" t="s">
        <v>125</v>
      </c>
      <c r="C997" t="s">
        <v>2251</v>
      </c>
      <c r="D997" t="s">
        <v>2252</v>
      </c>
      <c r="E997" t="s">
        <v>10</v>
      </c>
      <c r="F997" t="s">
        <v>11</v>
      </c>
      <c r="H997">
        <v>1</v>
      </c>
      <c r="I997">
        <f t="shared" si="75"/>
        <v>1</v>
      </c>
      <c r="J997" s="2">
        <f t="shared" si="76"/>
        <v>0.28899999999999998</v>
      </c>
      <c r="K997">
        <f t="shared" si="77"/>
        <v>3.4602076124567476</v>
      </c>
      <c r="L997" t="str">
        <f t="shared" si="78"/>
        <v>Funded</v>
      </c>
      <c r="M997">
        <f t="shared" si="79"/>
        <v>1.2413285908697049</v>
      </c>
    </row>
    <row r="998" spans="1:13" x14ac:dyDescent="0.25">
      <c r="A998" t="s">
        <v>2253</v>
      </c>
      <c r="B998" t="s">
        <v>125</v>
      </c>
      <c r="C998" t="s">
        <v>607</v>
      </c>
      <c r="D998" t="s">
        <v>302</v>
      </c>
      <c r="E998" t="s">
        <v>44</v>
      </c>
      <c r="F998" t="s">
        <v>21</v>
      </c>
      <c r="H998">
        <v>1</v>
      </c>
      <c r="I998">
        <f t="shared" si="75"/>
        <v>1</v>
      </c>
      <c r="J998" s="2">
        <f t="shared" si="76"/>
        <v>0.65</v>
      </c>
      <c r="K998">
        <f t="shared" si="77"/>
        <v>1.5384615384615383</v>
      </c>
      <c r="L998" t="str">
        <f t="shared" si="78"/>
        <v>Funded</v>
      </c>
      <c r="M998">
        <f t="shared" si="79"/>
        <v>0.43078291609245417</v>
      </c>
    </row>
    <row r="999" spans="1:13" x14ac:dyDescent="0.25">
      <c r="A999" t="s">
        <v>2254</v>
      </c>
      <c r="B999" t="s">
        <v>125</v>
      </c>
      <c r="C999" t="s">
        <v>174</v>
      </c>
      <c r="D999" t="s">
        <v>1813</v>
      </c>
      <c r="E999" t="s">
        <v>10</v>
      </c>
      <c r="F999" t="s">
        <v>11</v>
      </c>
      <c r="H999">
        <v>1</v>
      </c>
      <c r="I999">
        <f t="shared" si="75"/>
        <v>1</v>
      </c>
      <c r="J999" s="2">
        <f t="shared" si="76"/>
        <v>0.255</v>
      </c>
      <c r="K999">
        <f t="shared" si="77"/>
        <v>3.9215686274509802</v>
      </c>
      <c r="L999" t="str">
        <f t="shared" si="78"/>
        <v>Funded</v>
      </c>
      <c r="M999">
        <f t="shared" si="79"/>
        <v>1.3664917338237108</v>
      </c>
    </row>
    <row r="1000" spans="1:13" x14ac:dyDescent="0.25">
      <c r="A1000" t="s">
        <v>2255</v>
      </c>
      <c r="B1000" t="s">
        <v>125</v>
      </c>
      <c r="C1000" t="s">
        <v>2256</v>
      </c>
      <c r="D1000" t="s">
        <v>2257</v>
      </c>
      <c r="E1000" t="s">
        <v>187</v>
      </c>
      <c r="F1000" t="s">
        <v>50</v>
      </c>
      <c r="H1000">
        <v>1</v>
      </c>
      <c r="I1000">
        <f t="shared" si="75"/>
        <v>1</v>
      </c>
      <c r="J1000" s="2">
        <f t="shared" si="76"/>
        <v>0.24199999999999999</v>
      </c>
      <c r="K1000">
        <f t="shared" si="77"/>
        <v>4.1322314049586781</v>
      </c>
      <c r="L1000" t="str">
        <f t="shared" si="78"/>
        <v>Funded</v>
      </c>
      <c r="M1000">
        <f t="shared" si="79"/>
        <v>1.4188175528254507</v>
      </c>
    </row>
    <row r="1001" spans="1:13" x14ac:dyDescent="0.25">
      <c r="A1001" t="s">
        <v>2258</v>
      </c>
      <c r="B1001" t="s">
        <v>125</v>
      </c>
      <c r="C1001" t="s">
        <v>1888</v>
      </c>
      <c r="D1001" t="s">
        <v>2259</v>
      </c>
      <c r="E1001" t="s">
        <v>1035</v>
      </c>
      <c r="F1001" t="s">
        <v>21</v>
      </c>
      <c r="H1001">
        <v>1</v>
      </c>
      <c r="I1001">
        <f t="shared" si="75"/>
        <v>1</v>
      </c>
      <c r="J1001" s="2">
        <f t="shared" si="76"/>
        <v>0.33800000000000002</v>
      </c>
      <c r="K1001">
        <f t="shared" si="77"/>
        <v>2.9585798816568047</v>
      </c>
      <c r="L1001" t="str">
        <f t="shared" si="78"/>
        <v>Funded</v>
      </c>
      <c r="M1001">
        <f t="shared" si="79"/>
        <v>1.0847093834991184</v>
      </c>
    </row>
    <row r="1002" spans="1:13" x14ac:dyDescent="0.25">
      <c r="A1002" t="s">
        <v>2260</v>
      </c>
      <c r="B1002" t="s">
        <v>125</v>
      </c>
      <c r="C1002" t="s">
        <v>662</v>
      </c>
      <c r="D1002" t="s">
        <v>2261</v>
      </c>
      <c r="E1002" t="s">
        <v>10</v>
      </c>
      <c r="F1002" t="s">
        <v>11</v>
      </c>
      <c r="H1002">
        <v>1</v>
      </c>
      <c r="I1002">
        <f t="shared" si="75"/>
        <v>1</v>
      </c>
      <c r="J1002" s="2">
        <f t="shared" si="76"/>
        <v>0.28599999999999998</v>
      </c>
      <c r="K1002">
        <f t="shared" si="77"/>
        <v>3.4965034965034967</v>
      </c>
      <c r="L1002" t="str">
        <f t="shared" si="78"/>
        <v>Funded</v>
      </c>
      <c r="M1002">
        <f t="shared" si="79"/>
        <v>1.2517634681622845</v>
      </c>
    </row>
    <row r="1003" spans="1:13" x14ac:dyDescent="0.25">
      <c r="A1003" t="s">
        <v>2262</v>
      </c>
      <c r="B1003" t="s">
        <v>125</v>
      </c>
      <c r="C1003" t="s">
        <v>2263</v>
      </c>
      <c r="D1003" t="s">
        <v>2264</v>
      </c>
      <c r="E1003" t="s">
        <v>20</v>
      </c>
      <c r="F1003" t="s">
        <v>21</v>
      </c>
      <c r="H1003">
        <v>1</v>
      </c>
      <c r="I1003">
        <f t="shared" si="75"/>
        <v>1</v>
      </c>
      <c r="J1003" s="2">
        <f t="shared" si="76"/>
        <v>0.98099999999999998</v>
      </c>
      <c r="K1003">
        <f t="shared" si="77"/>
        <v>1.019367991845056</v>
      </c>
      <c r="L1003" t="str">
        <f t="shared" si="78"/>
        <v>Funded</v>
      </c>
      <c r="M1003">
        <f t="shared" si="79"/>
        <v>1.9182819416773904E-2</v>
      </c>
    </row>
    <row r="1004" spans="1:13" x14ac:dyDescent="0.25">
      <c r="A1004" t="s">
        <v>2265</v>
      </c>
      <c r="B1004" t="s">
        <v>125</v>
      </c>
      <c r="C1004" t="s">
        <v>1281</v>
      </c>
      <c r="D1004" t="s">
        <v>2266</v>
      </c>
      <c r="E1004" t="s">
        <v>44</v>
      </c>
      <c r="F1004" t="s">
        <v>21</v>
      </c>
      <c r="H1004">
        <v>1</v>
      </c>
      <c r="I1004">
        <f t="shared" si="75"/>
        <v>1</v>
      </c>
      <c r="J1004" s="2">
        <f t="shared" si="76"/>
        <v>0.254</v>
      </c>
      <c r="K1004">
        <f t="shared" si="77"/>
        <v>3.9370078740157481</v>
      </c>
      <c r="L1004" t="str">
        <f t="shared" si="78"/>
        <v>Funded</v>
      </c>
      <c r="M1004">
        <f t="shared" si="79"/>
        <v>1.3704210119636004</v>
      </c>
    </row>
    <row r="1005" spans="1:13" x14ac:dyDescent="0.25">
      <c r="A1005" t="s">
        <v>2267</v>
      </c>
      <c r="B1005" t="s">
        <v>125</v>
      </c>
      <c r="C1005" t="s">
        <v>2268</v>
      </c>
      <c r="D1005" t="s">
        <v>2269</v>
      </c>
      <c r="E1005" t="s">
        <v>20</v>
      </c>
      <c r="F1005" t="s">
        <v>21</v>
      </c>
      <c r="H1005">
        <v>1</v>
      </c>
      <c r="I1005">
        <f t="shared" si="75"/>
        <v>1</v>
      </c>
      <c r="J1005" s="2">
        <f t="shared" si="76"/>
        <v>0.13900000000000001</v>
      </c>
      <c r="K1005">
        <f t="shared" si="77"/>
        <v>7.1942446043165464</v>
      </c>
      <c r="L1005" t="str">
        <f t="shared" si="78"/>
        <v>Funded</v>
      </c>
      <c r="M1005">
        <f t="shared" si="79"/>
        <v>1.9732813458514453</v>
      </c>
    </row>
    <row r="1006" spans="1:13" x14ac:dyDescent="0.25">
      <c r="A1006" t="s">
        <v>2270</v>
      </c>
      <c r="B1006" t="s">
        <v>125</v>
      </c>
      <c r="C1006" t="s">
        <v>864</v>
      </c>
      <c r="D1006" t="s">
        <v>2271</v>
      </c>
      <c r="E1006" t="s">
        <v>44</v>
      </c>
      <c r="F1006" t="s">
        <v>21</v>
      </c>
      <c r="H1006">
        <v>1</v>
      </c>
      <c r="I1006">
        <f t="shared" si="75"/>
        <v>1</v>
      </c>
      <c r="J1006" s="2">
        <f t="shared" si="76"/>
        <v>0.125</v>
      </c>
      <c r="K1006">
        <f t="shared" si="77"/>
        <v>8</v>
      </c>
      <c r="L1006" t="str">
        <f t="shared" si="78"/>
        <v>Funded</v>
      </c>
      <c r="M1006">
        <f t="shared" si="79"/>
        <v>2.0794415416798357</v>
      </c>
    </row>
    <row r="1007" spans="1:13" x14ac:dyDescent="0.25">
      <c r="A1007" t="s">
        <v>2272</v>
      </c>
      <c r="B1007" t="s">
        <v>125</v>
      </c>
      <c r="C1007" t="s">
        <v>2273</v>
      </c>
      <c r="D1007" t="s">
        <v>2274</v>
      </c>
      <c r="E1007" t="s">
        <v>49</v>
      </c>
      <c r="F1007" t="s">
        <v>50</v>
      </c>
      <c r="H1007">
        <v>1</v>
      </c>
      <c r="I1007">
        <f t="shared" si="75"/>
        <v>1</v>
      </c>
      <c r="J1007" s="2">
        <f t="shared" si="76"/>
        <v>0.58099999999999996</v>
      </c>
      <c r="K1007">
        <f t="shared" si="77"/>
        <v>1.7211703958691911</v>
      </c>
      <c r="L1007" t="str">
        <f t="shared" si="78"/>
        <v>Funded</v>
      </c>
      <c r="M1007">
        <f t="shared" si="79"/>
        <v>0.54300452213022588</v>
      </c>
    </row>
    <row r="1008" spans="1:13" x14ac:dyDescent="0.25">
      <c r="A1008" t="s">
        <v>2275</v>
      </c>
      <c r="B1008" t="s">
        <v>125</v>
      </c>
      <c r="C1008" t="s">
        <v>2276</v>
      </c>
      <c r="D1008" t="s">
        <v>2277</v>
      </c>
      <c r="E1008" t="s">
        <v>554</v>
      </c>
      <c r="F1008" t="s">
        <v>526</v>
      </c>
      <c r="H1008">
        <v>1</v>
      </c>
      <c r="I1008">
        <f t="shared" si="75"/>
        <v>1</v>
      </c>
      <c r="J1008" s="2">
        <f t="shared" si="76"/>
        <v>0.84599999999999997</v>
      </c>
      <c r="K1008">
        <f t="shared" si="77"/>
        <v>1.1820330969267139</v>
      </c>
      <c r="L1008" t="str">
        <f t="shared" si="78"/>
        <v>Funded</v>
      </c>
      <c r="M1008">
        <f t="shared" si="79"/>
        <v>0.1672359193759137</v>
      </c>
    </row>
    <row r="1009" spans="1:13" x14ac:dyDescent="0.25">
      <c r="A1009" t="s">
        <v>2278</v>
      </c>
      <c r="B1009" t="s">
        <v>125</v>
      </c>
      <c r="C1009" t="s">
        <v>1898</v>
      </c>
      <c r="D1009" t="s">
        <v>2279</v>
      </c>
      <c r="E1009" t="s">
        <v>20</v>
      </c>
      <c r="F1009" t="s">
        <v>21</v>
      </c>
      <c r="H1009">
        <v>1</v>
      </c>
      <c r="I1009">
        <f t="shared" si="75"/>
        <v>1</v>
      </c>
      <c r="J1009" s="2">
        <f t="shared" si="76"/>
        <v>0.27600000000000002</v>
      </c>
      <c r="K1009">
        <f t="shared" si="77"/>
        <v>3.6231884057971011</v>
      </c>
      <c r="L1009" t="str">
        <f t="shared" si="78"/>
        <v>Funded</v>
      </c>
      <c r="M1009">
        <f t="shared" si="79"/>
        <v>1.287354413264987</v>
      </c>
    </row>
    <row r="1010" spans="1:13" x14ac:dyDescent="0.25">
      <c r="A1010" t="s">
        <v>2280</v>
      </c>
      <c r="B1010" t="s">
        <v>125</v>
      </c>
      <c r="C1010" t="s">
        <v>1968</v>
      </c>
      <c r="H1010">
        <v>1</v>
      </c>
      <c r="I1010">
        <f t="shared" si="75"/>
        <v>1</v>
      </c>
      <c r="J1010" s="2">
        <f t="shared" si="76"/>
        <v>0.13800000000000001</v>
      </c>
      <c r="K1010">
        <f t="shared" si="77"/>
        <v>7.2463768115942022</v>
      </c>
      <c r="L1010" t="str">
        <f t="shared" si="78"/>
        <v>Funded</v>
      </c>
      <c r="M1010">
        <f t="shared" si="79"/>
        <v>1.9805015938249322</v>
      </c>
    </row>
    <row r="1011" spans="1:13" x14ac:dyDescent="0.25">
      <c r="A1011" t="s">
        <v>2281</v>
      </c>
      <c r="B1011" t="s">
        <v>125</v>
      </c>
      <c r="C1011" t="s">
        <v>2282</v>
      </c>
      <c r="D1011" t="s">
        <v>2283</v>
      </c>
      <c r="H1011">
        <v>1</v>
      </c>
      <c r="I1011">
        <f t="shared" si="75"/>
        <v>1</v>
      </c>
      <c r="J1011" s="2">
        <f t="shared" si="76"/>
        <v>8.5000000000000006E-2</v>
      </c>
      <c r="K1011">
        <f t="shared" si="77"/>
        <v>11.76470588235294</v>
      </c>
      <c r="L1011" t="str">
        <f t="shared" si="78"/>
        <v>Funded</v>
      </c>
      <c r="M1011">
        <f t="shared" si="79"/>
        <v>2.4651040224918206</v>
      </c>
    </row>
    <row r="1012" spans="1:13" x14ac:dyDescent="0.25">
      <c r="A1012" t="s">
        <v>2284</v>
      </c>
      <c r="B1012" t="s">
        <v>125</v>
      </c>
      <c r="C1012" t="s">
        <v>785</v>
      </c>
      <c r="D1012" t="s">
        <v>2285</v>
      </c>
      <c r="E1012" t="s">
        <v>10</v>
      </c>
      <c r="F1012" t="s">
        <v>11</v>
      </c>
      <c r="H1012">
        <v>1</v>
      </c>
      <c r="I1012">
        <f t="shared" si="75"/>
        <v>1</v>
      </c>
      <c r="J1012" s="2">
        <f t="shared" si="76"/>
        <v>0.25</v>
      </c>
      <c r="K1012">
        <f t="shared" si="77"/>
        <v>4</v>
      </c>
      <c r="L1012" t="str">
        <f t="shared" si="78"/>
        <v>Funded</v>
      </c>
      <c r="M1012">
        <f t="shared" si="79"/>
        <v>1.3862943611198906</v>
      </c>
    </row>
    <row r="1013" spans="1:13" x14ac:dyDescent="0.25">
      <c r="A1013" t="s">
        <v>2286</v>
      </c>
      <c r="B1013" t="s">
        <v>125</v>
      </c>
      <c r="C1013" t="s">
        <v>1199</v>
      </c>
      <c r="D1013" t="s">
        <v>2287</v>
      </c>
      <c r="E1013" t="s">
        <v>20</v>
      </c>
      <c r="F1013" t="s">
        <v>21</v>
      </c>
      <c r="H1013">
        <v>1</v>
      </c>
      <c r="I1013">
        <f t="shared" si="75"/>
        <v>1</v>
      </c>
      <c r="J1013" s="2">
        <f t="shared" si="76"/>
        <v>0.114</v>
      </c>
      <c r="K1013">
        <f t="shared" si="77"/>
        <v>8.7719298245614024</v>
      </c>
      <c r="L1013" t="str">
        <f t="shared" si="78"/>
        <v>Funded</v>
      </c>
      <c r="M1013">
        <f t="shared" si="79"/>
        <v>2.1715568305876416</v>
      </c>
    </row>
    <row r="1014" spans="1:13" x14ac:dyDescent="0.25">
      <c r="A1014" t="s">
        <v>2288</v>
      </c>
      <c r="B1014" t="s">
        <v>125</v>
      </c>
      <c r="C1014" t="s">
        <v>1469</v>
      </c>
      <c r="D1014" t="s">
        <v>407</v>
      </c>
      <c r="E1014" t="s">
        <v>10</v>
      </c>
      <c r="F1014" t="s">
        <v>11</v>
      </c>
      <c r="H1014">
        <v>1</v>
      </c>
      <c r="I1014">
        <f t="shared" si="75"/>
        <v>1</v>
      </c>
      <c r="J1014" s="2">
        <f t="shared" si="76"/>
        <v>0.34399999999999997</v>
      </c>
      <c r="K1014">
        <f t="shared" si="77"/>
        <v>2.9069767441860468</v>
      </c>
      <c r="L1014" t="str">
        <f t="shared" si="78"/>
        <v>Funded</v>
      </c>
      <c r="M1014">
        <f t="shared" si="79"/>
        <v>1.0671136216087389</v>
      </c>
    </row>
    <row r="1015" spans="1:13" x14ac:dyDescent="0.25">
      <c r="A1015" t="s">
        <v>2289</v>
      </c>
      <c r="B1015" t="s">
        <v>125</v>
      </c>
      <c r="C1015" t="s">
        <v>815</v>
      </c>
      <c r="D1015" t="s">
        <v>2290</v>
      </c>
      <c r="E1015" t="s">
        <v>10</v>
      </c>
      <c r="F1015" t="s">
        <v>11</v>
      </c>
      <c r="H1015">
        <v>1</v>
      </c>
      <c r="I1015">
        <f t="shared" si="75"/>
        <v>1</v>
      </c>
      <c r="J1015" s="2">
        <f t="shared" si="76"/>
        <v>0.53700000000000003</v>
      </c>
      <c r="K1015">
        <f t="shared" si="77"/>
        <v>1.8621973929236497</v>
      </c>
      <c r="L1015" t="str">
        <f t="shared" si="78"/>
        <v>Funded</v>
      </c>
      <c r="M1015">
        <f t="shared" si="79"/>
        <v>0.62175718447327222</v>
      </c>
    </row>
    <row r="1016" spans="1:13" x14ac:dyDescent="0.25">
      <c r="A1016" t="s">
        <v>2291</v>
      </c>
      <c r="B1016" t="s">
        <v>125</v>
      </c>
      <c r="C1016" t="s">
        <v>2084</v>
      </c>
      <c r="D1016" t="s">
        <v>2292</v>
      </c>
      <c r="E1016" t="s">
        <v>10</v>
      </c>
      <c r="F1016" t="s">
        <v>11</v>
      </c>
      <c r="H1016">
        <v>1</v>
      </c>
      <c r="I1016">
        <f t="shared" si="75"/>
        <v>1</v>
      </c>
      <c r="J1016" s="2">
        <f t="shared" si="76"/>
        <v>0.29599999999999999</v>
      </c>
      <c r="K1016">
        <f t="shared" si="77"/>
        <v>3.3783783783783785</v>
      </c>
      <c r="L1016" t="str">
        <f t="shared" si="78"/>
        <v>Funded</v>
      </c>
      <c r="M1016">
        <f t="shared" si="79"/>
        <v>1.2173958246580767</v>
      </c>
    </row>
    <row r="1017" spans="1:13" x14ac:dyDescent="0.25">
      <c r="A1017" t="s">
        <v>2293</v>
      </c>
      <c r="B1017" t="s">
        <v>125</v>
      </c>
      <c r="C1017" t="s">
        <v>47</v>
      </c>
      <c r="D1017" t="s">
        <v>2294</v>
      </c>
      <c r="E1017" t="s">
        <v>20</v>
      </c>
      <c r="F1017" t="s">
        <v>21</v>
      </c>
      <c r="H1017">
        <v>1</v>
      </c>
      <c r="I1017">
        <f t="shared" si="75"/>
        <v>1</v>
      </c>
      <c r="J1017" s="2">
        <f t="shared" si="76"/>
        <v>2</v>
      </c>
      <c r="K1017">
        <f t="shared" si="77"/>
        <v>0.5</v>
      </c>
      <c r="L1017" t="str">
        <f t="shared" si="78"/>
        <v>Funded</v>
      </c>
      <c r="M1017">
        <f t="shared" si="79"/>
        <v>-0.69314718055994529</v>
      </c>
    </row>
    <row r="1018" spans="1:13" x14ac:dyDescent="0.25">
      <c r="A1018" t="s">
        <v>2295</v>
      </c>
      <c r="B1018" t="s">
        <v>125</v>
      </c>
      <c r="C1018" t="s">
        <v>2296</v>
      </c>
      <c r="D1018" t="s">
        <v>120</v>
      </c>
      <c r="E1018" t="s">
        <v>1035</v>
      </c>
      <c r="F1018" t="s">
        <v>21</v>
      </c>
      <c r="H1018">
        <v>1</v>
      </c>
      <c r="I1018">
        <f t="shared" si="75"/>
        <v>1</v>
      </c>
      <c r="J1018" s="2">
        <f t="shared" si="76"/>
        <v>0.56499999999999995</v>
      </c>
      <c r="K1018">
        <f t="shared" si="77"/>
        <v>1.7699115044247788</v>
      </c>
      <c r="L1018" t="str">
        <f t="shared" si="78"/>
        <v>Funded</v>
      </c>
      <c r="M1018">
        <f t="shared" si="79"/>
        <v>0.57092954783569616</v>
      </c>
    </row>
    <row r="1019" spans="1:13" x14ac:dyDescent="0.25">
      <c r="A1019" t="s">
        <v>2297</v>
      </c>
      <c r="B1019" t="s">
        <v>125</v>
      </c>
      <c r="C1019" t="s">
        <v>2020</v>
      </c>
      <c r="D1019" t="s">
        <v>2298</v>
      </c>
      <c r="E1019" t="s">
        <v>242</v>
      </c>
      <c r="F1019" t="s">
        <v>21</v>
      </c>
      <c r="H1019">
        <v>1</v>
      </c>
      <c r="I1019">
        <f t="shared" si="75"/>
        <v>1</v>
      </c>
      <c r="J1019" s="2">
        <f t="shared" si="76"/>
        <v>0.28999999999999998</v>
      </c>
      <c r="K1019">
        <f t="shared" si="77"/>
        <v>3.4482758620689657</v>
      </c>
      <c r="L1019" t="str">
        <f t="shared" si="78"/>
        <v>Funded</v>
      </c>
      <c r="M1019">
        <f t="shared" si="79"/>
        <v>1.2378743560016174</v>
      </c>
    </row>
    <row r="1020" spans="1:13" x14ac:dyDescent="0.25">
      <c r="A1020" t="s">
        <v>2299</v>
      </c>
      <c r="B1020" t="s">
        <v>125</v>
      </c>
      <c r="C1020" t="s">
        <v>2300</v>
      </c>
      <c r="D1020" t="s">
        <v>1155</v>
      </c>
      <c r="E1020" t="s">
        <v>10</v>
      </c>
      <c r="F1020" t="s">
        <v>11</v>
      </c>
      <c r="H1020">
        <v>1</v>
      </c>
      <c r="I1020">
        <f t="shared" si="75"/>
        <v>1</v>
      </c>
      <c r="J1020" s="2">
        <f t="shared" si="76"/>
        <v>0.219</v>
      </c>
      <c r="K1020">
        <f t="shared" si="77"/>
        <v>4.5662100456621006</v>
      </c>
      <c r="L1020" t="str">
        <f t="shared" si="78"/>
        <v>Funded</v>
      </c>
      <c r="M1020">
        <f t="shared" si="79"/>
        <v>1.5186835491656363</v>
      </c>
    </row>
    <row r="1021" spans="1:13" x14ac:dyDescent="0.25">
      <c r="A1021" t="s">
        <v>2301</v>
      </c>
      <c r="B1021" t="s">
        <v>125</v>
      </c>
      <c r="C1021" s="1">
        <v>0</v>
      </c>
      <c r="D1021" t="s">
        <v>576</v>
      </c>
      <c r="E1021" t="s">
        <v>20</v>
      </c>
      <c r="F1021" t="s">
        <v>21</v>
      </c>
      <c r="H1021">
        <v>1</v>
      </c>
      <c r="I1021">
        <f t="shared" si="75"/>
        <v>1</v>
      </c>
      <c r="J1021" s="2">
        <f t="shared" si="76"/>
        <v>0</v>
      </c>
      <c r="K1021" t="str">
        <f t="shared" si="77"/>
        <v/>
      </c>
      <c r="L1021" t="str">
        <f t="shared" si="78"/>
        <v>Bootstrapped</v>
      </c>
      <c r="M1021" t="str">
        <f t="shared" si="79"/>
        <v/>
      </c>
    </row>
    <row r="1022" spans="1:13" x14ac:dyDescent="0.25">
      <c r="A1022" t="s">
        <v>2302</v>
      </c>
      <c r="B1022" t="s">
        <v>125</v>
      </c>
      <c r="C1022" t="s">
        <v>2303</v>
      </c>
      <c r="D1022" t="s">
        <v>727</v>
      </c>
      <c r="E1022" t="s">
        <v>10</v>
      </c>
      <c r="F1022" t="s">
        <v>11</v>
      </c>
      <c r="H1022">
        <v>1</v>
      </c>
      <c r="I1022">
        <f t="shared" si="75"/>
        <v>1</v>
      </c>
      <c r="J1022" s="2">
        <f t="shared" si="76"/>
        <v>0.40899999999999997</v>
      </c>
      <c r="K1022">
        <f t="shared" si="77"/>
        <v>2.4449877750611249</v>
      </c>
      <c r="L1022" t="str">
        <f t="shared" si="78"/>
        <v>Funded</v>
      </c>
      <c r="M1022">
        <f t="shared" si="79"/>
        <v>0.89404012293933532</v>
      </c>
    </row>
    <row r="1023" spans="1:13" x14ac:dyDescent="0.25">
      <c r="A1023" t="s">
        <v>2304</v>
      </c>
      <c r="B1023" t="s">
        <v>125</v>
      </c>
      <c r="C1023" t="s">
        <v>2305</v>
      </c>
      <c r="E1023" t="s">
        <v>294</v>
      </c>
      <c r="F1023" t="s">
        <v>21</v>
      </c>
      <c r="H1023">
        <v>1</v>
      </c>
      <c r="I1023">
        <f t="shared" si="75"/>
        <v>1</v>
      </c>
      <c r="J1023" s="2">
        <f t="shared" si="76"/>
        <v>6.7000000000000004E-2</v>
      </c>
      <c r="K1023">
        <f t="shared" si="77"/>
        <v>14.925373134328357</v>
      </c>
      <c r="L1023" t="str">
        <f t="shared" si="78"/>
        <v>Funded</v>
      </c>
      <c r="M1023">
        <f t="shared" si="79"/>
        <v>2.7030626595911711</v>
      </c>
    </row>
    <row r="1024" spans="1:13" x14ac:dyDescent="0.25">
      <c r="A1024" t="s">
        <v>2306</v>
      </c>
      <c r="B1024" t="s">
        <v>125</v>
      </c>
      <c r="C1024" t="s">
        <v>53</v>
      </c>
      <c r="D1024" t="s">
        <v>148</v>
      </c>
      <c r="E1024" t="s">
        <v>1035</v>
      </c>
      <c r="F1024" t="s">
        <v>21</v>
      </c>
      <c r="H1024">
        <v>1</v>
      </c>
      <c r="I1024">
        <f t="shared" si="75"/>
        <v>1</v>
      </c>
      <c r="J1024" s="2">
        <f t="shared" si="76"/>
        <v>4</v>
      </c>
      <c r="K1024">
        <f t="shared" si="77"/>
        <v>0.25</v>
      </c>
      <c r="L1024" t="str">
        <f t="shared" si="78"/>
        <v>Funded</v>
      </c>
      <c r="M1024">
        <f t="shared" si="79"/>
        <v>-1.3862943611198906</v>
      </c>
    </row>
    <row r="1025" spans="1:13" x14ac:dyDescent="0.25">
      <c r="A1025" t="s">
        <v>2307</v>
      </c>
      <c r="B1025" t="s">
        <v>125</v>
      </c>
      <c r="C1025" t="s">
        <v>1517</v>
      </c>
      <c r="D1025" t="s">
        <v>2308</v>
      </c>
      <c r="E1025" t="s">
        <v>1657</v>
      </c>
      <c r="F1025" t="s">
        <v>50</v>
      </c>
      <c r="H1025">
        <v>1</v>
      </c>
      <c r="I1025">
        <f t="shared" si="75"/>
        <v>1</v>
      </c>
      <c r="J1025" s="2">
        <f t="shared" si="76"/>
        <v>0.63100000000000001</v>
      </c>
      <c r="K1025">
        <f t="shared" si="77"/>
        <v>1.5847860538827259</v>
      </c>
      <c r="L1025" t="str">
        <f t="shared" si="78"/>
        <v>Funded</v>
      </c>
      <c r="M1025">
        <f t="shared" si="79"/>
        <v>0.46044941644092391</v>
      </c>
    </row>
    <row r="1026" spans="1:13" x14ac:dyDescent="0.25">
      <c r="A1026" t="s">
        <v>2309</v>
      </c>
      <c r="B1026" t="s">
        <v>125</v>
      </c>
      <c r="C1026" t="s">
        <v>2012</v>
      </c>
      <c r="D1026" t="s">
        <v>1712</v>
      </c>
      <c r="E1026" t="s">
        <v>294</v>
      </c>
      <c r="F1026" t="s">
        <v>21</v>
      </c>
      <c r="H1026">
        <v>1</v>
      </c>
      <c r="I1026">
        <f t="shared" si="75"/>
        <v>1</v>
      </c>
      <c r="J1026" s="2">
        <f t="shared" si="76"/>
        <v>0.18099999999999999</v>
      </c>
      <c r="K1026">
        <f t="shared" si="77"/>
        <v>5.5248618784530388</v>
      </c>
      <c r="L1026" t="str">
        <f t="shared" si="78"/>
        <v>Funded</v>
      </c>
      <c r="M1026">
        <f t="shared" si="79"/>
        <v>1.7092582477163114</v>
      </c>
    </row>
    <row r="1027" spans="1:13" x14ac:dyDescent="0.25">
      <c r="A1027" t="s">
        <v>2310</v>
      </c>
      <c r="B1027" t="s">
        <v>125</v>
      </c>
      <c r="C1027" t="s">
        <v>1377</v>
      </c>
      <c r="D1027" t="s">
        <v>130</v>
      </c>
      <c r="E1027" t="s">
        <v>10</v>
      </c>
      <c r="F1027" t="s">
        <v>11</v>
      </c>
      <c r="H1027">
        <v>1</v>
      </c>
      <c r="I1027">
        <f t="shared" ref="I1027:I1090" si="80">IF(B1027="","",
VALUE(SUBSTITUTE(SUBSTITUTE(B1027,"$",""),"B","")))</f>
        <v>1</v>
      </c>
      <c r="J1027" s="2">
        <f t="shared" ref="J1027:J1090" si="81">IF(C1027="","",
IF(C1027="$0",0,
IF(RIGHT(C1027,1)="B",
VALUE(SUBSTITUTE(SUBSTITUTE(C1027,"$",""),"B","")),
IF(RIGHT(C1027,1)="M",
VALUE(SUBSTITUTE(SUBSTITUTE(C1027,"$",""),"M",""))/1000,
IF(RIGHT(C1027,1)="K",
VALUE(SUBSTITUTE(SUBSTITUTE(C1027,"$",""),"K",""))/1000000,
VALUE(SUBSTITUTE(C1027,"$",""))
)))))</f>
        <v>0.13400000000000001</v>
      </c>
      <c r="K1027">
        <f t="shared" ref="K1027:K1090" si="82">IF(J1027&gt;0,I1027/J1027,"")</f>
        <v>7.4626865671641784</v>
      </c>
      <c r="L1027" t="str">
        <f t="shared" ref="L1027:L1090" si="83">IF(J1027=0,"Bootstrapped","Funded")</f>
        <v>Funded</v>
      </c>
      <c r="M1027">
        <f t="shared" ref="M1027:M1090" si="84">IF(AND(I1027&gt;0,J1027&gt;0),LN(I1027/J1027),"")</f>
        <v>2.0099154790312257</v>
      </c>
    </row>
    <row r="1028" spans="1:13" x14ac:dyDescent="0.25">
      <c r="A1028" t="s">
        <v>2311</v>
      </c>
      <c r="B1028" t="s">
        <v>125</v>
      </c>
      <c r="C1028" t="s">
        <v>645</v>
      </c>
      <c r="D1028" t="s">
        <v>2312</v>
      </c>
      <c r="E1028" t="s">
        <v>275</v>
      </c>
      <c r="F1028" t="s">
        <v>21</v>
      </c>
      <c r="H1028">
        <v>1</v>
      </c>
      <c r="I1028">
        <f t="shared" si="80"/>
        <v>1</v>
      </c>
      <c r="J1028" s="2">
        <f t="shared" si="81"/>
        <v>0.2</v>
      </c>
      <c r="K1028">
        <f t="shared" si="82"/>
        <v>5</v>
      </c>
      <c r="L1028" t="str">
        <f t="shared" si="83"/>
        <v>Funded</v>
      </c>
      <c r="M1028">
        <f t="shared" si="84"/>
        <v>1.6094379124341003</v>
      </c>
    </row>
    <row r="1029" spans="1:13" x14ac:dyDescent="0.25">
      <c r="A1029" t="s">
        <v>2313</v>
      </c>
      <c r="B1029" t="s">
        <v>125</v>
      </c>
      <c r="C1029" t="s">
        <v>2314</v>
      </c>
      <c r="D1029" t="s">
        <v>2315</v>
      </c>
      <c r="E1029" t="s">
        <v>44</v>
      </c>
      <c r="F1029" t="s">
        <v>21</v>
      </c>
      <c r="H1029">
        <v>1</v>
      </c>
      <c r="I1029">
        <f t="shared" si="80"/>
        <v>1</v>
      </c>
      <c r="J1029" s="2">
        <f t="shared" si="81"/>
        <v>0.49</v>
      </c>
      <c r="K1029">
        <f t="shared" si="82"/>
        <v>2.0408163265306123</v>
      </c>
      <c r="L1029" t="str">
        <f t="shared" si="83"/>
        <v>Funded</v>
      </c>
      <c r="M1029">
        <f t="shared" si="84"/>
        <v>0.71334988787746478</v>
      </c>
    </row>
    <row r="1030" spans="1:13" x14ac:dyDescent="0.25">
      <c r="A1030" t="s">
        <v>2316</v>
      </c>
      <c r="B1030" t="s">
        <v>125</v>
      </c>
      <c r="C1030" t="s">
        <v>2023</v>
      </c>
      <c r="D1030" t="s">
        <v>2317</v>
      </c>
      <c r="E1030" t="s">
        <v>10</v>
      </c>
      <c r="F1030" t="s">
        <v>11</v>
      </c>
      <c r="H1030">
        <v>1</v>
      </c>
      <c r="I1030">
        <f t="shared" si="80"/>
        <v>1</v>
      </c>
      <c r="J1030" s="2">
        <f t="shared" si="81"/>
        <v>0.115</v>
      </c>
      <c r="K1030">
        <f t="shared" si="82"/>
        <v>8.695652173913043</v>
      </c>
      <c r="L1030" t="str">
        <f t="shared" si="83"/>
        <v>Funded</v>
      </c>
      <c r="M1030">
        <f t="shared" si="84"/>
        <v>2.1628231506188871</v>
      </c>
    </row>
    <row r="1031" spans="1:13" x14ac:dyDescent="0.25">
      <c r="A1031" t="s">
        <v>2318</v>
      </c>
      <c r="B1031" t="s">
        <v>125</v>
      </c>
      <c r="C1031" t="s">
        <v>2319</v>
      </c>
      <c r="D1031" t="s">
        <v>2320</v>
      </c>
      <c r="E1031" t="s">
        <v>10</v>
      </c>
      <c r="F1031" t="s">
        <v>11</v>
      </c>
      <c r="H1031">
        <v>1</v>
      </c>
      <c r="I1031">
        <f t="shared" si="80"/>
        <v>1</v>
      </c>
      <c r="J1031" s="2">
        <f t="shared" si="81"/>
        <v>0.17199999999999999</v>
      </c>
      <c r="K1031">
        <f t="shared" si="82"/>
        <v>5.8139534883720936</v>
      </c>
      <c r="L1031" t="str">
        <f t="shared" si="83"/>
        <v>Funded</v>
      </c>
      <c r="M1031">
        <f t="shared" si="84"/>
        <v>1.7602608021686841</v>
      </c>
    </row>
    <row r="1032" spans="1:13" x14ac:dyDescent="0.25">
      <c r="A1032" t="s">
        <v>2321</v>
      </c>
      <c r="B1032" t="s">
        <v>125</v>
      </c>
      <c r="C1032" t="s">
        <v>2322</v>
      </c>
      <c r="D1032" t="s">
        <v>2323</v>
      </c>
      <c r="E1032" t="s">
        <v>365</v>
      </c>
      <c r="F1032" t="s">
        <v>11</v>
      </c>
      <c r="H1032">
        <v>1</v>
      </c>
      <c r="I1032">
        <f t="shared" si="80"/>
        <v>1</v>
      </c>
      <c r="J1032" s="2">
        <f t="shared" si="81"/>
        <v>0.01</v>
      </c>
      <c r="K1032">
        <f t="shared" si="82"/>
        <v>100</v>
      </c>
      <c r="L1032" t="str">
        <f t="shared" si="83"/>
        <v>Funded</v>
      </c>
      <c r="M1032">
        <f t="shared" si="84"/>
        <v>4.6051701859880918</v>
      </c>
    </row>
    <row r="1033" spans="1:13" x14ac:dyDescent="0.25">
      <c r="A1033" t="s">
        <v>2324</v>
      </c>
      <c r="B1033" t="s">
        <v>125</v>
      </c>
      <c r="C1033" t="s">
        <v>1802</v>
      </c>
      <c r="D1033" t="s">
        <v>177</v>
      </c>
      <c r="E1033" t="s">
        <v>49</v>
      </c>
      <c r="F1033" t="s">
        <v>50</v>
      </c>
      <c r="H1033">
        <v>1</v>
      </c>
      <c r="I1033">
        <f t="shared" si="80"/>
        <v>1</v>
      </c>
      <c r="J1033" s="2">
        <f t="shared" si="81"/>
        <v>0.26200000000000001</v>
      </c>
      <c r="K1033">
        <f t="shared" si="82"/>
        <v>3.8167938931297707</v>
      </c>
      <c r="L1033" t="str">
        <f t="shared" si="83"/>
        <v>Funded</v>
      </c>
      <c r="M1033">
        <f t="shared" si="84"/>
        <v>1.33941077522104</v>
      </c>
    </row>
    <row r="1034" spans="1:13" x14ac:dyDescent="0.25">
      <c r="A1034" t="s">
        <v>2325</v>
      </c>
      <c r="B1034" t="s">
        <v>125</v>
      </c>
      <c r="C1034" t="s">
        <v>1115</v>
      </c>
      <c r="D1034" t="s">
        <v>1155</v>
      </c>
      <c r="E1034" t="s">
        <v>10</v>
      </c>
      <c r="F1034" t="s">
        <v>11</v>
      </c>
      <c r="H1034">
        <v>1</v>
      </c>
      <c r="I1034">
        <f t="shared" si="80"/>
        <v>1</v>
      </c>
      <c r="J1034" s="2">
        <f t="shared" si="81"/>
        <v>0.24</v>
      </c>
      <c r="K1034">
        <f t="shared" si="82"/>
        <v>4.166666666666667</v>
      </c>
      <c r="L1034" t="str">
        <f t="shared" si="83"/>
        <v>Funded</v>
      </c>
      <c r="M1034">
        <f t="shared" si="84"/>
        <v>1.4271163556401458</v>
      </c>
    </row>
    <row r="1035" spans="1:13" x14ac:dyDescent="0.25">
      <c r="A1035" t="s">
        <v>2326</v>
      </c>
      <c r="B1035" t="s">
        <v>125</v>
      </c>
      <c r="C1035" t="s">
        <v>1880</v>
      </c>
      <c r="D1035" t="s">
        <v>1210</v>
      </c>
      <c r="E1035" t="s">
        <v>10</v>
      </c>
      <c r="F1035" t="s">
        <v>11</v>
      </c>
      <c r="H1035">
        <v>1</v>
      </c>
      <c r="I1035">
        <f t="shared" si="80"/>
        <v>1</v>
      </c>
      <c r="J1035" s="2">
        <f t="shared" si="81"/>
        <v>0.29099999999999998</v>
      </c>
      <c r="K1035">
        <f t="shared" si="82"/>
        <v>3.4364261168384882</v>
      </c>
      <c r="L1035" t="str">
        <f t="shared" si="83"/>
        <v>Funded</v>
      </c>
      <c r="M1035">
        <f t="shared" si="84"/>
        <v>1.2344320118106447</v>
      </c>
    </row>
    <row r="1036" spans="1:13" x14ac:dyDescent="0.25">
      <c r="A1036" t="s">
        <v>2327</v>
      </c>
      <c r="B1036" t="s">
        <v>125</v>
      </c>
      <c r="C1036" t="s">
        <v>2328</v>
      </c>
      <c r="D1036" t="s">
        <v>130</v>
      </c>
      <c r="E1036" t="s">
        <v>10</v>
      </c>
      <c r="F1036" t="s">
        <v>11</v>
      </c>
      <c r="H1036">
        <v>1</v>
      </c>
      <c r="I1036">
        <f t="shared" si="80"/>
        <v>1</v>
      </c>
      <c r="J1036" s="2">
        <f t="shared" si="81"/>
        <v>0.10199999999999999</v>
      </c>
      <c r="K1036">
        <f t="shared" si="82"/>
        <v>9.8039215686274517</v>
      </c>
      <c r="L1036" t="str">
        <f t="shared" si="83"/>
        <v>Funded</v>
      </c>
      <c r="M1036">
        <f t="shared" si="84"/>
        <v>2.2827824656978661</v>
      </c>
    </row>
    <row r="1037" spans="1:13" x14ac:dyDescent="0.25">
      <c r="A1037" t="s">
        <v>2329</v>
      </c>
      <c r="B1037" t="s">
        <v>125</v>
      </c>
      <c r="C1037" t="s">
        <v>2330</v>
      </c>
      <c r="D1037" t="s">
        <v>2331</v>
      </c>
      <c r="E1037" t="s">
        <v>10</v>
      </c>
      <c r="F1037" t="s">
        <v>11</v>
      </c>
      <c r="H1037">
        <v>1</v>
      </c>
      <c r="I1037">
        <f t="shared" si="80"/>
        <v>1</v>
      </c>
      <c r="J1037" s="2">
        <f t="shared" si="81"/>
        <v>0.128</v>
      </c>
      <c r="K1037">
        <f t="shared" si="82"/>
        <v>7.8125</v>
      </c>
      <c r="L1037" t="str">
        <f t="shared" si="83"/>
        <v>Funded</v>
      </c>
      <c r="M1037">
        <f t="shared" si="84"/>
        <v>2.0557250150625199</v>
      </c>
    </row>
    <row r="1038" spans="1:13" x14ac:dyDescent="0.25">
      <c r="A1038" t="s">
        <v>2332</v>
      </c>
      <c r="B1038" t="s">
        <v>125</v>
      </c>
      <c r="C1038" t="s">
        <v>1831</v>
      </c>
      <c r="D1038" t="s">
        <v>2333</v>
      </c>
      <c r="E1038" t="s">
        <v>1008</v>
      </c>
      <c r="F1038" t="s">
        <v>11</v>
      </c>
      <c r="H1038">
        <v>1</v>
      </c>
      <c r="I1038">
        <f t="shared" si="80"/>
        <v>1</v>
      </c>
      <c r="J1038" s="2">
        <f t="shared" si="81"/>
        <v>0.378</v>
      </c>
      <c r="K1038">
        <f t="shared" si="82"/>
        <v>2.6455026455026456</v>
      </c>
      <c r="L1038" t="str">
        <f t="shared" si="83"/>
        <v>Funded</v>
      </c>
      <c r="M1038">
        <f t="shared" si="84"/>
        <v>0.97286108336254939</v>
      </c>
    </row>
    <row r="1039" spans="1:13" x14ac:dyDescent="0.25">
      <c r="A1039" t="s">
        <v>2334</v>
      </c>
      <c r="B1039" t="s">
        <v>125</v>
      </c>
      <c r="C1039" t="s">
        <v>2335</v>
      </c>
      <c r="D1039" t="s">
        <v>1834</v>
      </c>
      <c r="E1039" t="s">
        <v>10</v>
      </c>
      <c r="F1039" t="s">
        <v>11</v>
      </c>
      <c r="H1039">
        <v>1</v>
      </c>
      <c r="I1039">
        <f t="shared" si="80"/>
        <v>1</v>
      </c>
      <c r="J1039" s="2">
        <f t="shared" si="81"/>
        <v>0.13</v>
      </c>
      <c r="K1039">
        <f t="shared" si="82"/>
        <v>7.6923076923076916</v>
      </c>
      <c r="L1039" t="str">
        <f t="shared" si="83"/>
        <v>Funded</v>
      </c>
      <c r="M1039">
        <f t="shared" si="84"/>
        <v>2.0402208285265546</v>
      </c>
    </row>
    <row r="1040" spans="1:13" x14ac:dyDescent="0.25">
      <c r="A1040" t="s">
        <v>2336</v>
      </c>
      <c r="B1040" t="s">
        <v>125</v>
      </c>
      <c r="C1040" t="s">
        <v>804</v>
      </c>
      <c r="D1040" t="s">
        <v>2337</v>
      </c>
      <c r="E1040" t="s">
        <v>10</v>
      </c>
      <c r="F1040" t="s">
        <v>11</v>
      </c>
      <c r="H1040">
        <v>1</v>
      </c>
      <c r="I1040">
        <f t="shared" si="80"/>
        <v>1</v>
      </c>
      <c r="J1040" s="2">
        <f t="shared" si="81"/>
        <v>0.33500000000000002</v>
      </c>
      <c r="K1040">
        <f t="shared" si="82"/>
        <v>2.9850746268656714</v>
      </c>
      <c r="L1040" t="str">
        <f t="shared" si="83"/>
        <v>Funded</v>
      </c>
      <c r="M1040">
        <f t="shared" si="84"/>
        <v>1.0936247471570706</v>
      </c>
    </row>
    <row r="1041" spans="1:13" x14ac:dyDescent="0.25">
      <c r="A1041" t="s">
        <v>2338</v>
      </c>
      <c r="B1041" t="s">
        <v>125</v>
      </c>
      <c r="C1041" t="s">
        <v>1339</v>
      </c>
      <c r="D1041" t="s">
        <v>2339</v>
      </c>
      <c r="E1041" t="s">
        <v>10</v>
      </c>
      <c r="F1041" t="s">
        <v>11</v>
      </c>
      <c r="H1041">
        <v>1</v>
      </c>
      <c r="I1041">
        <f t="shared" si="80"/>
        <v>1</v>
      </c>
      <c r="J1041" s="2">
        <f t="shared" si="81"/>
        <v>0.45900000000000002</v>
      </c>
      <c r="K1041">
        <f t="shared" si="82"/>
        <v>2.1786492374727668</v>
      </c>
      <c r="L1041" t="str">
        <f t="shared" si="83"/>
        <v>Funded</v>
      </c>
      <c r="M1041">
        <f t="shared" si="84"/>
        <v>0.77870506892159186</v>
      </c>
    </row>
    <row r="1042" spans="1:13" x14ac:dyDescent="0.25">
      <c r="A1042" t="s">
        <v>2340</v>
      </c>
      <c r="B1042" t="s">
        <v>125</v>
      </c>
      <c r="C1042" t="s">
        <v>1511</v>
      </c>
      <c r="D1042" t="s">
        <v>1053</v>
      </c>
      <c r="E1042" t="s">
        <v>20</v>
      </c>
      <c r="F1042" t="s">
        <v>21</v>
      </c>
      <c r="H1042">
        <v>1</v>
      </c>
      <c r="I1042">
        <f t="shared" si="80"/>
        <v>1</v>
      </c>
      <c r="J1042" s="2">
        <f t="shared" si="81"/>
        <v>0.318</v>
      </c>
      <c r="K1042">
        <f t="shared" si="82"/>
        <v>3.1446540880503142</v>
      </c>
      <c r="L1042" t="str">
        <f t="shared" si="83"/>
        <v>Funded</v>
      </c>
      <c r="M1042">
        <f t="shared" si="84"/>
        <v>1.1457038962019601</v>
      </c>
    </row>
    <row r="1043" spans="1:13" x14ac:dyDescent="0.25">
      <c r="A1043" t="s">
        <v>2341</v>
      </c>
      <c r="B1043" t="s">
        <v>125</v>
      </c>
      <c r="C1043" t="s">
        <v>508</v>
      </c>
      <c r="D1043" t="s">
        <v>2342</v>
      </c>
      <c r="E1043" t="s">
        <v>20</v>
      </c>
      <c r="F1043" t="s">
        <v>21</v>
      </c>
      <c r="H1043">
        <v>1</v>
      </c>
      <c r="I1043">
        <f t="shared" si="80"/>
        <v>1</v>
      </c>
      <c r="J1043" s="2">
        <f t="shared" si="81"/>
        <v>0.48199999999999998</v>
      </c>
      <c r="K1043">
        <f t="shared" si="82"/>
        <v>2.0746887966804981</v>
      </c>
      <c r="L1043" t="str">
        <f t="shared" si="83"/>
        <v>Funded</v>
      </c>
      <c r="M1043">
        <f t="shared" si="84"/>
        <v>0.72981116493153686</v>
      </c>
    </row>
    <row r="1044" spans="1:13" x14ac:dyDescent="0.25">
      <c r="A1044" t="s">
        <v>2343</v>
      </c>
      <c r="B1044" t="s">
        <v>125</v>
      </c>
      <c r="C1044" t="s">
        <v>1504</v>
      </c>
      <c r="D1044" t="s">
        <v>2344</v>
      </c>
      <c r="E1044" t="s">
        <v>10</v>
      </c>
      <c r="F1044" t="s">
        <v>11</v>
      </c>
      <c r="H1044">
        <v>1</v>
      </c>
      <c r="I1044">
        <f t="shared" si="80"/>
        <v>1</v>
      </c>
      <c r="J1044" s="2">
        <f t="shared" si="81"/>
        <v>0.33600000000000002</v>
      </c>
      <c r="K1044">
        <f t="shared" si="82"/>
        <v>2.9761904761904758</v>
      </c>
      <c r="L1044" t="str">
        <f t="shared" si="83"/>
        <v>Funded</v>
      </c>
      <c r="M1044">
        <f t="shared" si="84"/>
        <v>1.0906441190189327</v>
      </c>
    </row>
    <row r="1045" spans="1:13" x14ac:dyDescent="0.25">
      <c r="A1045" t="s">
        <v>2345</v>
      </c>
      <c r="B1045" t="s">
        <v>125</v>
      </c>
      <c r="C1045" t="s">
        <v>2346</v>
      </c>
      <c r="D1045" t="s">
        <v>2347</v>
      </c>
      <c r="E1045" t="s">
        <v>10</v>
      </c>
      <c r="F1045" t="s">
        <v>11</v>
      </c>
      <c r="H1045">
        <v>1</v>
      </c>
      <c r="I1045">
        <f t="shared" si="80"/>
        <v>1</v>
      </c>
      <c r="J1045" s="2">
        <f t="shared" si="81"/>
        <v>0.20100000000000001</v>
      </c>
      <c r="K1045">
        <f t="shared" si="82"/>
        <v>4.9751243781094523</v>
      </c>
      <c r="L1045" t="str">
        <f t="shared" si="83"/>
        <v>Funded</v>
      </c>
      <c r="M1045">
        <f t="shared" si="84"/>
        <v>1.6044503709230613</v>
      </c>
    </row>
    <row r="1046" spans="1:13" x14ac:dyDescent="0.25">
      <c r="A1046" t="s">
        <v>2348</v>
      </c>
      <c r="B1046" t="s">
        <v>125</v>
      </c>
      <c r="C1046" t="s">
        <v>2349</v>
      </c>
      <c r="D1046" t="s">
        <v>692</v>
      </c>
      <c r="E1046" t="s">
        <v>62</v>
      </c>
      <c r="F1046" t="s">
        <v>63</v>
      </c>
      <c r="H1046">
        <v>1</v>
      </c>
      <c r="I1046">
        <f t="shared" si="80"/>
        <v>1</v>
      </c>
      <c r="J1046" s="2">
        <f t="shared" si="81"/>
        <v>0.16600000000000001</v>
      </c>
      <c r="K1046">
        <f t="shared" si="82"/>
        <v>6.0240963855421681</v>
      </c>
      <c r="L1046" t="str">
        <f t="shared" si="83"/>
        <v>Funded</v>
      </c>
      <c r="M1046">
        <f t="shared" si="84"/>
        <v>1.7957674906255938</v>
      </c>
    </row>
    <row r="1047" spans="1:13" x14ac:dyDescent="0.25">
      <c r="A1047" t="s">
        <v>2350</v>
      </c>
      <c r="B1047" t="s">
        <v>125</v>
      </c>
      <c r="C1047" t="s">
        <v>1159</v>
      </c>
      <c r="D1047" t="s">
        <v>1712</v>
      </c>
      <c r="E1047" t="s">
        <v>10</v>
      </c>
      <c r="F1047" t="s">
        <v>11</v>
      </c>
      <c r="H1047">
        <v>1</v>
      </c>
      <c r="I1047">
        <f t="shared" si="80"/>
        <v>1</v>
      </c>
      <c r="J1047" s="2">
        <f t="shared" si="81"/>
        <v>0.34100000000000003</v>
      </c>
      <c r="K1047">
        <f t="shared" si="82"/>
        <v>2.9325513196480935</v>
      </c>
      <c r="L1047" t="str">
        <f t="shared" si="83"/>
        <v>Funded</v>
      </c>
      <c r="M1047">
        <f t="shared" si="84"/>
        <v>1.0758728016986201</v>
      </c>
    </row>
    <row r="1048" spans="1:13" x14ac:dyDescent="0.25">
      <c r="A1048" t="s">
        <v>2351</v>
      </c>
      <c r="B1048" t="s">
        <v>125</v>
      </c>
      <c r="C1048" t="s">
        <v>1185</v>
      </c>
      <c r="D1048" t="s">
        <v>2352</v>
      </c>
      <c r="E1048" t="s">
        <v>10</v>
      </c>
      <c r="F1048" t="s">
        <v>11</v>
      </c>
      <c r="H1048">
        <v>1</v>
      </c>
      <c r="I1048">
        <f t="shared" si="80"/>
        <v>1</v>
      </c>
      <c r="J1048" s="2">
        <f t="shared" si="81"/>
        <v>0.23499999999999999</v>
      </c>
      <c r="K1048">
        <f t="shared" si="82"/>
        <v>4.2553191489361701</v>
      </c>
      <c r="L1048" t="str">
        <f t="shared" si="83"/>
        <v>Funded</v>
      </c>
      <c r="M1048">
        <f t="shared" si="84"/>
        <v>1.4481697648379781</v>
      </c>
    </row>
    <row r="1049" spans="1:13" x14ac:dyDescent="0.25">
      <c r="A1049" t="s">
        <v>2353</v>
      </c>
      <c r="B1049" t="s">
        <v>125</v>
      </c>
      <c r="C1049" t="s">
        <v>2354</v>
      </c>
      <c r="D1049" t="s">
        <v>66</v>
      </c>
      <c r="E1049" t="s">
        <v>49</v>
      </c>
      <c r="F1049" t="s">
        <v>50</v>
      </c>
      <c r="H1049">
        <v>1</v>
      </c>
      <c r="I1049">
        <f t="shared" si="80"/>
        <v>1</v>
      </c>
      <c r="J1049" s="2">
        <f t="shared" si="81"/>
        <v>0.45400000000000001</v>
      </c>
      <c r="K1049">
        <f t="shared" si="82"/>
        <v>2.2026431718061672</v>
      </c>
      <c r="L1049" t="str">
        <f t="shared" si="83"/>
        <v>Funded</v>
      </c>
      <c r="M1049">
        <f t="shared" si="84"/>
        <v>0.78965808094078893</v>
      </c>
    </row>
    <row r="1050" spans="1:13" x14ac:dyDescent="0.25">
      <c r="A1050" t="s">
        <v>2355</v>
      </c>
      <c r="B1050" t="s">
        <v>125</v>
      </c>
      <c r="C1050" s="1">
        <v>0</v>
      </c>
      <c r="D1050" t="s">
        <v>496</v>
      </c>
      <c r="E1050" t="s">
        <v>10</v>
      </c>
      <c r="F1050" t="s">
        <v>11</v>
      </c>
      <c r="H1050">
        <v>1</v>
      </c>
      <c r="I1050">
        <f t="shared" si="80"/>
        <v>1</v>
      </c>
      <c r="J1050" s="2">
        <f t="shared" si="81"/>
        <v>0</v>
      </c>
      <c r="K1050" t="str">
        <f t="shared" si="82"/>
        <v/>
      </c>
      <c r="L1050" t="str">
        <f t="shared" si="83"/>
        <v>Bootstrapped</v>
      </c>
      <c r="M1050" t="str">
        <f t="shared" si="84"/>
        <v/>
      </c>
    </row>
    <row r="1051" spans="1:13" x14ac:dyDescent="0.25">
      <c r="A1051" t="s">
        <v>2356</v>
      </c>
      <c r="B1051" t="s">
        <v>125</v>
      </c>
      <c r="C1051" t="s">
        <v>2203</v>
      </c>
      <c r="D1051" t="s">
        <v>2357</v>
      </c>
      <c r="E1051" t="s">
        <v>10</v>
      </c>
      <c r="F1051" t="s">
        <v>11</v>
      </c>
      <c r="H1051">
        <v>1</v>
      </c>
      <c r="I1051">
        <f t="shared" si="80"/>
        <v>1</v>
      </c>
      <c r="J1051" s="2">
        <f t="shared" si="81"/>
        <v>0.182</v>
      </c>
      <c r="K1051">
        <f t="shared" si="82"/>
        <v>5.4945054945054945</v>
      </c>
      <c r="L1051" t="str">
        <f t="shared" si="83"/>
        <v>Funded</v>
      </c>
      <c r="M1051">
        <f t="shared" si="84"/>
        <v>1.7037485919053417</v>
      </c>
    </row>
    <row r="1052" spans="1:13" x14ac:dyDescent="0.25">
      <c r="A1052" t="s">
        <v>2358</v>
      </c>
      <c r="B1052" t="s">
        <v>125</v>
      </c>
      <c r="C1052" t="s">
        <v>2359</v>
      </c>
      <c r="D1052" t="s">
        <v>1042</v>
      </c>
      <c r="E1052" t="s">
        <v>350</v>
      </c>
      <c r="F1052" t="s">
        <v>21</v>
      </c>
      <c r="H1052">
        <v>1</v>
      </c>
      <c r="I1052">
        <f t="shared" si="80"/>
        <v>1</v>
      </c>
      <c r="J1052" s="2">
        <f t="shared" si="81"/>
        <v>0.154</v>
      </c>
      <c r="K1052">
        <f t="shared" si="82"/>
        <v>6.4935064935064934</v>
      </c>
      <c r="L1052" t="str">
        <f t="shared" si="83"/>
        <v>Funded</v>
      </c>
      <c r="M1052">
        <f t="shared" si="84"/>
        <v>1.870802676568508</v>
      </c>
    </row>
    <row r="1053" spans="1:13" x14ac:dyDescent="0.25">
      <c r="A1053" t="s">
        <v>2360</v>
      </c>
      <c r="B1053" t="s">
        <v>125</v>
      </c>
      <c r="C1053" t="s">
        <v>585</v>
      </c>
      <c r="D1053" t="s">
        <v>2361</v>
      </c>
      <c r="E1053" t="s">
        <v>10</v>
      </c>
      <c r="F1053" t="s">
        <v>11</v>
      </c>
      <c r="H1053">
        <v>1</v>
      </c>
      <c r="I1053">
        <f t="shared" si="80"/>
        <v>1</v>
      </c>
      <c r="J1053" s="2">
        <f t="shared" si="81"/>
        <v>0.23</v>
      </c>
      <c r="K1053">
        <f t="shared" si="82"/>
        <v>4.3478260869565215</v>
      </c>
      <c r="L1053" t="str">
        <f t="shared" si="83"/>
        <v>Funded</v>
      </c>
      <c r="M1053">
        <f t="shared" si="84"/>
        <v>1.4696759700589417</v>
      </c>
    </row>
    <row r="1054" spans="1:13" x14ac:dyDescent="0.25">
      <c r="A1054" t="s">
        <v>2362</v>
      </c>
      <c r="B1054" t="s">
        <v>125</v>
      </c>
      <c r="C1054" t="s">
        <v>2363</v>
      </c>
      <c r="D1054" t="s">
        <v>2364</v>
      </c>
      <c r="E1054" t="s">
        <v>1008</v>
      </c>
      <c r="F1054" t="s">
        <v>11</v>
      </c>
      <c r="H1054">
        <v>1</v>
      </c>
      <c r="I1054">
        <f t="shared" si="80"/>
        <v>1</v>
      </c>
      <c r="J1054" s="2">
        <f t="shared" si="81"/>
        <v>0.17399999999999999</v>
      </c>
      <c r="K1054">
        <f t="shared" si="82"/>
        <v>5.7471264367816097</v>
      </c>
      <c r="L1054" t="str">
        <f t="shared" si="83"/>
        <v>Funded</v>
      </c>
      <c r="M1054">
        <f t="shared" si="84"/>
        <v>1.7486999797676082</v>
      </c>
    </row>
    <row r="1055" spans="1:13" x14ac:dyDescent="0.25">
      <c r="A1055" t="s">
        <v>2365</v>
      </c>
      <c r="B1055" t="s">
        <v>125</v>
      </c>
      <c r="C1055" t="s">
        <v>1409</v>
      </c>
      <c r="D1055" t="s">
        <v>238</v>
      </c>
      <c r="E1055" t="s">
        <v>10</v>
      </c>
      <c r="F1055" t="s">
        <v>11</v>
      </c>
      <c r="H1055">
        <v>1</v>
      </c>
      <c r="I1055">
        <f t="shared" si="80"/>
        <v>1</v>
      </c>
      <c r="J1055" s="2">
        <f t="shared" si="81"/>
        <v>0.55000000000000004</v>
      </c>
      <c r="K1055">
        <f t="shared" si="82"/>
        <v>1.8181818181818181</v>
      </c>
      <c r="L1055" t="str">
        <f t="shared" si="83"/>
        <v>Funded</v>
      </c>
      <c r="M1055">
        <f t="shared" si="84"/>
        <v>0.59783700075562041</v>
      </c>
    </row>
    <row r="1056" spans="1:13" x14ac:dyDescent="0.25">
      <c r="A1056" t="s">
        <v>2366</v>
      </c>
      <c r="B1056" t="s">
        <v>125</v>
      </c>
      <c r="C1056" t="s">
        <v>1205</v>
      </c>
      <c r="D1056" t="s">
        <v>2367</v>
      </c>
      <c r="H1056">
        <v>1</v>
      </c>
      <c r="I1056">
        <f t="shared" si="80"/>
        <v>1</v>
      </c>
      <c r="J1056" s="2">
        <f t="shared" si="81"/>
        <v>0.3</v>
      </c>
      <c r="K1056">
        <f t="shared" si="82"/>
        <v>3.3333333333333335</v>
      </c>
      <c r="L1056" t="str">
        <f t="shared" si="83"/>
        <v>Funded</v>
      </c>
      <c r="M1056">
        <f t="shared" si="84"/>
        <v>1.2039728043259361</v>
      </c>
    </row>
    <row r="1057" spans="1:13" x14ac:dyDescent="0.25">
      <c r="A1057" t="s">
        <v>2368</v>
      </c>
      <c r="B1057" t="s">
        <v>125</v>
      </c>
      <c r="C1057" t="s">
        <v>2335</v>
      </c>
      <c r="D1057" t="s">
        <v>1843</v>
      </c>
      <c r="E1057" t="s">
        <v>10</v>
      </c>
      <c r="F1057" t="s">
        <v>11</v>
      </c>
      <c r="H1057">
        <v>1</v>
      </c>
      <c r="I1057">
        <f t="shared" si="80"/>
        <v>1</v>
      </c>
      <c r="J1057" s="2">
        <f t="shared" si="81"/>
        <v>0.13</v>
      </c>
      <c r="K1057">
        <f t="shared" si="82"/>
        <v>7.6923076923076916</v>
      </c>
      <c r="L1057" t="str">
        <f t="shared" si="83"/>
        <v>Funded</v>
      </c>
      <c r="M1057">
        <f t="shared" si="84"/>
        <v>2.0402208285265546</v>
      </c>
    </row>
    <row r="1058" spans="1:13" x14ac:dyDescent="0.25">
      <c r="A1058" t="s">
        <v>2369</v>
      </c>
      <c r="B1058" t="s">
        <v>125</v>
      </c>
      <c r="C1058" t="s">
        <v>136</v>
      </c>
      <c r="D1058" t="s">
        <v>2370</v>
      </c>
      <c r="E1058" t="s">
        <v>44</v>
      </c>
      <c r="F1058" t="s">
        <v>21</v>
      </c>
      <c r="H1058">
        <v>1</v>
      </c>
      <c r="I1058">
        <f t="shared" si="80"/>
        <v>1</v>
      </c>
      <c r="J1058" s="2">
        <f t="shared" si="81"/>
        <v>0.47599999999999998</v>
      </c>
      <c r="K1058">
        <f t="shared" si="82"/>
        <v>2.1008403361344539</v>
      </c>
      <c r="L1058" t="str">
        <f t="shared" si="83"/>
        <v>Funded</v>
      </c>
      <c r="M1058">
        <f t="shared" si="84"/>
        <v>0.74233742475071707</v>
      </c>
    </row>
    <row r="1059" spans="1:13" x14ac:dyDescent="0.25">
      <c r="A1059" t="s">
        <v>2371</v>
      </c>
      <c r="B1059" t="s">
        <v>125</v>
      </c>
      <c r="C1059" t="s">
        <v>2372</v>
      </c>
      <c r="D1059" t="s">
        <v>225</v>
      </c>
      <c r="E1059" t="s">
        <v>10</v>
      </c>
      <c r="F1059" t="s">
        <v>11</v>
      </c>
      <c r="H1059">
        <v>1</v>
      </c>
      <c r="I1059">
        <f t="shared" si="80"/>
        <v>1</v>
      </c>
      <c r="J1059" s="2">
        <f t="shared" si="81"/>
        <v>9.4E-2</v>
      </c>
      <c r="K1059">
        <f t="shared" si="82"/>
        <v>10.638297872340425</v>
      </c>
      <c r="L1059" t="str">
        <f t="shared" si="83"/>
        <v>Funded</v>
      </c>
      <c r="M1059">
        <f t="shared" si="84"/>
        <v>2.364460496712133</v>
      </c>
    </row>
    <row r="1060" spans="1:13" x14ac:dyDescent="0.25">
      <c r="A1060" t="s">
        <v>2373</v>
      </c>
      <c r="B1060" t="s">
        <v>125</v>
      </c>
      <c r="C1060" t="s">
        <v>1875</v>
      </c>
      <c r="D1060" t="s">
        <v>2374</v>
      </c>
      <c r="E1060" t="s">
        <v>10</v>
      </c>
      <c r="F1060" t="s">
        <v>11</v>
      </c>
      <c r="H1060">
        <v>1</v>
      </c>
      <c r="I1060">
        <f t="shared" si="80"/>
        <v>1</v>
      </c>
      <c r="J1060" s="2">
        <f t="shared" si="81"/>
        <v>0.1</v>
      </c>
      <c r="K1060">
        <f t="shared" si="82"/>
        <v>10</v>
      </c>
      <c r="L1060" t="str">
        <f t="shared" si="83"/>
        <v>Funded</v>
      </c>
      <c r="M1060">
        <f t="shared" si="84"/>
        <v>2.3025850929940459</v>
      </c>
    </row>
    <row r="1061" spans="1:13" x14ac:dyDescent="0.25">
      <c r="A1061" t="s">
        <v>2375</v>
      </c>
      <c r="B1061" t="s">
        <v>125</v>
      </c>
      <c r="C1061" t="s">
        <v>1968</v>
      </c>
      <c r="D1061" t="s">
        <v>2376</v>
      </c>
      <c r="E1061" t="s">
        <v>10</v>
      </c>
      <c r="F1061" t="s">
        <v>11</v>
      </c>
      <c r="H1061">
        <v>1</v>
      </c>
      <c r="I1061">
        <f t="shared" si="80"/>
        <v>1</v>
      </c>
      <c r="J1061" s="2">
        <f t="shared" si="81"/>
        <v>0.13800000000000001</v>
      </c>
      <c r="K1061">
        <f t="shared" si="82"/>
        <v>7.2463768115942022</v>
      </c>
      <c r="L1061" t="str">
        <f t="shared" si="83"/>
        <v>Funded</v>
      </c>
      <c r="M1061">
        <f t="shared" si="84"/>
        <v>1.9805015938249322</v>
      </c>
    </row>
    <row r="1062" spans="1:13" x14ac:dyDescent="0.25">
      <c r="A1062" t="s">
        <v>2377</v>
      </c>
      <c r="B1062" t="s">
        <v>125</v>
      </c>
      <c r="C1062" t="s">
        <v>1926</v>
      </c>
      <c r="D1062" t="s">
        <v>2378</v>
      </c>
      <c r="E1062" t="s">
        <v>10</v>
      </c>
      <c r="F1062" t="s">
        <v>11</v>
      </c>
      <c r="H1062">
        <v>1</v>
      </c>
      <c r="I1062">
        <f t="shared" si="80"/>
        <v>1</v>
      </c>
      <c r="J1062" s="2">
        <f t="shared" si="81"/>
        <v>0.27300000000000002</v>
      </c>
      <c r="K1062">
        <f t="shared" si="82"/>
        <v>3.6630036630036629</v>
      </c>
      <c r="L1062" t="str">
        <f t="shared" si="83"/>
        <v>Funded</v>
      </c>
      <c r="M1062">
        <f t="shared" si="84"/>
        <v>1.2982834837971773</v>
      </c>
    </row>
    <row r="1063" spans="1:13" x14ac:dyDescent="0.25">
      <c r="A1063" t="s">
        <v>2379</v>
      </c>
      <c r="B1063" t="s">
        <v>125</v>
      </c>
      <c r="C1063" t="s">
        <v>2380</v>
      </c>
      <c r="D1063" t="s">
        <v>1800</v>
      </c>
      <c r="E1063" t="s">
        <v>10</v>
      </c>
      <c r="F1063" t="s">
        <v>11</v>
      </c>
      <c r="H1063">
        <v>1</v>
      </c>
      <c r="I1063">
        <f t="shared" si="80"/>
        <v>1</v>
      </c>
      <c r="J1063" s="2">
        <f t="shared" si="81"/>
        <v>0.22900000000000001</v>
      </c>
      <c r="K1063">
        <f t="shared" si="82"/>
        <v>4.3668122270742353</v>
      </c>
      <c r="L1063" t="str">
        <f t="shared" si="83"/>
        <v>Funded</v>
      </c>
      <c r="M1063">
        <f t="shared" si="84"/>
        <v>1.4740332754278973</v>
      </c>
    </row>
    <row r="1064" spans="1:13" x14ac:dyDescent="0.25">
      <c r="A1064" t="s">
        <v>2381</v>
      </c>
      <c r="B1064" t="s">
        <v>125</v>
      </c>
      <c r="C1064" t="s">
        <v>1088</v>
      </c>
      <c r="D1064" t="s">
        <v>2382</v>
      </c>
      <c r="E1064" t="s">
        <v>350</v>
      </c>
      <c r="F1064" t="s">
        <v>21</v>
      </c>
      <c r="H1064">
        <v>1</v>
      </c>
      <c r="I1064">
        <f t="shared" si="80"/>
        <v>1</v>
      </c>
      <c r="J1064" s="2">
        <f t="shared" si="81"/>
        <v>0.26</v>
      </c>
      <c r="K1064">
        <f t="shared" si="82"/>
        <v>3.8461538461538458</v>
      </c>
      <c r="L1064" t="str">
        <f t="shared" si="83"/>
        <v>Funded</v>
      </c>
      <c r="M1064">
        <f t="shared" si="84"/>
        <v>1.3470736479666092</v>
      </c>
    </row>
    <row r="1065" spans="1:13" x14ac:dyDescent="0.25">
      <c r="A1065" t="s">
        <v>2383</v>
      </c>
      <c r="B1065" t="s">
        <v>125</v>
      </c>
      <c r="C1065" s="1">
        <v>0</v>
      </c>
      <c r="E1065" t="s">
        <v>10</v>
      </c>
      <c r="F1065" t="s">
        <v>11</v>
      </c>
      <c r="H1065">
        <v>1</v>
      </c>
      <c r="I1065">
        <f t="shared" si="80"/>
        <v>1</v>
      </c>
      <c r="J1065" s="2">
        <f t="shared" si="81"/>
        <v>0</v>
      </c>
      <c r="K1065" t="str">
        <f t="shared" si="82"/>
        <v/>
      </c>
      <c r="L1065" t="str">
        <f t="shared" si="83"/>
        <v>Bootstrapped</v>
      </c>
      <c r="M1065" t="str">
        <f t="shared" si="84"/>
        <v/>
      </c>
    </row>
    <row r="1066" spans="1:13" x14ac:dyDescent="0.25">
      <c r="A1066" t="s">
        <v>2384</v>
      </c>
      <c r="B1066" t="s">
        <v>125</v>
      </c>
      <c r="C1066" t="s">
        <v>936</v>
      </c>
      <c r="D1066" t="s">
        <v>500</v>
      </c>
      <c r="E1066" t="s">
        <v>10</v>
      </c>
      <c r="F1066" t="s">
        <v>11</v>
      </c>
      <c r="H1066">
        <v>1</v>
      </c>
      <c r="I1066">
        <f t="shared" si="80"/>
        <v>1</v>
      </c>
      <c r="J1066" s="2">
        <f t="shared" si="81"/>
        <v>0.15</v>
      </c>
      <c r="K1066">
        <f t="shared" si="82"/>
        <v>6.666666666666667</v>
      </c>
      <c r="L1066" t="str">
        <f t="shared" si="83"/>
        <v>Funded</v>
      </c>
      <c r="M1066">
        <f t="shared" si="84"/>
        <v>1.8971199848858813</v>
      </c>
    </row>
    <row r="1067" spans="1:13" x14ac:dyDescent="0.25">
      <c r="A1067" t="s">
        <v>2385</v>
      </c>
      <c r="B1067" t="s">
        <v>125</v>
      </c>
      <c r="C1067" t="s">
        <v>1815</v>
      </c>
      <c r="D1067" t="s">
        <v>755</v>
      </c>
      <c r="E1067" t="s">
        <v>10</v>
      </c>
      <c r="F1067" t="s">
        <v>11</v>
      </c>
      <c r="H1067">
        <v>1</v>
      </c>
      <c r="I1067">
        <f t="shared" si="80"/>
        <v>1</v>
      </c>
      <c r="J1067" s="2">
        <f t="shared" si="81"/>
        <v>0.35299999999999998</v>
      </c>
      <c r="K1067">
        <f t="shared" si="82"/>
        <v>2.8328611898017</v>
      </c>
      <c r="L1067" t="str">
        <f t="shared" si="83"/>
        <v>Funded</v>
      </c>
      <c r="M1067">
        <f t="shared" si="84"/>
        <v>1.0412872220488403</v>
      </c>
    </row>
    <row r="1068" spans="1:13" x14ac:dyDescent="0.25">
      <c r="A1068" t="s">
        <v>2386</v>
      </c>
      <c r="B1068" t="s">
        <v>125</v>
      </c>
      <c r="C1068" t="s">
        <v>783</v>
      </c>
      <c r="D1068" t="s">
        <v>339</v>
      </c>
      <c r="E1068" t="s">
        <v>10</v>
      </c>
      <c r="F1068" t="s">
        <v>11</v>
      </c>
      <c r="H1068">
        <v>1</v>
      </c>
      <c r="I1068">
        <f t="shared" si="80"/>
        <v>1</v>
      </c>
      <c r="J1068" s="2">
        <f t="shared" si="81"/>
        <v>0.61399999999999999</v>
      </c>
      <c r="K1068">
        <f t="shared" si="82"/>
        <v>1.6286644951140066</v>
      </c>
      <c r="L1068" t="str">
        <f t="shared" si="83"/>
        <v>Funded</v>
      </c>
      <c r="M1068">
        <f t="shared" si="84"/>
        <v>0.48776035083499464</v>
      </c>
    </row>
    <row r="1069" spans="1:13" x14ac:dyDescent="0.25">
      <c r="A1069" t="s">
        <v>2387</v>
      </c>
      <c r="B1069" t="s">
        <v>125</v>
      </c>
      <c r="C1069" t="s">
        <v>1562</v>
      </c>
      <c r="D1069" t="s">
        <v>500</v>
      </c>
      <c r="E1069" t="s">
        <v>10</v>
      </c>
      <c r="F1069" t="s">
        <v>11</v>
      </c>
      <c r="H1069">
        <v>1</v>
      </c>
      <c r="I1069">
        <f t="shared" si="80"/>
        <v>1</v>
      </c>
      <c r="J1069" s="2">
        <f t="shared" si="81"/>
        <v>0.21199999999999999</v>
      </c>
      <c r="K1069">
        <f t="shared" si="82"/>
        <v>4.716981132075472</v>
      </c>
      <c r="L1069" t="str">
        <f t="shared" si="83"/>
        <v>Funded</v>
      </c>
      <c r="M1069">
        <f t="shared" si="84"/>
        <v>1.5511690043101247</v>
      </c>
    </row>
    <row r="1070" spans="1:13" x14ac:dyDescent="0.25">
      <c r="A1070" t="s">
        <v>2388</v>
      </c>
      <c r="B1070" t="s">
        <v>125</v>
      </c>
      <c r="C1070" t="s">
        <v>1717</v>
      </c>
      <c r="D1070" t="s">
        <v>2389</v>
      </c>
      <c r="E1070" t="s">
        <v>10</v>
      </c>
      <c r="F1070" t="s">
        <v>11</v>
      </c>
      <c r="H1070">
        <v>1</v>
      </c>
      <c r="I1070">
        <f t="shared" si="80"/>
        <v>1</v>
      </c>
      <c r="J1070" s="2">
        <f t="shared" si="81"/>
        <v>0.30199999999999999</v>
      </c>
      <c r="K1070">
        <f t="shared" si="82"/>
        <v>3.3112582781456954</v>
      </c>
      <c r="L1070" t="str">
        <f t="shared" si="83"/>
        <v>Funded</v>
      </c>
      <c r="M1070">
        <f t="shared" si="84"/>
        <v>1.1973282616072674</v>
      </c>
    </row>
    <row r="1071" spans="1:13" x14ac:dyDescent="0.25">
      <c r="A1071" t="s">
        <v>2390</v>
      </c>
      <c r="B1071" t="s">
        <v>125</v>
      </c>
      <c r="C1071" t="s">
        <v>2023</v>
      </c>
      <c r="D1071" t="s">
        <v>1074</v>
      </c>
      <c r="E1071" t="s">
        <v>10</v>
      </c>
      <c r="F1071" t="s">
        <v>11</v>
      </c>
      <c r="H1071">
        <v>1</v>
      </c>
      <c r="I1071">
        <f t="shared" si="80"/>
        <v>1</v>
      </c>
      <c r="J1071" s="2">
        <f t="shared" si="81"/>
        <v>0.115</v>
      </c>
      <c r="K1071">
        <f t="shared" si="82"/>
        <v>8.695652173913043</v>
      </c>
      <c r="L1071" t="str">
        <f t="shared" si="83"/>
        <v>Funded</v>
      </c>
      <c r="M1071">
        <f t="shared" si="84"/>
        <v>2.1628231506188871</v>
      </c>
    </row>
    <row r="1072" spans="1:13" x14ac:dyDescent="0.25">
      <c r="A1072" t="s">
        <v>2391</v>
      </c>
      <c r="B1072" t="s">
        <v>125</v>
      </c>
      <c r="C1072" t="s">
        <v>2062</v>
      </c>
      <c r="D1072" t="s">
        <v>2392</v>
      </c>
      <c r="E1072" t="s">
        <v>10</v>
      </c>
      <c r="F1072" t="s">
        <v>11</v>
      </c>
      <c r="H1072">
        <v>1</v>
      </c>
      <c r="I1072">
        <f t="shared" si="80"/>
        <v>1</v>
      </c>
      <c r="J1072" s="2">
        <f t="shared" si="81"/>
        <v>0.25700000000000001</v>
      </c>
      <c r="K1072">
        <f t="shared" si="82"/>
        <v>3.8910505836575875</v>
      </c>
      <c r="L1072" t="str">
        <f t="shared" si="83"/>
        <v>Funded</v>
      </c>
      <c r="M1072">
        <f t="shared" si="84"/>
        <v>1.3586791940869172</v>
      </c>
    </row>
    <row r="1073" spans="1:13" x14ac:dyDescent="0.25">
      <c r="A1073" t="s">
        <v>2393</v>
      </c>
      <c r="B1073" t="s">
        <v>125</v>
      </c>
      <c r="C1073" t="s">
        <v>1831</v>
      </c>
      <c r="E1073" t="s">
        <v>20</v>
      </c>
      <c r="F1073" t="s">
        <v>21</v>
      </c>
      <c r="H1073">
        <v>1</v>
      </c>
      <c r="I1073">
        <f t="shared" si="80"/>
        <v>1</v>
      </c>
      <c r="J1073" s="2">
        <f t="shared" si="81"/>
        <v>0.378</v>
      </c>
      <c r="K1073">
        <f t="shared" si="82"/>
        <v>2.6455026455026456</v>
      </c>
      <c r="L1073" t="str">
        <f t="shared" si="83"/>
        <v>Funded</v>
      </c>
      <c r="M1073">
        <f t="shared" si="84"/>
        <v>0.97286108336254939</v>
      </c>
    </row>
    <row r="1074" spans="1:13" x14ac:dyDescent="0.25">
      <c r="A1074" t="s">
        <v>2394</v>
      </c>
      <c r="B1074" t="s">
        <v>125</v>
      </c>
      <c r="C1074" t="s">
        <v>1650</v>
      </c>
      <c r="D1074" t="s">
        <v>2395</v>
      </c>
      <c r="E1074" t="s">
        <v>10</v>
      </c>
      <c r="F1074" t="s">
        <v>11</v>
      </c>
      <c r="H1074">
        <v>1</v>
      </c>
      <c r="I1074">
        <f t="shared" si="80"/>
        <v>1</v>
      </c>
      <c r="J1074" s="2">
        <f t="shared" si="81"/>
        <v>0.161</v>
      </c>
      <c r="K1074">
        <f t="shared" si="82"/>
        <v>6.2111801242236027</v>
      </c>
      <c r="L1074" t="str">
        <f t="shared" si="83"/>
        <v>Funded</v>
      </c>
      <c r="M1074">
        <f t="shared" si="84"/>
        <v>1.8263509139976741</v>
      </c>
    </row>
    <row r="1075" spans="1:13" x14ac:dyDescent="0.25">
      <c r="A1075" t="s">
        <v>2396</v>
      </c>
      <c r="B1075" t="s">
        <v>125</v>
      </c>
      <c r="C1075" t="s">
        <v>47</v>
      </c>
      <c r="D1075" t="s">
        <v>2397</v>
      </c>
      <c r="E1075" t="s">
        <v>20</v>
      </c>
      <c r="F1075" t="s">
        <v>21</v>
      </c>
      <c r="H1075">
        <v>1</v>
      </c>
      <c r="I1075">
        <f t="shared" si="80"/>
        <v>1</v>
      </c>
      <c r="J1075" s="2">
        <f t="shared" si="81"/>
        <v>2</v>
      </c>
      <c r="K1075">
        <f t="shared" si="82"/>
        <v>0.5</v>
      </c>
      <c r="L1075" t="str">
        <f t="shared" si="83"/>
        <v>Funded</v>
      </c>
      <c r="M1075">
        <f t="shared" si="84"/>
        <v>-0.69314718055994529</v>
      </c>
    </row>
    <row r="1076" spans="1:13" x14ac:dyDescent="0.25">
      <c r="A1076" t="s">
        <v>2398</v>
      </c>
      <c r="B1076" t="s">
        <v>125</v>
      </c>
      <c r="C1076" t="s">
        <v>1994</v>
      </c>
      <c r="D1076" t="s">
        <v>1053</v>
      </c>
      <c r="E1076" t="s">
        <v>44</v>
      </c>
      <c r="F1076" t="s">
        <v>21</v>
      </c>
      <c r="H1076">
        <v>1</v>
      </c>
      <c r="I1076">
        <f t="shared" si="80"/>
        <v>1</v>
      </c>
      <c r="J1076" s="2">
        <f t="shared" si="81"/>
        <v>0.184</v>
      </c>
      <c r="K1076">
        <f t="shared" si="82"/>
        <v>5.4347826086956523</v>
      </c>
      <c r="L1076" t="str">
        <f t="shared" si="83"/>
        <v>Funded</v>
      </c>
      <c r="M1076">
        <f t="shared" si="84"/>
        <v>1.6928195213731514</v>
      </c>
    </row>
    <row r="1077" spans="1:13" x14ac:dyDescent="0.25">
      <c r="A1077" t="s">
        <v>2399</v>
      </c>
      <c r="B1077" t="s">
        <v>125</v>
      </c>
      <c r="C1077" t="s">
        <v>2349</v>
      </c>
      <c r="D1077" t="s">
        <v>563</v>
      </c>
      <c r="E1077" t="s">
        <v>20</v>
      </c>
      <c r="F1077" t="s">
        <v>21</v>
      </c>
      <c r="H1077">
        <v>1</v>
      </c>
      <c r="I1077">
        <f t="shared" si="80"/>
        <v>1</v>
      </c>
      <c r="J1077" s="2">
        <f t="shared" si="81"/>
        <v>0.16600000000000001</v>
      </c>
      <c r="K1077">
        <f t="shared" si="82"/>
        <v>6.0240963855421681</v>
      </c>
      <c r="L1077" t="str">
        <f t="shared" si="83"/>
        <v>Funded</v>
      </c>
      <c r="M1077">
        <f t="shared" si="84"/>
        <v>1.7957674906255938</v>
      </c>
    </row>
    <row r="1078" spans="1:13" x14ac:dyDescent="0.25">
      <c r="A1078" t="s">
        <v>2400</v>
      </c>
      <c r="B1078" t="s">
        <v>125</v>
      </c>
      <c r="C1078" t="s">
        <v>2401</v>
      </c>
      <c r="D1078" t="s">
        <v>576</v>
      </c>
      <c r="E1078" t="s">
        <v>10</v>
      </c>
      <c r="F1078" t="s">
        <v>11</v>
      </c>
      <c r="H1078">
        <v>1</v>
      </c>
      <c r="I1078">
        <f t="shared" si="80"/>
        <v>1</v>
      </c>
      <c r="J1078" s="2">
        <f t="shared" si="81"/>
        <v>0.191</v>
      </c>
      <c r="K1078">
        <f t="shared" si="82"/>
        <v>5.2356020942408374</v>
      </c>
      <c r="L1078" t="str">
        <f t="shared" si="83"/>
        <v>Funded</v>
      </c>
      <c r="M1078">
        <f t="shared" si="84"/>
        <v>1.6554818509355071</v>
      </c>
    </row>
    <row r="1079" spans="1:13" x14ac:dyDescent="0.25">
      <c r="A1079" t="s">
        <v>2402</v>
      </c>
      <c r="B1079" t="s">
        <v>125</v>
      </c>
      <c r="C1079" t="s">
        <v>544</v>
      </c>
      <c r="D1079" t="s">
        <v>2403</v>
      </c>
      <c r="E1079" t="s">
        <v>44</v>
      </c>
      <c r="F1079" t="s">
        <v>21</v>
      </c>
      <c r="H1079">
        <v>1</v>
      </c>
      <c r="I1079">
        <f t="shared" si="80"/>
        <v>1</v>
      </c>
      <c r="J1079" s="2">
        <f t="shared" si="81"/>
        <v>0.19900000000000001</v>
      </c>
      <c r="K1079">
        <f t="shared" si="82"/>
        <v>5.0251256281407031</v>
      </c>
      <c r="L1079" t="str">
        <f t="shared" si="83"/>
        <v>Funded</v>
      </c>
      <c r="M1079">
        <f t="shared" si="84"/>
        <v>1.6144504542576446</v>
      </c>
    </row>
    <row r="1080" spans="1:13" x14ac:dyDescent="0.25">
      <c r="A1080" t="s">
        <v>2404</v>
      </c>
      <c r="B1080" t="s">
        <v>125</v>
      </c>
      <c r="C1080" t="s">
        <v>2405</v>
      </c>
      <c r="D1080" t="s">
        <v>2003</v>
      </c>
      <c r="E1080" t="s">
        <v>10</v>
      </c>
      <c r="F1080" t="s">
        <v>11</v>
      </c>
      <c r="H1080">
        <v>1</v>
      </c>
      <c r="I1080">
        <f t="shared" si="80"/>
        <v>1</v>
      </c>
      <c r="J1080" s="2">
        <f t="shared" si="81"/>
        <v>0.34699999999999998</v>
      </c>
      <c r="K1080">
        <f t="shared" si="82"/>
        <v>2.8818443804034586</v>
      </c>
      <c r="L1080" t="str">
        <f t="shared" si="83"/>
        <v>Funded</v>
      </c>
      <c r="M1080">
        <f t="shared" si="84"/>
        <v>1.058430499035278</v>
      </c>
    </row>
    <row r="1081" spans="1:13" x14ac:dyDescent="0.25">
      <c r="A1081" t="s">
        <v>2406</v>
      </c>
      <c r="B1081" t="s">
        <v>125</v>
      </c>
      <c r="C1081" t="s">
        <v>694</v>
      </c>
      <c r="D1081" t="s">
        <v>1361</v>
      </c>
      <c r="E1081" t="s">
        <v>10</v>
      </c>
      <c r="F1081" t="s">
        <v>11</v>
      </c>
      <c r="H1081">
        <v>1</v>
      </c>
      <c r="I1081">
        <f t="shared" si="80"/>
        <v>1</v>
      </c>
      <c r="J1081" s="2">
        <f t="shared" si="81"/>
        <v>0.33700000000000002</v>
      </c>
      <c r="K1081">
        <f t="shared" si="82"/>
        <v>2.9673590504451037</v>
      </c>
      <c r="L1081" t="str">
        <f t="shared" si="83"/>
        <v>Funded</v>
      </c>
      <c r="M1081">
        <f t="shared" si="84"/>
        <v>1.0876723486297752</v>
      </c>
    </row>
    <row r="1082" spans="1:13" x14ac:dyDescent="0.25">
      <c r="A1082" t="s">
        <v>2407</v>
      </c>
      <c r="B1082" t="s">
        <v>125</v>
      </c>
      <c r="C1082" t="s">
        <v>878</v>
      </c>
      <c r="D1082" t="s">
        <v>576</v>
      </c>
      <c r="E1082" t="s">
        <v>787</v>
      </c>
      <c r="F1082" t="s">
        <v>50</v>
      </c>
      <c r="H1082">
        <v>1</v>
      </c>
      <c r="I1082">
        <f t="shared" si="80"/>
        <v>1</v>
      </c>
      <c r="J1082" s="2">
        <f t="shared" si="81"/>
        <v>0.157</v>
      </c>
      <c r="K1082">
        <f t="shared" si="82"/>
        <v>6.369426751592357</v>
      </c>
      <c r="L1082" t="str">
        <f t="shared" si="83"/>
        <v>Funded</v>
      </c>
      <c r="M1082">
        <f t="shared" si="84"/>
        <v>1.8515094736338291</v>
      </c>
    </row>
    <row r="1083" spans="1:13" x14ac:dyDescent="0.25">
      <c r="A1083" t="s">
        <v>2408</v>
      </c>
      <c r="B1083" t="s">
        <v>125</v>
      </c>
      <c r="C1083" t="s">
        <v>2062</v>
      </c>
      <c r="D1083" t="s">
        <v>2409</v>
      </c>
      <c r="E1083" t="s">
        <v>10</v>
      </c>
      <c r="F1083" t="s">
        <v>11</v>
      </c>
      <c r="H1083">
        <v>1</v>
      </c>
      <c r="I1083">
        <f t="shared" si="80"/>
        <v>1</v>
      </c>
      <c r="J1083" s="2">
        <f t="shared" si="81"/>
        <v>0.25700000000000001</v>
      </c>
      <c r="K1083">
        <f t="shared" si="82"/>
        <v>3.8910505836575875</v>
      </c>
      <c r="L1083" t="str">
        <f t="shared" si="83"/>
        <v>Funded</v>
      </c>
      <c r="M1083">
        <f t="shared" si="84"/>
        <v>1.3586791940869172</v>
      </c>
    </row>
    <row r="1084" spans="1:13" x14ac:dyDescent="0.25">
      <c r="A1084" t="s">
        <v>2410</v>
      </c>
      <c r="B1084" t="s">
        <v>125</v>
      </c>
      <c r="C1084" t="s">
        <v>298</v>
      </c>
      <c r="D1084" t="s">
        <v>576</v>
      </c>
      <c r="E1084" t="s">
        <v>20</v>
      </c>
      <c r="F1084" t="s">
        <v>21</v>
      </c>
      <c r="H1084">
        <v>1</v>
      </c>
      <c r="I1084">
        <f t="shared" si="80"/>
        <v>1</v>
      </c>
      <c r="J1084" s="2">
        <f t="shared" si="81"/>
        <v>0.59399999999999997</v>
      </c>
      <c r="K1084">
        <f t="shared" si="82"/>
        <v>1.6835016835016836</v>
      </c>
      <c r="L1084" t="str">
        <f t="shared" si="83"/>
        <v>Funded</v>
      </c>
      <c r="M1084">
        <f t="shared" si="84"/>
        <v>0.52087595961949218</v>
      </c>
    </row>
    <row r="1085" spans="1:13" x14ac:dyDescent="0.25">
      <c r="A1085" t="s">
        <v>2411</v>
      </c>
      <c r="B1085" t="s">
        <v>125</v>
      </c>
      <c r="C1085" t="s">
        <v>125</v>
      </c>
      <c r="D1085" t="s">
        <v>1843</v>
      </c>
      <c r="E1085" t="s">
        <v>10</v>
      </c>
      <c r="F1085" t="s">
        <v>11</v>
      </c>
      <c r="H1085">
        <v>1</v>
      </c>
      <c r="I1085">
        <f t="shared" si="80"/>
        <v>1</v>
      </c>
      <c r="J1085" s="2">
        <f t="shared" si="81"/>
        <v>1</v>
      </c>
      <c r="K1085">
        <f t="shared" si="82"/>
        <v>1</v>
      </c>
      <c r="L1085" t="str">
        <f t="shared" si="83"/>
        <v>Funded</v>
      </c>
      <c r="M1085">
        <f t="shared" si="84"/>
        <v>0</v>
      </c>
    </row>
    <row r="1086" spans="1:13" x14ac:dyDescent="0.25">
      <c r="A1086" t="s">
        <v>2412</v>
      </c>
      <c r="B1086" t="s">
        <v>125</v>
      </c>
      <c r="C1086" t="s">
        <v>1774</v>
      </c>
      <c r="D1086" t="s">
        <v>1146</v>
      </c>
      <c r="E1086" t="s">
        <v>10</v>
      </c>
      <c r="F1086" t="s">
        <v>11</v>
      </c>
      <c r="H1086">
        <v>1</v>
      </c>
      <c r="I1086">
        <f t="shared" si="80"/>
        <v>1</v>
      </c>
      <c r="J1086" s="2">
        <f t="shared" si="81"/>
        <v>0.32500000000000001</v>
      </c>
      <c r="K1086">
        <f t="shared" si="82"/>
        <v>3.0769230769230766</v>
      </c>
      <c r="L1086" t="str">
        <f t="shared" si="83"/>
        <v>Funded</v>
      </c>
      <c r="M1086">
        <f t="shared" si="84"/>
        <v>1.1239300966523995</v>
      </c>
    </row>
    <row r="1087" spans="1:13" x14ac:dyDescent="0.25">
      <c r="A1087" t="s">
        <v>2413</v>
      </c>
      <c r="B1087" t="s">
        <v>125</v>
      </c>
      <c r="C1087" t="s">
        <v>2155</v>
      </c>
      <c r="D1087" t="s">
        <v>2414</v>
      </c>
      <c r="E1087" t="s">
        <v>10</v>
      </c>
      <c r="F1087" t="s">
        <v>11</v>
      </c>
      <c r="H1087">
        <v>1</v>
      </c>
      <c r="I1087">
        <f t="shared" si="80"/>
        <v>1</v>
      </c>
      <c r="J1087" s="2">
        <f t="shared" si="81"/>
        <v>0.16500000000000001</v>
      </c>
      <c r="K1087">
        <f t="shared" si="82"/>
        <v>6.0606060606060606</v>
      </c>
      <c r="L1087" t="str">
        <f t="shared" si="83"/>
        <v>Funded</v>
      </c>
      <c r="M1087">
        <f t="shared" si="84"/>
        <v>1.8018098050815565</v>
      </c>
    </row>
    <row r="1088" spans="1:13" x14ac:dyDescent="0.25">
      <c r="A1088" t="s">
        <v>2415</v>
      </c>
      <c r="B1088" t="s">
        <v>125</v>
      </c>
      <c r="C1088" t="s">
        <v>2416</v>
      </c>
      <c r="D1088" t="s">
        <v>322</v>
      </c>
      <c r="E1088" t="s">
        <v>10</v>
      </c>
      <c r="F1088" t="s">
        <v>11</v>
      </c>
      <c r="H1088">
        <v>1</v>
      </c>
      <c r="I1088">
        <f t="shared" si="80"/>
        <v>1</v>
      </c>
      <c r="J1088" s="2">
        <f t="shared" si="81"/>
        <v>0.13200000000000001</v>
      </c>
      <c r="K1088">
        <f t="shared" si="82"/>
        <v>7.5757575757575752</v>
      </c>
      <c r="L1088" t="str">
        <f t="shared" si="83"/>
        <v>Funded</v>
      </c>
      <c r="M1088">
        <f t="shared" si="84"/>
        <v>2.0249533563957662</v>
      </c>
    </row>
    <row r="1089" spans="1:13" x14ac:dyDescent="0.25">
      <c r="A1089" t="s">
        <v>2417</v>
      </c>
      <c r="B1089" t="s">
        <v>125</v>
      </c>
      <c r="C1089" t="s">
        <v>1851</v>
      </c>
      <c r="D1089" t="s">
        <v>1753</v>
      </c>
      <c r="E1089" t="s">
        <v>20</v>
      </c>
      <c r="F1089" t="s">
        <v>21</v>
      </c>
      <c r="H1089">
        <v>1</v>
      </c>
      <c r="I1089">
        <f t="shared" si="80"/>
        <v>1</v>
      </c>
      <c r="J1089" s="2">
        <f t="shared" si="81"/>
        <v>0.20399999999999999</v>
      </c>
      <c r="K1089">
        <f t="shared" si="82"/>
        <v>4.9019607843137258</v>
      </c>
      <c r="L1089" t="str">
        <f t="shared" si="83"/>
        <v>Funded</v>
      </c>
      <c r="M1089">
        <f t="shared" si="84"/>
        <v>1.5896352851379207</v>
      </c>
    </row>
    <row r="1090" spans="1:13" x14ac:dyDescent="0.25">
      <c r="A1090" t="s">
        <v>2418</v>
      </c>
      <c r="B1090" t="s">
        <v>125</v>
      </c>
      <c r="C1090" t="s">
        <v>997</v>
      </c>
      <c r="D1090" t="s">
        <v>2419</v>
      </c>
      <c r="E1090" t="s">
        <v>10</v>
      </c>
      <c r="F1090" t="s">
        <v>11</v>
      </c>
      <c r="H1090">
        <v>1</v>
      </c>
      <c r="I1090">
        <f t="shared" si="80"/>
        <v>1</v>
      </c>
      <c r="J1090" s="2">
        <f t="shared" si="81"/>
        <v>0.31900000000000001</v>
      </c>
      <c r="K1090">
        <f t="shared" si="82"/>
        <v>3.134796238244514</v>
      </c>
      <c r="L1090" t="str">
        <f t="shared" si="83"/>
        <v>Funded</v>
      </c>
      <c r="M1090">
        <f t="shared" si="84"/>
        <v>1.1425641761972924</v>
      </c>
    </row>
    <row r="1091" spans="1:13" x14ac:dyDescent="0.25">
      <c r="A1091" t="s">
        <v>2420</v>
      </c>
      <c r="B1091" t="s">
        <v>125</v>
      </c>
      <c r="C1091" t="s">
        <v>1756</v>
      </c>
      <c r="D1091" t="s">
        <v>2421</v>
      </c>
      <c r="E1091" t="s">
        <v>10</v>
      </c>
      <c r="F1091" t="s">
        <v>11</v>
      </c>
      <c r="H1091">
        <v>1</v>
      </c>
      <c r="I1091">
        <f t="shared" ref="I1091:I1154" si="85">IF(B1091="","",
VALUE(SUBSTITUTE(SUBSTITUTE(B1091,"$",""),"B","")))</f>
        <v>1</v>
      </c>
      <c r="J1091" s="2">
        <f t="shared" ref="J1091:J1154" si="86">IF(C1091="","",
IF(C1091="$0",0,
IF(RIGHT(C1091,1)="B",
VALUE(SUBSTITUTE(SUBSTITUTE(C1091,"$",""),"B","")),
IF(RIGHT(C1091,1)="M",
VALUE(SUBSTITUTE(SUBSTITUTE(C1091,"$",""),"M",""))/1000,
IF(RIGHT(C1091,1)="K",
VALUE(SUBSTITUTE(SUBSTITUTE(C1091,"$",""),"K",""))/1000000,
VALUE(SUBSTITUTE(C1091,"$",""))
)))))</f>
        <v>0.30499999999999999</v>
      </c>
      <c r="K1091">
        <f t="shared" ref="K1091:K1154" si="87">IF(J1091&gt;0,I1091/J1091,"")</f>
        <v>3.278688524590164</v>
      </c>
      <c r="L1091" t="str">
        <f t="shared" ref="L1091:L1154" si="88">IF(J1091=0,"Bootstrapped","Funded")</f>
        <v>Funded</v>
      </c>
      <c r="M1091">
        <f t="shared" ref="M1091:M1154" si="89">IF(AND(I1091&gt;0,J1091&gt;0),LN(I1091/J1091),"")</f>
        <v>1.1874435023747254</v>
      </c>
    </row>
    <row r="1092" spans="1:13" x14ac:dyDescent="0.25">
      <c r="A1092" t="s">
        <v>2422</v>
      </c>
      <c r="B1092" t="s">
        <v>125</v>
      </c>
      <c r="C1092" t="s">
        <v>2423</v>
      </c>
      <c r="D1092" t="s">
        <v>1911</v>
      </c>
      <c r="E1092" t="s">
        <v>10</v>
      </c>
      <c r="F1092" t="s">
        <v>11</v>
      </c>
      <c r="H1092">
        <v>1</v>
      </c>
      <c r="I1092">
        <f t="shared" si="85"/>
        <v>1</v>
      </c>
      <c r="J1092" s="2">
        <f t="shared" si="86"/>
        <v>0.16</v>
      </c>
      <c r="K1092">
        <f t="shared" si="87"/>
        <v>6.25</v>
      </c>
      <c r="L1092" t="str">
        <f t="shared" si="88"/>
        <v>Funded</v>
      </c>
      <c r="M1092">
        <f t="shared" si="89"/>
        <v>1.8325814637483102</v>
      </c>
    </row>
    <row r="1093" spans="1:13" x14ac:dyDescent="0.25">
      <c r="A1093" t="s">
        <v>2424</v>
      </c>
      <c r="B1093" t="s">
        <v>125</v>
      </c>
      <c r="C1093" t="s">
        <v>628</v>
      </c>
      <c r="D1093" t="s">
        <v>2425</v>
      </c>
      <c r="E1093" t="s">
        <v>10</v>
      </c>
      <c r="F1093" t="s">
        <v>11</v>
      </c>
      <c r="H1093">
        <v>1</v>
      </c>
      <c r="I1093">
        <f t="shared" si="85"/>
        <v>1</v>
      </c>
      <c r="J1093" s="2">
        <f t="shared" si="86"/>
        <v>0.17</v>
      </c>
      <c r="K1093">
        <f t="shared" si="87"/>
        <v>5.8823529411764701</v>
      </c>
      <c r="L1093" t="str">
        <f t="shared" si="88"/>
        <v>Funded</v>
      </c>
      <c r="M1093">
        <f t="shared" si="89"/>
        <v>1.7719568419318752</v>
      </c>
    </row>
    <row r="1094" spans="1:13" x14ac:dyDescent="0.25">
      <c r="A1094" t="s">
        <v>2426</v>
      </c>
      <c r="B1094" t="s">
        <v>125</v>
      </c>
      <c r="C1094" t="s">
        <v>1404</v>
      </c>
      <c r="D1094" t="s">
        <v>2427</v>
      </c>
      <c r="E1094" t="s">
        <v>10</v>
      </c>
      <c r="F1094" t="s">
        <v>11</v>
      </c>
      <c r="H1094">
        <v>1</v>
      </c>
      <c r="I1094">
        <f t="shared" si="85"/>
        <v>1</v>
      </c>
      <c r="J1094" s="2">
        <f t="shared" si="86"/>
        <v>0.46</v>
      </c>
      <c r="K1094">
        <f t="shared" si="87"/>
        <v>2.1739130434782608</v>
      </c>
      <c r="L1094" t="str">
        <f t="shared" si="88"/>
        <v>Funded</v>
      </c>
      <c r="M1094">
        <f t="shared" si="89"/>
        <v>0.77652878949899629</v>
      </c>
    </row>
    <row r="1095" spans="1:13" x14ac:dyDescent="0.25">
      <c r="A1095" t="s">
        <v>2428</v>
      </c>
      <c r="B1095" t="s">
        <v>125</v>
      </c>
      <c r="C1095" t="s">
        <v>1994</v>
      </c>
      <c r="D1095" t="s">
        <v>292</v>
      </c>
      <c r="E1095" t="s">
        <v>10</v>
      </c>
      <c r="F1095" t="s">
        <v>11</v>
      </c>
      <c r="H1095">
        <v>1</v>
      </c>
      <c r="I1095">
        <f t="shared" si="85"/>
        <v>1</v>
      </c>
      <c r="J1095" s="2">
        <f t="shared" si="86"/>
        <v>0.184</v>
      </c>
      <c r="K1095">
        <f t="shared" si="87"/>
        <v>5.4347826086956523</v>
      </c>
      <c r="L1095" t="str">
        <f t="shared" si="88"/>
        <v>Funded</v>
      </c>
      <c r="M1095">
        <f t="shared" si="89"/>
        <v>1.6928195213731514</v>
      </c>
    </row>
    <row r="1096" spans="1:13" x14ac:dyDescent="0.25">
      <c r="A1096" t="s">
        <v>2429</v>
      </c>
      <c r="B1096" t="s">
        <v>125</v>
      </c>
      <c r="C1096" t="s">
        <v>2430</v>
      </c>
      <c r="D1096" t="s">
        <v>1068</v>
      </c>
      <c r="E1096" t="s">
        <v>10</v>
      </c>
      <c r="F1096" t="s">
        <v>11</v>
      </c>
      <c r="H1096">
        <v>1</v>
      </c>
      <c r="I1096">
        <f t="shared" si="85"/>
        <v>1</v>
      </c>
      <c r="J1096" s="2">
        <f t="shared" si="86"/>
        <v>0.20699999999999999</v>
      </c>
      <c r="K1096">
        <f t="shared" si="87"/>
        <v>4.8309178743961354</v>
      </c>
      <c r="L1096" t="str">
        <f t="shared" si="88"/>
        <v>Funded</v>
      </c>
      <c r="M1096">
        <f t="shared" si="89"/>
        <v>1.575036485716768</v>
      </c>
    </row>
    <row r="1097" spans="1:13" x14ac:dyDescent="0.25">
      <c r="A1097" t="s">
        <v>2431</v>
      </c>
      <c r="B1097" t="s">
        <v>125</v>
      </c>
      <c r="C1097" t="s">
        <v>2432</v>
      </c>
      <c r="D1097" t="s">
        <v>2433</v>
      </c>
      <c r="E1097" t="s">
        <v>44</v>
      </c>
      <c r="F1097" t="s">
        <v>21</v>
      </c>
      <c r="H1097">
        <v>1</v>
      </c>
      <c r="I1097">
        <f t="shared" si="85"/>
        <v>1</v>
      </c>
      <c r="J1097" s="2">
        <f t="shared" si="86"/>
        <v>4.5999999999999999E-2</v>
      </c>
      <c r="K1097">
        <f t="shared" si="87"/>
        <v>21.739130434782609</v>
      </c>
      <c r="L1097" t="str">
        <f t="shared" si="88"/>
        <v>Funded</v>
      </c>
      <c r="M1097">
        <f t="shared" si="89"/>
        <v>3.0791138824930422</v>
      </c>
    </row>
    <row r="1098" spans="1:13" x14ac:dyDescent="0.25">
      <c r="A1098" t="s">
        <v>2434</v>
      </c>
      <c r="B1098" t="s">
        <v>125</v>
      </c>
      <c r="C1098" t="s">
        <v>2435</v>
      </c>
      <c r="D1098" t="s">
        <v>120</v>
      </c>
      <c r="E1098" t="s">
        <v>10</v>
      </c>
      <c r="F1098" t="s">
        <v>11</v>
      </c>
      <c r="H1098">
        <v>1</v>
      </c>
      <c r="I1098">
        <f t="shared" si="85"/>
        <v>1</v>
      </c>
      <c r="J1098" s="2">
        <f t="shared" si="86"/>
        <v>0.29199999999999998</v>
      </c>
      <c r="K1098">
        <f t="shared" si="87"/>
        <v>3.4246575342465757</v>
      </c>
      <c r="L1098" t="str">
        <f t="shared" si="88"/>
        <v>Funded</v>
      </c>
      <c r="M1098">
        <f t="shared" si="89"/>
        <v>1.2310014767138555</v>
      </c>
    </row>
    <row r="1099" spans="1:13" x14ac:dyDescent="0.25">
      <c r="A1099" t="s">
        <v>2436</v>
      </c>
      <c r="B1099" t="s">
        <v>125</v>
      </c>
      <c r="C1099" t="s">
        <v>193</v>
      </c>
      <c r="D1099" t="s">
        <v>130</v>
      </c>
      <c r="E1099" t="s">
        <v>10</v>
      </c>
      <c r="F1099" t="s">
        <v>11</v>
      </c>
      <c r="H1099">
        <v>1</v>
      </c>
      <c r="I1099">
        <f t="shared" si="85"/>
        <v>1</v>
      </c>
      <c r="J1099" s="2">
        <f t="shared" si="86"/>
        <v>0.4</v>
      </c>
      <c r="K1099">
        <f t="shared" si="87"/>
        <v>2.5</v>
      </c>
      <c r="L1099" t="str">
        <f t="shared" si="88"/>
        <v>Funded</v>
      </c>
      <c r="M1099">
        <f t="shared" si="89"/>
        <v>0.91629073187415511</v>
      </c>
    </row>
    <row r="1100" spans="1:13" x14ac:dyDescent="0.25">
      <c r="A1100" t="s">
        <v>2437</v>
      </c>
      <c r="B1100" t="s">
        <v>125</v>
      </c>
      <c r="C1100" t="s">
        <v>1406</v>
      </c>
      <c r="D1100" t="s">
        <v>156</v>
      </c>
      <c r="E1100" t="s">
        <v>10</v>
      </c>
      <c r="F1100" t="s">
        <v>11</v>
      </c>
      <c r="H1100">
        <v>1</v>
      </c>
      <c r="I1100">
        <f t="shared" si="85"/>
        <v>1</v>
      </c>
      <c r="J1100" s="2">
        <f t="shared" si="86"/>
        <v>0.42199999999999999</v>
      </c>
      <c r="K1100">
        <f t="shared" si="87"/>
        <v>2.3696682464454977</v>
      </c>
      <c r="L1100" t="str">
        <f t="shared" si="88"/>
        <v>Funded</v>
      </c>
      <c r="M1100">
        <f t="shared" si="89"/>
        <v>0.86274996494612521</v>
      </c>
    </row>
    <row r="1101" spans="1:13" x14ac:dyDescent="0.25">
      <c r="A1101" t="s">
        <v>2438</v>
      </c>
      <c r="B1101" t="s">
        <v>125</v>
      </c>
      <c r="C1101" t="s">
        <v>2081</v>
      </c>
      <c r="D1101" t="s">
        <v>973</v>
      </c>
      <c r="E1101" t="s">
        <v>20</v>
      </c>
      <c r="F1101" t="s">
        <v>21</v>
      </c>
      <c r="H1101">
        <v>1</v>
      </c>
      <c r="I1101">
        <f t="shared" si="85"/>
        <v>1</v>
      </c>
      <c r="J1101" s="2">
        <f t="shared" si="86"/>
        <v>0.28000000000000003</v>
      </c>
      <c r="K1101">
        <f t="shared" si="87"/>
        <v>3.5714285714285712</v>
      </c>
      <c r="L1101" t="str">
        <f t="shared" si="88"/>
        <v>Funded</v>
      </c>
      <c r="M1101">
        <f t="shared" si="89"/>
        <v>1.2729656758128873</v>
      </c>
    </row>
    <row r="1102" spans="1:13" x14ac:dyDescent="0.25">
      <c r="A1102" t="s">
        <v>2439</v>
      </c>
      <c r="B1102" t="s">
        <v>125</v>
      </c>
      <c r="C1102" t="s">
        <v>1822</v>
      </c>
      <c r="D1102" t="s">
        <v>496</v>
      </c>
      <c r="E1102" t="s">
        <v>10</v>
      </c>
      <c r="F1102" t="s">
        <v>11</v>
      </c>
      <c r="H1102">
        <v>1</v>
      </c>
      <c r="I1102">
        <f t="shared" si="85"/>
        <v>1</v>
      </c>
      <c r="J1102" s="2">
        <f t="shared" si="86"/>
        <v>0.23699999999999999</v>
      </c>
      <c r="K1102">
        <f t="shared" si="87"/>
        <v>4.2194092827004219</v>
      </c>
      <c r="L1102" t="str">
        <f t="shared" si="88"/>
        <v>Funded</v>
      </c>
      <c r="M1102">
        <f t="shared" si="89"/>
        <v>1.4396951378470058</v>
      </c>
    </row>
    <row r="1103" spans="1:13" x14ac:dyDescent="0.25">
      <c r="A1103" t="s">
        <v>2440</v>
      </c>
      <c r="B1103" t="s">
        <v>125</v>
      </c>
      <c r="C1103" t="s">
        <v>2335</v>
      </c>
      <c r="E1103" t="s">
        <v>20</v>
      </c>
      <c r="F1103" t="s">
        <v>21</v>
      </c>
      <c r="H1103">
        <v>1</v>
      </c>
      <c r="I1103">
        <f t="shared" si="85"/>
        <v>1</v>
      </c>
      <c r="J1103" s="2">
        <f t="shared" si="86"/>
        <v>0.13</v>
      </c>
      <c r="K1103">
        <f t="shared" si="87"/>
        <v>7.6923076923076916</v>
      </c>
      <c r="L1103" t="str">
        <f t="shared" si="88"/>
        <v>Funded</v>
      </c>
      <c r="M1103">
        <f t="shared" si="89"/>
        <v>2.0402208285265546</v>
      </c>
    </row>
    <row r="1104" spans="1:13" x14ac:dyDescent="0.25">
      <c r="A1104" t="s">
        <v>2441</v>
      </c>
      <c r="B1104" t="s">
        <v>125</v>
      </c>
      <c r="C1104" t="s">
        <v>615</v>
      </c>
      <c r="D1104" t="s">
        <v>407</v>
      </c>
      <c r="E1104" t="s">
        <v>384</v>
      </c>
      <c r="F1104" t="s">
        <v>21</v>
      </c>
      <c r="H1104">
        <v>1</v>
      </c>
      <c r="I1104">
        <f t="shared" si="85"/>
        <v>1</v>
      </c>
      <c r="J1104" s="2">
        <f t="shared" si="86"/>
        <v>0.58499999999999996</v>
      </c>
      <c r="K1104">
        <f t="shared" si="87"/>
        <v>1.7094017094017095</v>
      </c>
      <c r="L1104" t="str">
        <f t="shared" si="88"/>
        <v>Funded</v>
      </c>
      <c r="M1104">
        <f t="shared" si="89"/>
        <v>0.53614343175028067</v>
      </c>
    </row>
    <row r="1105" spans="1:13" x14ac:dyDescent="0.25">
      <c r="A1105" t="s">
        <v>2442</v>
      </c>
      <c r="B1105" t="s">
        <v>125</v>
      </c>
      <c r="C1105" t="s">
        <v>931</v>
      </c>
      <c r="D1105" t="s">
        <v>130</v>
      </c>
      <c r="E1105" t="s">
        <v>10</v>
      </c>
      <c r="F1105" t="s">
        <v>11</v>
      </c>
      <c r="H1105">
        <v>1</v>
      </c>
      <c r="I1105">
        <f t="shared" si="85"/>
        <v>1</v>
      </c>
      <c r="J1105" s="2">
        <f t="shared" si="86"/>
        <v>0.41399999999999998</v>
      </c>
      <c r="K1105">
        <f t="shared" si="87"/>
        <v>2.4154589371980677</v>
      </c>
      <c r="L1105" t="str">
        <f t="shared" si="88"/>
        <v>Funded</v>
      </c>
      <c r="M1105">
        <f t="shared" si="89"/>
        <v>0.88188930515682273</v>
      </c>
    </row>
    <row r="1106" spans="1:13" x14ac:dyDescent="0.25">
      <c r="A1106" t="s">
        <v>2443</v>
      </c>
      <c r="B1106" t="s">
        <v>125</v>
      </c>
      <c r="C1106" t="s">
        <v>2012</v>
      </c>
      <c r="D1106" t="s">
        <v>2444</v>
      </c>
      <c r="E1106" t="s">
        <v>384</v>
      </c>
      <c r="F1106" t="s">
        <v>21</v>
      </c>
      <c r="H1106">
        <v>1</v>
      </c>
      <c r="I1106">
        <f t="shared" si="85"/>
        <v>1</v>
      </c>
      <c r="J1106" s="2">
        <f t="shared" si="86"/>
        <v>0.18099999999999999</v>
      </c>
      <c r="K1106">
        <f t="shared" si="87"/>
        <v>5.5248618784530388</v>
      </c>
      <c r="L1106" t="str">
        <f t="shared" si="88"/>
        <v>Funded</v>
      </c>
      <c r="M1106">
        <f t="shared" si="89"/>
        <v>1.7092582477163114</v>
      </c>
    </row>
    <row r="1107" spans="1:13" x14ac:dyDescent="0.25">
      <c r="A1107" t="s">
        <v>2445</v>
      </c>
      <c r="B1107" t="s">
        <v>125</v>
      </c>
      <c r="C1107" t="s">
        <v>2446</v>
      </c>
      <c r="D1107" t="s">
        <v>2447</v>
      </c>
      <c r="E1107" t="s">
        <v>49</v>
      </c>
      <c r="F1107" t="s">
        <v>50</v>
      </c>
      <c r="H1107">
        <v>1</v>
      </c>
      <c r="I1107">
        <f t="shared" si="85"/>
        <v>1</v>
      </c>
      <c r="J1107" s="2">
        <f t="shared" si="86"/>
        <v>0.188</v>
      </c>
      <c r="K1107">
        <f t="shared" si="87"/>
        <v>5.3191489361702127</v>
      </c>
      <c r="L1107" t="str">
        <f t="shared" si="88"/>
        <v>Funded</v>
      </c>
      <c r="M1107">
        <f t="shared" si="89"/>
        <v>1.6713133161521878</v>
      </c>
    </row>
    <row r="1108" spans="1:13" x14ac:dyDescent="0.25">
      <c r="A1108" t="s">
        <v>2448</v>
      </c>
      <c r="B1108" t="s">
        <v>125</v>
      </c>
      <c r="C1108" t="s">
        <v>2446</v>
      </c>
      <c r="D1108" t="s">
        <v>130</v>
      </c>
      <c r="E1108" t="s">
        <v>44</v>
      </c>
      <c r="F1108" t="s">
        <v>21</v>
      </c>
      <c r="H1108">
        <v>1</v>
      </c>
      <c r="I1108">
        <f t="shared" si="85"/>
        <v>1</v>
      </c>
      <c r="J1108" s="2">
        <f t="shared" si="86"/>
        <v>0.188</v>
      </c>
      <c r="K1108">
        <f t="shared" si="87"/>
        <v>5.3191489361702127</v>
      </c>
      <c r="L1108" t="str">
        <f t="shared" si="88"/>
        <v>Funded</v>
      </c>
      <c r="M1108">
        <f t="shared" si="89"/>
        <v>1.6713133161521878</v>
      </c>
    </row>
    <row r="1109" spans="1:13" x14ac:dyDescent="0.25">
      <c r="A1109" t="s">
        <v>2449</v>
      </c>
      <c r="B1109" t="s">
        <v>125</v>
      </c>
      <c r="C1109" t="s">
        <v>1017</v>
      </c>
      <c r="D1109" t="s">
        <v>2450</v>
      </c>
      <c r="E1109" t="s">
        <v>384</v>
      </c>
      <c r="F1109" t="s">
        <v>21</v>
      </c>
      <c r="H1109">
        <v>1</v>
      </c>
      <c r="I1109">
        <f t="shared" si="85"/>
        <v>1</v>
      </c>
      <c r="J1109" s="2">
        <f t="shared" si="86"/>
        <v>8.9999999999999993E-3</v>
      </c>
      <c r="K1109">
        <f t="shared" si="87"/>
        <v>111.11111111111111</v>
      </c>
      <c r="L1109" t="str">
        <f t="shared" si="88"/>
        <v>Funded</v>
      </c>
      <c r="M1109">
        <f t="shared" si="89"/>
        <v>4.7105307016459177</v>
      </c>
    </row>
    <row r="1110" spans="1:13" x14ac:dyDescent="0.25">
      <c r="A1110" t="s">
        <v>2451</v>
      </c>
      <c r="B1110" t="s">
        <v>125</v>
      </c>
      <c r="C1110" t="s">
        <v>1650</v>
      </c>
      <c r="D1110" t="s">
        <v>2452</v>
      </c>
      <c r="E1110" t="s">
        <v>10</v>
      </c>
      <c r="F1110" t="s">
        <v>11</v>
      </c>
      <c r="H1110">
        <v>1</v>
      </c>
      <c r="I1110">
        <f t="shared" si="85"/>
        <v>1</v>
      </c>
      <c r="J1110" s="2">
        <f t="shared" si="86"/>
        <v>0.161</v>
      </c>
      <c r="K1110">
        <f t="shared" si="87"/>
        <v>6.2111801242236027</v>
      </c>
      <c r="L1110" t="str">
        <f t="shared" si="88"/>
        <v>Funded</v>
      </c>
      <c r="M1110">
        <f t="shared" si="89"/>
        <v>1.8263509139976741</v>
      </c>
    </row>
    <row r="1111" spans="1:13" x14ac:dyDescent="0.25">
      <c r="A1111" t="s">
        <v>2453</v>
      </c>
      <c r="B1111" t="s">
        <v>125</v>
      </c>
      <c r="C1111" t="s">
        <v>1017</v>
      </c>
      <c r="D1111" t="s">
        <v>2454</v>
      </c>
      <c r="E1111" t="s">
        <v>787</v>
      </c>
      <c r="F1111" t="s">
        <v>50</v>
      </c>
      <c r="H1111">
        <v>1</v>
      </c>
      <c r="I1111">
        <f t="shared" si="85"/>
        <v>1</v>
      </c>
      <c r="J1111" s="2">
        <f t="shared" si="86"/>
        <v>8.9999999999999993E-3</v>
      </c>
      <c r="K1111">
        <f t="shared" si="87"/>
        <v>111.11111111111111</v>
      </c>
      <c r="L1111" t="str">
        <f t="shared" si="88"/>
        <v>Funded</v>
      </c>
      <c r="M1111">
        <f t="shared" si="89"/>
        <v>4.7105307016459177</v>
      </c>
    </row>
    <row r="1112" spans="1:13" x14ac:dyDescent="0.25">
      <c r="A1112" t="s">
        <v>2455</v>
      </c>
      <c r="B1112" t="s">
        <v>125</v>
      </c>
      <c r="C1112" t="s">
        <v>2435</v>
      </c>
      <c r="D1112" t="s">
        <v>2456</v>
      </c>
      <c r="E1112" t="s">
        <v>10</v>
      </c>
      <c r="F1112" t="s">
        <v>11</v>
      </c>
      <c r="H1112">
        <v>1</v>
      </c>
      <c r="I1112">
        <f t="shared" si="85"/>
        <v>1</v>
      </c>
      <c r="J1112" s="2">
        <f t="shared" si="86"/>
        <v>0.29199999999999998</v>
      </c>
      <c r="K1112">
        <f t="shared" si="87"/>
        <v>3.4246575342465757</v>
      </c>
      <c r="L1112" t="str">
        <f t="shared" si="88"/>
        <v>Funded</v>
      </c>
      <c r="M1112">
        <f t="shared" si="89"/>
        <v>1.2310014767138555</v>
      </c>
    </row>
    <row r="1113" spans="1:13" x14ac:dyDescent="0.25">
      <c r="A1113" t="s">
        <v>2457</v>
      </c>
      <c r="B1113" t="s">
        <v>125</v>
      </c>
      <c r="C1113" t="s">
        <v>1603</v>
      </c>
      <c r="D1113" t="s">
        <v>2317</v>
      </c>
      <c r="E1113" t="s">
        <v>44</v>
      </c>
      <c r="F1113" t="s">
        <v>21</v>
      </c>
      <c r="H1113">
        <v>1</v>
      </c>
      <c r="I1113">
        <f t="shared" si="85"/>
        <v>1</v>
      </c>
      <c r="J1113" s="2">
        <f t="shared" si="86"/>
        <v>0.218</v>
      </c>
      <c r="K1113">
        <f t="shared" si="87"/>
        <v>4.5871559633027523</v>
      </c>
      <c r="L1113" t="str">
        <f t="shared" si="88"/>
        <v>Funded</v>
      </c>
      <c r="M1113">
        <f t="shared" si="89"/>
        <v>1.523260216193048</v>
      </c>
    </row>
    <row r="1114" spans="1:13" x14ac:dyDescent="0.25">
      <c r="A1114" t="s">
        <v>2458</v>
      </c>
      <c r="B1114" t="s">
        <v>125</v>
      </c>
      <c r="C1114" t="s">
        <v>2459</v>
      </c>
      <c r="D1114" t="s">
        <v>137</v>
      </c>
      <c r="E1114" t="s">
        <v>10</v>
      </c>
      <c r="F1114" t="s">
        <v>11</v>
      </c>
      <c r="H1114">
        <v>1</v>
      </c>
      <c r="I1114">
        <f t="shared" si="85"/>
        <v>1</v>
      </c>
      <c r="J1114" s="2">
        <f t="shared" si="86"/>
        <v>0.14799999999999999</v>
      </c>
      <c r="K1114">
        <f t="shared" si="87"/>
        <v>6.756756756756757</v>
      </c>
      <c r="L1114" t="str">
        <f t="shared" si="88"/>
        <v>Funded</v>
      </c>
      <c r="M1114">
        <f t="shared" si="89"/>
        <v>1.9105430052180221</v>
      </c>
    </row>
    <row r="1115" spans="1:13" x14ac:dyDescent="0.25">
      <c r="A1115" t="s">
        <v>2460</v>
      </c>
      <c r="B1115" t="s">
        <v>125</v>
      </c>
      <c r="C1115" t="s">
        <v>2220</v>
      </c>
      <c r="D1115" t="s">
        <v>496</v>
      </c>
      <c r="E1115" t="s">
        <v>10</v>
      </c>
      <c r="F1115" t="s">
        <v>11</v>
      </c>
      <c r="H1115">
        <v>1</v>
      </c>
      <c r="I1115">
        <f t="shared" si="85"/>
        <v>1</v>
      </c>
      <c r="J1115" s="2">
        <f t="shared" si="86"/>
        <v>0.27100000000000002</v>
      </c>
      <c r="K1115">
        <f t="shared" si="87"/>
        <v>3.6900369003690034</v>
      </c>
      <c r="L1115" t="str">
        <f t="shared" si="88"/>
        <v>Funded</v>
      </c>
      <c r="M1115">
        <f t="shared" si="89"/>
        <v>1.305636458102436</v>
      </c>
    </row>
    <row r="1116" spans="1:13" x14ac:dyDescent="0.25">
      <c r="A1116" t="s">
        <v>2461</v>
      </c>
      <c r="B1116" t="s">
        <v>125</v>
      </c>
      <c r="C1116" t="s">
        <v>2190</v>
      </c>
      <c r="D1116" t="s">
        <v>254</v>
      </c>
      <c r="E1116" t="s">
        <v>10</v>
      </c>
      <c r="F1116" t="s">
        <v>11</v>
      </c>
      <c r="H1116">
        <v>1</v>
      </c>
      <c r="I1116">
        <f t="shared" si="85"/>
        <v>1</v>
      </c>
      <c r="J1116" s="2">
        <f t="shared" si="86"/>
        <v>0.28100000000000003</v>
      </c>
      <c r="K1116">
        <f t="shared" si="87"/>
        <v>3.5587188612099641</v>
      </c>
      <c r="L1116" t="str">
        <f t="shared" si="88"/>
        <v>Funded</v>
      </c>
      <c r="M1116">
        <f t="shared" si="89"/>
        <v>1.2694006096483912</v>
      </c>
    </row>
    <row r="1117" spans="1:13" x14ac:dyDescent="0.25">
      <c r="A1117" t="s">
        <v>2462</v>
      </c>
      <c r="B1117" t="s">
        <v>125</v>
      </c>
      <c r="C1117" t="s">
        <v>1504</v>
      </c>
      <c r="D1117" t="s">
        <v>322</v>
      </c>
      <c r="E1117" t="s">
        <v>170</v>
      </c>
      <c r="F1117" t="s">
        <v>50</v>
      </c>
      <c r="H1117">
        <v>1</v>
      </c>
      <c r="I1117">
        <f t="shared" si="85"/>
        <v>1</v>
      </c>
      <c r="J1117" s="2">
        <f t="shared" si="86"/>
        <v>0.33600000000000002</v>
      </c>
      <c r="K1117">
        <f t="shared" si="87"/>
        <v>2.9761904761904758</v>
      </c>
      <c r="L1117" t="str">
        <f t="shared" si="88"/>
        <v>Funded</v>
      </c>
      <c r="M1117">
        <f t="shared" si="89"/>
        <v>1.0906441190189327</v>
      </c>
    </row>
    <row r="1118" spans="1:13" x14ac:dyDescent="0.25">
      <c r="A1118" t="s">
        <v>2463</v>
      </c>
      <c r="B1118" t="s">
        <v>125</v>
      </c>
      <c r="C1118" t="s">
        <v>2401</v>
      </c>
      <c r="D1118" t="s">
        <v>1074</v>
      </c>
      <c r="E1118" t="s">
        <v>365</v>
      </c>
      <c r="F1118" t="s">
        <v>11</v>
      </c>
      <c r="H1118">
        <v>1</v>
      </c>
      <c r="I1118">
        <f t="shared" si="85"/>
        <v>1</v>
      </c>
      <c r="J1118" s="2">
        <f t="shared" si="86"/>
        <v>0.191</v>
      </c>
      <c r="K1118">
        <f t="shared" si="87"/>
        <v>5.2356020942408374</v>
      </c>
      <c r="L1118" t="str">
        <f t="shared" si="88"/>
        <v>Funded</v>
      </c>
      <c r="M1118">
        <f t="shared" si="89"/>
        <v>1.6554818509355071</v>
      </c>
    </row>
    <row r="1119" spans="1:13" x14ac:dyDescent="0.25">
      <c r="A1119" t="s">
        <v>2464</v>
      </c>
      <c r="B1119" t="s">
        <v>125</v>
      </c>
      <c r="C1119" t="s">
        <v>505</v>
      </c>
      <c r="D1119" t="s">
        <v>2465</v>
      </c>
      <c r="E1119" t="s">
        <v>44</v>
      </c>
      <c r="F1119" t="s">
        <v>21</v>
      </c>
      <c r="H1119">
        <v>1</v>
      </c>
      <c r="I1119">
        <f t="shared" si="85"/>
        <v>1</v>
      </c>
      <c r="J1119" s="2">
        <f t="shared" si="86"/>
        <v>0.44800000000000001</v>
      </c>
      <c r="K1119">
        <f t="shared" si="87"/>
        <v>2.2321428571428572</v>
      </c>
      <c r="L1119" t="str">
        <f t="shared" si="88"/>
        <v>Funded</v>
      </c>
      <c r="M1119">
        <f t="shared" si="89"/>
        <v>0.80296204656715187</v>
      </c>
    </row>
    <row r="1120" spans="1:13" x14ac:dyDescent="0.25">
      <c r="A1120" t="s">
        <v>2466</v>
      </c>
      <c r="B1120" t="s">
        <v>125</v>
      </c>
      <c r="C1120" t="s">
        <v>1504</v>
      </c>
      <c r="D1120" t="s">
        <v>2467</v>
      </c>
      <c r="E1120" t="s">
        <v>44</v>
      </c>
      <c r="F1120" t="s">
        <v>21</v>
      </c>
      <c r="H1120">
        <v>1</v>
      </c>
      <c r="I1120">
        <f t="shared" si="85"/>
        <v>1</v>
      </c>
      <c r="J1120" s="2">
        <f t="shared" si="86"/>
        <v>0.33600000000000002</v>
      </c>
      <c r="K1120">
        <f t="shared" si="87"/>
        <v>2.9761904761904758</v>
      </c>
      <c r="L1120" t="str">
        <f t="shared" si="88"/>
        <v>Funded</v>
      </c>
      <c r="M1120">
        <f t="shared" si="89"/>
        <v>1.0906441190189327</v>
      </c>
    </row>
    <row r="1121" spans="1:13" x14ac:dyDescent="0.25">
      <c r="A1121" t="s">
        <v>2468</v>
      </c>
      <c r="B1121" t="s">
        <v>125</v>
      </c>
      <c r="C1121" t="s">
        <v>849</v>
      </c>
      <c r="D1121" t="s">
        <v>2469</v>
      </c>
      <c r="E1121" t="s">
        <v>170</v>
      </c>
      <c r="F1121" t="s">
        <v>50</v>
      </c>
      <c r="H1121">
        <v>1</v>
      </c>
      <c r="I1121">
        <f t="shared" si="85"/>
        <v>1</v>
      </c>
      <c r="J1121" s="2">
        <f t="shared" si="86"/>
        <v>0.8</v>
      </c>
      <c r="K1121">
        <f t="shared" si="87"/>
        <v>1.25</v>
      </c>
      <c r="L1121" t="str">
        <f t="shared" si="88"/>
        <v>Funded</v>
      </c>
      <c r="M1121">
        <f t="shared" si="89"/>
        <v>0.22314355131420976</v>
      </c>
    </row>
    <row r="1122" spans="1:13" x14ac:dyDescent="0.25">
      <c r="A1122" t="s">
        <v>2470</v>
      </c>
      <c r="B1122" t="s">
        <v>125</v>
      </c>
      <c r="C1122" t="s">
        <v>2471</v>
      </c>
      <c r="D1122" t="s">
        <v>66</v>
      </c>
      <c r="E1122" t="s">
        <v>10</v>
      </c>
      <c r="F1122" t="s">
        <v>11</v>
      </c>
      <c r="H1122">
        <v>1</v>
      </c>
      <c r="I1122">
        <f t="shared" si="85"/>
        <v>1</v>
      </c>
      <c r="J1122" s="2">
        <f t="shared" si="86"/>
        <v>0.189</v>
      </c>
      <c r="K1122">
        <f t="shared" si="87"/>
        <v>5.2910052910052912</v>
      </c>
      <c r="L1122" t="str">
        <f t="shared" si="88"/>
        <v>Funded</v>
      </c>
      <c r="M1122">
        <f t="shared" si="89"/>
        <v>1.6660082639224947</v>
      </c>
    </row>
    <row r="1123" spans="1:13" x14ac:dyDescent="0.25">
      <c r="A1123" t="s">
        <v>2472</v>
      </c>
      <c r="B1123" t="s">
        <v>125</v>
      </c>
      <c r="C1123" t="s">
        <v>2405</v>
      </c>
      <c r="D1123" t="s">
        <v>2473</v>
      </c>
      <c r="E1123" t="s">
        <v>10</v>
      </c>
      <c r="F1123" t="s">
        <v>11</v>
      </c>
      <c r="H1123">
        <v>1</v>
      </c>
      <c r="I1123">
        <f t="shared" si="85"/>
        <v>1</v>
      </c>
      <c r="J1123" s="2">
        <f t="shared" si="86"/>
        <v>0.34699999999999998</v>
      </c>
      <c r="K1123">
        <f t="shared" si="87"/>
        <v>2.8818443804034586</v>
      </c>
      <c r="L1123" t="str">
        <f t="shared" si="88"/>
        <v>Funded</v>
      </c>
      <c r="M1123">
        <f t="shared" si="89"/>
        <v>1.058430499035278</v>
      </c>
    </row>
    <row r="1124" spans="1:13" x14ac:dyDescent="0.25">
      <c r="A1124" t="s">
        <v>2474</v>
      </c>
      <c r="B1124" t="s">
        <v>125</v>
      </c>
      <c r="C1124" t="s">
        <v>2475</v>
      </c>
      <c r="D1124" t="s">
        <v>79</v>
      </c>
      <c r="E1124" t="s">
        <v>10</v>
      </c>
      <c r="F1124" t="s">
        <v>11</v>
      </c>
      <c r="H1124">
        <v>1</v>
      </c>
      <c r="I1124">
        <f t="shared" si="85"/>
        <v>1</v>
      </c>
      <c r="J1124" s="2">
        <f t="shared" si="86"/>
        <v>0.124</v>
      </c>
      <c r="K1124">
        <f t="shared" si="87"/>
        <v>8.064516129032258</v>
      </c>
      <c r="L1124" t="str">
        <f t="shared" si="88"/>
        <v>Funded</v>
      </c>
      <c r="M1124">
        <f t="shared" si="89"/>
        <v>2.0874737133771002</v>
      </c>
    </row>
    <row r="1125" spans="1:13" x14ac:dyDescent="0.25">
      <c r="A1125" t="s">
        <v>2476</v>
      </c>
      <c r="B1125" t="s">
        <v>125</v>
      </c>
      <c r="C1125" t="s">
        <v>2477</v>
      </c>
      <c r="D1125" t="s">
        <v>2478</v>
      </c>
      <c r="E1125" t="s">
        <v>10</v>
      </c>
      <c r="F1125" t="s">
        <v>11</v>
      </c>
      <c r="H1125">
        <v>1</v>
      </c>
      <c r="I1125">
        <f t="shared" si="85"/>
        <v>1</v>
      </c>
      <c r="J1125" s="2">
        <f t="shared" si="86"/>
        <v>0.37</v>
      </c>
      <c r="K1125">
        <f t="shared" si="87"/>
        <v>2.7027027027027026</v>
      </c>
      <c r="L1125" t="str">
        <f t="shared" si="88"/>
        <v>Funded</v>
      </c>
      <c r="M1125">
        <f t="shared" si="89"/>
        <v>0.9942522733438669</v>
      </c>
    </row>
    <row r="1126" spans="1:13" x14ac:dyDescent="0.25">
      <c r="A1126" t="s">
        <v>2479</v>
      </c>
      <c r="B1126" t="s">
        <v>125</v>
      </c>
      <c r="C1126" t="s">
        <v>1286</v>
      </c>
      <c r="D1126" t="s">
        <v>823</v>
      </c>
      <c r="E1126" t="s">
        <v>1035</v>
      </c>
      <c r="F1126" t="s">
        <v>21</v>
      </c>
      <c r="H1126">
        <v>1</v>
      </c>
      <c r="I1126">
        <f t="shared" si="85"/>
        <v>1</v>
      </c>
      <c r="J1126" s="2">
        <f t="shared" si="86"/>
        <v>0.06</v>
      </c>
      <c r="K1126">
        <f t="shared" si="87"/>
        <v>16.666666666666668</v>
      </c>
      <c r="L1126" t="str">
        <f t="shared" si="88"/>
        <v>Funded</v>
      </c>
      <c r="M1126">
        <f t="shared" si="89"/>
        <v>2.8134107167600364</v>
      </c>
    </row>
    <row r="1127" spans="1:13" x14ac:dyDescent="0.25">
      <c r="A1127" t="s">
        <v>2480</v>
      </c>
      <c r="B1127" t="s">
        <v>125</v>
      </c>
      <c r="C1127" t="s">
        <v>321</v>
      </c>
      <c r="D1127" t="s">
        <v>2481</v>
      </c>
      <c r="E1127" t="s">
        <v>20</v>
      </c>
      <c r="F1127" t="s">
        <v>21</v>
      </c>
      <c r="H1127">
        <v>1</v>
      </c>
      <c r="I1127">
        <f t="shared" si="85"/>
        <v>1</v>
      </c>
      <c r="J1127" s="2">
        <f t="shared" si="86"/>
        <v>0.54900000000000004</v>
      </c>
      <c r="K1127">
        <f t="shared" si="87"/>
        <v>1.8214936247723132</v>
      </c>
      <c r="L1127" t="str">
        <f t="shared" si="88"/>
        <v>Funded</v>
      </c>
      <c r="M1127">
        <f t="shared" si="89"/>
        <v>0.59965683747260634</v>
      </c>
    </row>
    <row r="1128" spans="1:13" x14ac:dyDescent="0.25">
      <c r="A1128" t="s">
        <v>2482</v>
      </c>
      <c r="B1128" t="s">
        <v>125</v>
      </c>
      <c r="C1128" t="s">
        <v>2039</v>
      </c>
      <c r="D1128" t="s">
        <v>2483</v>
      </c>
      <c r="E1128" t="s">
        <v>10</v>
      </c>
      <c r="F1128" t="s">
        <v>11</v>
      </c>
      <c r="H1128">
        <v>1</v>
      </c>
      <c r="I1128">
        <f t="shared" si="85"/>
        <v>1</v>
      </c>
      <c r="J1128" s="2">
        <f t="shared" si="86"/>
        <v>0.313</v>
      </c>
      <c r="K1128">
        <f t="shared" si="87"/>
        <v>3.1948881789137382</v>
      </c>
      <c r="L1128" t="str">
        <f t="shared" si="88"/>
        <v>Funded</v>
      </c>
      <c r="M1128">
        <f t="shared" si="89"/>
        <v>1.1615520884419839</v>
      </c>
    </row>
    <row r="1129" spans="1:13" x14ac:dyDescent="0.25">
      <c r="A1129" t="s">
        <v>2484</v>
      </c>
      <c r="B1129" t="s">
        <v>125</v>
      </c>
      <c r="C1129" t="s">
        <v>645</v>
      </c>
      <c r="D1129" t="s">
        <v>2485</v>
      </c>
      <c r="E1129" t="s">
        <v>20</v>
      </c>
      <c r="F1129" t="s">
        <v>21</v>
      </c>
      <c r="H1129">
        <v>1</v>
      </c>
      <c r="I1129">
        <f t="shared" si="85"/>
        <v>1</v>
      </c>
      <c r="J1129" s="2">
        <f t="shared" si="86"/>
        <v>0.2</v>
      </c>
      <c r="K1129">
        <f t="shared" si="87"/>
        <v>5</v>
      </c>
      <c r="L1129" t="str">
        <f t="shared" si="88"/>
        <v>Funded</v>
      </c>
      <c r="M1129">
        <f t="shared" si="89"/>
        <v>1.6094379124341003</v>
      </c>
    </row>
    <row r="1130" spans="1:13" x14ac:dyDescent="0.25">
      <c r="A1130" t="s">
        <v>2486</v>
      </c>
      <c r="B1130" t="s">
        <v>125</v>
      </c>
      <c r="C1130" t="s">
        <v>1242</v>
      </c>
      <c r="D1130" t="s">
        <v>2487</v>
      </c>
      <c r="E1130" t="s">
        <v>10</v>
      </c>
      <c r="F1130" t="s">
        <v>11</v>
      </c>
      <c r="H1130">
        <v>1</v>
      </c>
      <c r="I1130">
        <f t="shared" si="85"/>
        <v>1</v>
      </c>
      <c r="J1130" s="2">
        <f t="shared" si="86"/>
        <v>0.26400000000000001</v>
      </c>
      <c r="K1130">
        <f t="shared" si="87"/>
        <v>3.7878787878787876</v>
      </c>
      <c r="L1130" t="str">
        <f t="shared" si="88"/>
        <v>Funded</v>
      </c>
      <c r="M1130">
        <f t="shared" si="89"/>
        <v>1.3318061758358208</v>
      </c>
    </row>
    <row r="1131" spans="1:13" x14ac:dyDescent="0.25">
      <c r="A1131" t="s">
        <v>2488</v>
      </c>
      <c r="B1131" t="s">
        <v>125</v>
      </c>
      <c r="C1131" t="s">
        <v>628</v>
      </c>
      <c r="D1131" t="s">
        <v>496</v>
      </c>
      <c r="E1131" t="s">
        <v>10</v>
      </c>
      <c r="F1131" t="s">
        <v>11</v>
      </c>
      <c r="H1131">
        <v>1</v>
      </c>
      <c r="I1131">
        <f t="shared" si="85"/>
        <v>1</v>
      </c>
      <c r="J1131" s="2">
        <f t="shared" si="86"/>
        <v>0.17</v>
      </c>
      <c r="K1131">
        <f t="shared" si="87"/>
        <v>5.8823529411764701</v>
      </c>
      <c r="L1131" t="str">
        <f t="shared" si="88"/>
        <v>Funded</v>
      </c>
      <c r="M1131">
        <f t="shared" si="89"/>
        <v>1.7719568419318752</v>
      </c>
    </row>
    <row r="1132" spans="1:13" x14ac:dyDescent="0.25">
      <c r="A1132" t="s">
        <v>2489</v>
      </c>
      <c r="B1132" t="s">
        <v>125</v>
      </c>
      <c r="C1132" t="s">
        <v>1076</v>
      </c>
      <c r="D1132" t="s">
        <v>2490</v>
      </c>
      <c r="E1132" t="s">
        <v>1008</v>
      </c>
      <c r="F1132" t="s">
        <v>11</v>
      </c>
      <c r="H1132">
        <v>1</v>
      </c>
      <c r="I1132">
        <f t="shared" si="85"/>
        <v>1</v>
      </c>
      <c r="J1132" s="2">
        <f t="shared" si="86"/>
        <v>0.33</v>
      </c>
      <c r="K1132">
        <f t="shared" si="87"/>
        <v>3.0303030303030303</v>
      </c>
      <c r="L1132" t="str">
        <f t="shared" si="88"/>
        <v>Funded</v>
      </c>
      <c r="M1132">
        <f t="shared" si="89"/>
        <v>1.1086626245216111</v>
      </c>
    </row>
    <row r="1133" spans="1:13" x14ac:dyDescent="0.25">
      <c r="A1133" t="s">
        <v>2491</v>
      </c>
      <c r="B1133" t="s">
        <v>125</v>
      </c>
      <c r="C1133" t="s">
        <v>785</v>
      </c>
      <c r="E1133" t="s">
        <v>1172</v>
      </c>
      <c r="F1133" t="s">
        <v>21</v>
      </c>
      <c r="H1133">
        <v>1</v>
      </c>
      <c r="I1133">
        <f t="shared" si="85"/>
        <v>1</v>
      </c>
      <c r="J1133" s="2">
        <f t="shared" si="86"/>
        <v>0.25</v>
      </c>
      <c r="K1133">
        <f t="shared" si="87"/>
        <v>4</v>
      </c>
      <c r="L1133" t="str">
        <f t="shared" si="88"/>
        <v>Funded</v>
      </c>
      <c r="M1133">
        <f t="shared" si="89"/>
        <v>1.3862943611198906</v>
      </c>
    </row>
    <row r="1134" spans="1:13" x14ac:dyDescent="0.25">
      <c r="A1134" t="s">
        <v>2492</v>
      </c>
      <c r="B1134" t="s">
        <v>125</v>
      </c>
      <c r="C1134" t="s">
        <v>1638</v>
      </c>
      <c r="D1134" t="s">
        <v>2493</v>
      </c>
      <c r="E1134" t="s">
        <v>10</v>
      </c>
      <c r="F1134" t="s">
        <v>11</v>
      </c>
      <c r="H1134">
        <v>1</v>
      </c>
      <c r="I1134">
        <f t="shared" si="85"/>
        <v>1</v>
      </c>
      <c r="J1134" s="2">
        <f t="shared" si="86"/>
        <v>0.39</v>
      </c>
      <c r="K1134">
        <f t="shared" si="87"/>
        <v>2.5641025641025639</v>
      </c>
      <c r="L1134" t="str">
        <f t="shared" si="88"/>
        <v>Funded</v>
      </c>
      <c r="M1134">
        <f t="shared" si="89"/>
        <v>0.94160853985844484</v>
      </c>
    </row>
    <row r="1135" spans="1:13" x14ac:dyDescent="0.25">
      <c r="A1135" t="s">
        <v>2494</v>
      </c>
      <c r="B1135" t="s">
        <v>125</v>
      </c>
      <c r="C1135" t="s">
        <v>2495</v>
      </c>
      <c r="D1135" t="s">
        <v>2496</v>
      </c>
      <c r="E1135" t="s">
        <v>365</v>
      </c>
      <c r="F1135" t="s">
        <v>11</v>
      </c>
      <c r="H1135">
        <v>1</v>
      </c>
      <c r="I1135">
        <f t="shared" si="85"/>
        <v>1</v>
      </c>
      <c r="J1135" s="2">
        <f t="shared" si="86"/>
        <v>0.24399999999999999</v>
      </c>
      <c r="K1135">
        <f t="shared" si="87"/>
        <v>4.0983606557377046</v>
      </c>
      <c r="L1135" t="str">
        <f t="shared" si="88"/>
        <v>Funded</v>
      </c>
      <c r="M1135">
        <f t="shared" si="89"/>
        <v>1.4105870536889351</v>
      </c>
    </row>
    <row r="1136" spans="1:13" x14ac:dyDescent="0.25">
      <c r="A1136" t="s">
        <v>2497</v>
      </c>
      <c r="B1136" t="s">
        <v>125</v>
      </c>
      <c r="C1136" t="s">
        <v>2498</v>
      </c>
      <c r="D1136" t="s">
        <v>2499</v>
      </c>
      <c r="E1136" t="s">
        <v>44</v>
      </c>
      <c r="F1136" t="s">
        <v>21</v>
      </c>
      <c r="H1136">
        <v>1</v>
      </c>
      <c r="I1136">
        <f t="shared" si="85"/>
        <v>1</v>
      </c>
      <c r="J1136" s="2">
        <f t="shared" si="86"/>
        <v>0.35699999999999998</v>
      </c>
      <c r="K1136">
        <f t="shared" si="87"/>
        <v>2.801120448179272</v>
      </c>
      <c r="L1136" t="str">
        <f t="shared" si="88"/>
        <v>Funded</v>
      </c>
      <c r="M1136">
        <f t="shared" si="89"/>
        <v>1.0300194972024981</v>
      </c>
    </row>
    <row r="1137" spans="1:13" x14ac:dyDescent="0.25">
      <c r="A1137" t="s">
        <v>2500</v>
      </c>
      <c r="B1137" t="s">
        <v>125</v>
      </c>
      <c r="C1137" t="s">
        <v>1875</v>
      </c>
      <c r="D1137" t="s">
        <v>2087</v>
      </c>
      <c r="E1137" t="s">
        <v>44</v>
      </c>
      <c r="F1137" t="s">
        <v>21</v>
      </c>
      <c r="H1137">
        <v>1</v>
      </c>
      <c r="I1137">
        <f t="shared" si="85"/>
        <v>1</v>
      </c>
      <c r="J1137" s="2">
        <f t="shared" si="86"/>
        <v>0.1</v>
      </c>
      <c r="K1137">
        <f t="shared" si="87"/>
        <v>10</v>
      </c>
      <c r="L1137" t="str">
        <f t="shared" si="88"/>
        <v>Funded</v>
      </c>
      <c r="M1137">
        <f t="shared" si="89"/>
        <v>2.3025850929940459</v>
      </c>
    </row>
    <row r="1138" spans="1:13" x14ac:dyDescent="0.25">
      <c r="A1138" t="s">
        <v>2501</v>
      </c>
      <c r="B1138" t="s">
        <v>125</v>
      </c>
      <c r="C1138" t="s">
        <v>2435</v>
      </c>
      <c r="D1138" t="s">
        <v>413</v>
      </c>
      <c r="E1138" t="s">
        <v>10</v>
      </c>
      <c r="F1138" t="s">
        <v>11</v>
      </c>
      <c r="H1138">
        <v>1</v>
      </c>
      <c r="I1138">
        <f t="shared" si="85"/>
        <v>1</v>
      </c>
      <c r="J1138" s="2">
        <f t="shared" si="86"/>
        <v>0.29199999999999998</v>
      </c>
      <c r="K1138">
        <f t="shared" si="87"/>
        <v>3.4246575342465757</v>
      </c>
      <c r="L1138" t="str">
        <f t="shared" si="88"/>
        <v>Funded</v>
      </c>
      <c r="M1138">
        <f t="shared" si="89"/>
        <v>1.2310014767138555</v>
      </c>
    </row>
    <row r="1139" spans="1:13" x14ac:dyDescent="0.25">
      <c r="A1139" t="s">
        <v>2502</v>
      </c>
      <c r="B1139" t="s">
        <v>125</v>
      </c>
      <c r="C1139" t="s">
        <v>869</v>
      </c>
      <c r="D1139" t="s">
        <v>2503</v>
      </c>
      <c r="E1139" t="s">
        <v>49</v>
      </c>
      <c r="F1139" t="s">
        <v>50</v>
      </c>
      <c r="H1139">
        <v>1</v>
      </c>
      <c r="I1139">
        <f t="shared" si="85"/>
        <v>1</v>
      </c>
      <c r="J1139" s="2">
        <f t="shared" si="86"/>
        <v>0.47699999999999998</v>
      </c>
      <c r="K1139">
        <f t="shared" si="87"/>
        <v>2.0964360587002098</v>
      </c>
      <c r="L1139" t="str">
        <f t="shared" si="88"/>
        <v>Funded</v>
      </c>
      <c r="M1139">
        <f t="shared" si="89"/>
        <v>0.74023878809379584</v>
      </c>
    </row>
    <row r="1140" spans="1:13" x14ac:dyDescent="0.25">
      <c r="A1140" t="s">
        <v>2504</v>
      </c>
      <c r="B1140" t="s">
        <v>125</v>
      </c>
      <c r="C1140" t="s">
        <v>1815</v>
      </c>
      <c r="D1140" t="s">
        <v>641</v>
      </c>
      <c r="E1140" t="s">
        <v>10</v>
      </c>
      <c r="F1140" t="s">
        <v>11</v>
      </c>
      <c r="H1140">
        <v>1</v>
      </c>
      <c r="I1140">
        <f t="shared" si="85"/>
        <v>1</v>
      </c>
      <c r="J1140" s="2">
        <f t="shared" si="86"/>
        <v>0.35299999999999998</v>
      </c>
      <c r="K1140">
        <f t="shared" si="87"/>
        <v>2.8328611898017</v>
      </c>
      <c r="L1140" t="str">
        <f t="shared" si="88"/>
        <v>Funded</v>
      </c>
      <c r="M1140">
        <f t="shared" si="89"/>
        <v>1.0412872220488403</v>
      </c>
    </row>
    <row r="1141" spans="1:13" x14ac:dyDescent="0.25">
      <c r="A1141" t="s">
        <v>2505</v>
      </c>
      <c r="B1141" t="s">
        <v>125</v>
      </c>
      <c r="C1141" t="s">
        <v>991</v>
      </c>
      <c r="D1141" t="s">
        <v>2506</v>
      </c>
      <c r="E1141" t="s">
        <v>1008</v>
      </c>
      <c r="F1141" t="s">
        <v>11</v>
      </c>
      <c r="H1141">
        <v>1</v>
      </c>
      <c r="I1141">
        <f t="shared" si="85"/>
        <v>1</v>
      </c>
      <c r="J1141" s="2">
        <f t="shared" si="86"/>
        <v>0.39400000000000002</v>
      </c>
      <c r="K1141">
        <f t="shared" si="87"/>
        <v>2.5380710659898478</v>
      </c>
      <c r="L1141" t="str">
        <f t="shared" si="88"/>
        <v>Funded</v>
      </c>
      <c r="M1141">
        <f t="shared" si="89"/>
        <v>0.93140436968420326</v>
      </c>
    </row>
    <row r="1142" spans="1:13" x14ac:dyDescent="0.25">
      <c r="A1142" t="s">
        <v>2507</v>
      </c>
      <c r="B1142" t="s">
        <v>125</v>
      </c>
      <c r="C1142" t="s">
        <v>1784</v>
      </c>
      <c r="D1142" t="s">
        <v>2508</v>
      </c>
      <c r="E1142" t="s">
        <v>10</v>
      </c>
      <c r="F1142" t="s">
        <v>11</v>
      </c>
      <c r="H1142">
        <v>1</v>
      </c>
      <c r="I1142">
        <f t="shared" si="85"/>
        <v>1</v>
      </c>
      <c r="J1142" s="2">
        <f t="shared" si="86"/>
        <v>0.20599999999999999</v>
      </c>
      <c r="K1142">
        <f t="shared" si="87"/>
        <v>4.8543689320388355</v>
      </c>
      <c r="L1142" t="str">
        <f t="shared" si="88"/>
        <v>Funded</v>
      </c>
      <c r="M1142">
        <f t="shared" si="89"/>
        <v>1.579879110192556</v>
      </c>
    </row>
    <row r="1143" spans="1:13" x14ac:dyDescent="0.25">
      <c r="A1143" t="s">
        <v>2509</v>
      </c>
      <c r="B1143" t="s">
        <v>125</v>
      </c>
      <c r="C1143" t="s">
        <v>125</v>
      </c>
      <c r="D1143" t="s">
        <v>221</v>
      </c>
      <c r="E1143" t="s">
        <v>10</v>
      </c>
      <c r="F1143" t="s">
        <v>11</v>
      </c>
      <c r="H1143">
        <v>1</v>
      </c>
      <c r="I1143">
        <f t="shared" si="85"/>
        <v>1</v>
      </c>
      <c r="J1143" s="2">
        <f t="shared" si="86"/>
        <v>1</v>
      </c>
      <c r="K1143">
        <f t="shared" si="87"/>
        <v>1</v>
      </c>
      <c r="L1143" t="str">
        <f t="shared" si="88"/>
        <v>Funded</v>
      </c>
      <c r="M1143">
        <f t="shared" si="89"/>
        <v>0</v>
      </c>
    </row>
    <row r="1144" spans="1:13" x14ac:dyDescent="0.25">
      <c r="A1144" t="s">
        <v>2510</v>
      </c>
      <c r="B1144" t="s">
        <v>125</v>
      </c>
      <c r="C1144" t="s">
        <v>1668</v>
      </c>
      <c r="D1144" t="s">
        <v>2511</v>
      </c>
      <c r="E1144" t="s">
        <v>44</v>
      </c>
      <c r="F1144" t="s">
        <v>21</v>
      </c>
      <c r="H1144">
        <v>1</v>
      </c>
      <c r="I1144">
        <f t="shared" si="85"/>
        <v>1</v>
      </c>
      <c r="J1144" s="2">
        <f t="shared" si="86"/>
        <v>0.108</v>
      </c>
      <c r="K1144">
        <f t="shared" si="87"/>
        <v>9.2592592592592595</v>
      </c>
      <c r="L1144" t="str">
        <f t="shared" si="88"/>
        <v>Funded</v>
      </c>
      <c r="M1144">
        <f t="shared" si="89"/>
        <v>2.2256240518579173</v>
      </c>
    </row>
    <row r="1145" spans="1:13" x14ac:dyDescent="0.25">
      <c r="A1145" t="s">
        <v>2512</v>
      </c>
      <c r="B1145" t="s">
        <v>125</v>
      </c>
      <c r="C1145" t="s">
        <v>2097</v>
      </c>
      <c r="D1145" t="s">
        <v>2513</v>
      </c>
      <c r="E1145" t="s">
        <v>20</v>
      </c>
      <c r="F1145" t="s">
        <v>21</v>
      </c>
      <c r="H1145">
        <v>1</v>
      </c>
      <c r="I1145">
        <f t="shared" si="85"/>
        <v>1</v>
      </c>
      <c r="J1145" s="2">
        <f t="shared" si="86"/>
        <v>0.14199999999999999</v>
      </c>
      <c r="K1145">
        <f t="shared" si="87"/>
        <v>7.042253521126761</v>
      </c>
      <c r="L1145" t="str">
        <f t="shared" si="88"/>
        <v>Funded</v>
      </c>
      <c r="M1145">
        <f t="shared" si="89"/>
        <v>1.9519282213808764</v>
      </c>
    </row>
    <row r="1146" spans="1:13" x14ac:dyDescent="0.25">
      <c r="A1146" t="s">
        <v>2514</v>
      </c>
      <c r="B1146" t="s">
        <v>125</v>
      </c>
      <c r="C1146" t="s">
        <v>1055</v>
      </c>
      <c r="D1146" t="s">
        <v>1210</v>
      </c>
      <c r="E1146" t="s">
        <v>10</v>
      </c>
      <c r="F1146" t="s">
        <v>11</v>
      </c>
      <c r="H1146">
        <v>1</v>
      </c>
      <c r="I1146">
        <f t="shared" si="85"/>
        <v>1</v>
      </c>
      <c r="J1146" s="2">
        <f t="shared" si="86"/>
        <v>0.26800000000000002</v>
      </c>
      <c r="K1146">
        <f t="shared" si="87"/>
        <v>3.7313432835820892</v>
      </c>
      <c r="L1146" t="str">
        <f t="shared" si="88"/>
        <v>Funded</v>
      </c>
      <c r="M1146">
        <f t="shared" si="89"/>
        <v>1.3167682984712803</v>
      </c>
    </row>
    <row r="1147" spans="1:13" x14ac:dyDescent="0.25">
      <c r="A1147" t="s">
        <v>2515</v>
      </c>
      <c r="B1147" t="s">
        <v>125</v>
      </c>
      <c r="C1147" t="s">
        <v>1554</v>
      </c>
      <c r="D1147" t="s">
        <v>790</v>
      </c>
      <c r="E1147" t="s">
        <v>10</v>
      </c>
      <c r="F1147" t="s">
        <v>11</v>
      </c>
      <c r="H1147">
        <v>1</v>
      </c>
      <c r="I1147">
        <f t="shared" si="85"/>
        <v>1</v>
      </c>
      <c r="J1147" s="2">
        <f t="shared" si="86"/>
        <v>0.36499999999999999</v>
      </c>
      <c r="K1147">
        <f t="shared" si="87"/>
        <v>2.7397260273972601</v>
      </c>
      <c r="L1147" t="str">
        <f t="shared" si="88"/>
        <v>Funded</v>
      </c>
      <c r="M1147">
        <f t="shared" si="89"/>
        <v>1.0078579253996456</v>
      </c>
    </row>
    <row r="1148" spans="1:13" x14ac:dyDescent="0.25">
      <c r="A1148" t="s">
        <v>2516</v>
      </c>
      <c r="B1148" t="s">
        <v>125</v>
      </c>
      <c r="C1148" t="s">
        <v>1076</v>
      </c>
      <c r="D1148" t="s">
        <v>2517</v>
      </c>
      <c r="E1148" t="s">
        <v>10</v>
      </c>
      <c r="F1148" t="s">
        <v>11</v>
      </c>
      <c r="H1148">
        <v>1</v>
      </c>
      <c r="I1148">
        <f t="shared" si="85"/>
        <v>1</v>
      </c>
      <c r="J1148" s="2">
        <f t="shared" si="86"/>
        <v>0.33</v>
      </c>
      <c r="K1148">
        <f t="shared" si="87"/>
        <v>3.0303030303030303</v>
      </c>
      <c r="L1148" t="str">
        <f t="shared" si="88"/>
        <v>Funded</v>
      </c>
      <c r="M1148">
        <f t="shared" si="89"/>
        <v>1.1086626245216111</v>
      </c>
    </row>
    <row r="1149" spans="1:13" x14ac:dyDescent="0.25">
      <c r="A1149" t="s">
        <v>2518</v>
      </c>
      <c r="B1149" t="s">
        <v>125</v>
      </c>
      <c r="C1149" t="s">
        <v>1655</v>
      </c>
      <c r="D1149" t="s">
        <v>1398</v>
      </c>
      <c r="E1149" t="s">
        <v>10</v>
      </c>
      <c r="F1149" t="s">
        <v>11</v>
      </c>
      <c r="H1149">
        <v>1</v>
      </c>
      <c r="I1149">
        <f t="shared" si="85"/>
        <v>1</v>
      </c>
      <c r="J1149" s="2">
        <f t="shared" si="86"/>
        <v>0.35199999999999998</v>
      </c>
      <c r="K1149">
        <f t="shared" si="87"/>
        <v>2.8409090909090913</v>
      </c>
      <c r="L1149" t="str">
        <f t="shared" si="88"/>
        <v>Funded</v>
      </c>
      <c r="M1149">
        <f t="shared" si="89"/>
        <v>1.04412410338404</v>
      </c>
    </row>
    <row r="1150" spans="1:13" x14ac:dyDescent="0.25">
      <c r="A1150" t="s">
        <v>2519</v>
      </c>
      <c r="B1150" t="s">
        <v>125</v>
      </c>
      <c r="C1150" t="s">
        <v>2203</v>
      </c>
      <c r="D1150" t="s">
        <v>1210</v>
      </c>
      <c r="E1150" t="s">
        <v>10</v>
      </c>
      <c r="F1150" t="s">
        <v>11</v>
      </c>
      <c r="H1150">
        <v>1</v>
      </c>
      <c r="I1150">
        <f t="shared" si="85"/>
        <v>1</v>
      </c>
      <c r="J1150" s="2">
        <f t="shared" si="86"/>
        <v>0.182</v>
      </c>
      <c r="K1150">
        <f t="shared" si="87"/>
        <v>5.4945054945054945</v>
      </c>
      <c r="L1150" t="str">
        <f t="shared" si="88"/>
        <v>Funded</v>
      </c>
      <c r="M1150">
        <f t="shared" si="89"/>
        <v>1.7037485919053417</v>
      </c>
    </row>
    <row r="1151" spans="1:13" x14ac:dyDescent="0.25">
      <c r="A1151" t="s">
        <v>2520</v>
      </c>
      <c r="B1151" t="s">
        <v>125</v>
      </c>
      <c r="C1151" t="s">
        <v>610</v>
      </c>
      <c r="D1151" t="s">
        <v>177</v>
      </c>
      <c r="E1151" t="s">
        <v>10</v>
      </c>
      <c r="F1151" t="s">
        <v>11</v>
      </c>
      <c r="H1151">
        <v>1</v>
      </c>
      <c r="I1151">
        <f t="shared" si="85"/>
        <v>1</v>
      </c>
      <c r="J1151" s="2">
        <f t="shared" si="86"/>
        <v>0.625</v>
      </c>
      <c r="K1151">
        <f t="shared" si="87"/>
        <v>1.6</v>
      </c>
      <c r="L1151" t="str">
        <f t="shared" si="88"/>
        <v>Funded</v>
      </c>
      <c r="M1151">
        <f t="shared" si="89"/>
        <v>0.47000362924573563</v>
      </c>
    </row>
    <row r="1152" spans="1:13" x14ac:dyDescent="0.25">
      <c r="A1152" t="s">
        <v>2521</v>
      </c>
      <c r="B1152" t="s">
        <v>125</v>
      </c>
      <c r="C1152" t="s">
        <v>2522</v>
      </c>
      <c r="D1152" t="s">
        <v>2523</v>
      </c>
      <c r="E1152" t="s">
        <v>44</v>
      </c>
      <c r="F1152" t="s">
        <v>21</v>
      </c>
      <c r="H1152">
        <v>1</v>
      </c>
      <c r="I1152">
        <f t="shared" si="85"/>
        <v>1</v>
      </c>
      <c r="J1152" s="2">
        <f t="shared" si="86"/>
        <v>0.19800000000000001</v>
      </c>
      <c r="K1152">
        <f t="shared" si="87"/>
        <v>5.0505050505050502</v>
      </c>
      <c r="L1152" t="str">
        <f t="shared" si="88"/>
        <v>Funded</v>
      </c>
      <c r="M1152">
        <f t="shared" si="89"/>
        <v>1.6194882482876019</v>
      </c>
    </row>
    <row r="1153" spans="1:13" x14ac:dyDescent="0.25">
      <c r="A1153" t="s">
        <v>2524</v>
      </c>
      <c r="B1153" t="s">
        <v>125</v>
      </c>
      <c r="C1153" t="s">
        <v>1157</v>
      </c>
      <c r="D1153" t="s">
        <v>2525</v>
      </c>
      <c r="E1153" t="s">
        <v>10</v>
      </c>
      <c r="F1153" t="s">
        <v>11</v>
      </c>
      <c r="H1153">
        <v>1</v>
      </c>
      <c r="I1153">
        <f t="shared" si="85"/>
        <v>1</v>
      </c>
      <c r="J1153" s="2">
        <f t="shared" si="86"/>
        <v>0.11899999999999999</v>
      </c>
      <c r="K1153">
        <f t="shared" si="87"/>
        <v>8.4033613445378155</v>
      </c>
      <c r="L1153" t="str">
        <f t="shared" si="88"/>
        <v>Funded</v>
      </c>
      <c r="M1153">
        <f t="shared" si="89"/>
        <v>2.1286317858706076</v>
      </c>
    </row>
    <row r="1154" spans="1:13" x14ac:dyDescent="0.25">
      <c r="A1154" t="s">
        <v>2526</v>
      </c>
      <c r="B1154" t="s">
        <v>125</v>
      </c>
      <c r="C1154" t="s">
        <v>1875</v>
      </c>
      <c r="D1154" t="s">
        <v>2527</v>
      </c>
      <c r="E1154" t="s">
        <v>10</v>
      </c>
      <c r="F1154" t="s">
        <v>11</v>
      </c>
      <c r="H1154">
        <v>1</v>
      </c>
      <c r="I1154">
        <f t="shared" si="85"/>
        <v>1</v>
      </c>
      <c r="J1154" s="2">
        <f t="shared" si="86"/>
        <v>0.1</v>
      </c>
      <c r="K1154">
        <f t="shared" si="87"/>
        <v>10</v>
      </c>
      <c r="L1154" t="str">
        <f t="shared" si="88"/>
        <v>Funded</v>
      </c>
      <c r="M1154">
        <f t="shared" si="89"/>
        <v>2.3025850929940459</v>
      </c>
    </row>
    <row r="1155" spans="1:13" x14ac:dyDescent="0.25">
      <c r="A1155" t="s">
        <v>2528</v>
      </c>
      <c r="B1155" t="s">
        <v>125</v>
      </c>
      <c r="C1155" t="s">
        <v>2459</v>
      </c>
      <c r="D1155" t="s">
        <v>2529</v>
      </c>
      <c r="E1155" t="s">
        <v>44</v>
      </c>
      <c r="F1155" t="s">
        <v>21</v>
      </c>
      <c r="H1155">
        <v>1</v>
      </c>
      <c r="I1155">
        <f t="shared" ref="I1155:I1218" si="90">IF(B1155="","",
VALUE(SUBSTITUTE(SUBSTITUTE(B1155,"$",""),"B","")))</f>
        <v>1</v>
      </c>
      <c r="J1155" s="2">
        <f t="shared" ref="J1155:J1218" si="91">IF(C1155="","",
IF(C1155="$0",0,
IF(RIGHT(C1155,1)="B",
VALUE(SUBSTITUTE(SUBSTITUTE(C1155,"$",""),"B","")),
IF(RIGHT(C1155,1)="M",
VALUE(SUBSTITUTE(SUBSTITUTE(C1155,"$",""),"M",""))/1000,
IF(RIGHT(C1155,1)="K",
VALUE(SUBSTITUTE(SUBSTITUTE(C1155,"$",""),"K",""))/1000000,
VALUE(SUBSTITUTE(C1155,"$",""))
)))))</f>
        <v>0.14799999999999999</v>
      </c>
      <c r="K1155">
        <f t="shared" ref="K1155:K1218" si="92">IF(J1155&gt;0,I1155/J1155,"")</f>
        <v>6.756756756756757</v>
      </c>
      <c r="L1155" t="str">
        <f t="shared" ref="L1155:L1218" si="93">IF(J1155=0,"Bootstrapped","Funded")</f>
        <v>Funded</v>
      </c>
      <c r="M1155">
        <f t="shared" ref="M1155:M1218" si="94">IF(AND(I1155&gt;0,J1155&gt;0),LN(I1155/J1155),"")</f>
        <v>1.9105430052180221</v>
      </c>
    </row>
    <row r="1156" spans="1:13" x14ac:dyDescent="0.25">
      <c r="A1156" t="s">
        <v>2530</v>
      </c>
      <c r="B1156" t="s">
        <v>125</v>
      </c>
      <c r="C1156" t="s">
        <v>1896</v>
      </c>
      <c r="D1156" t="s">
        <v>2531</v>
      </c>
      <c r="E1156" t="s">
        <v>10</v>
      </c>
      <c r="F1156" t="s">
        <v>11</v>
      </c>
      <c r="H1156">
        <v>1</v>
      </c>
      <c r="I1156">
        <f t="shared" si="90"/>
        <v>1</v>
      </c>
      <c r="J1156" s="2">
        <f t="shared" si="91"/>
        <v>0.19500000000000001</v>
      </c>
      <c r="K1156">
        <f t="shared" si="92"/>
        <v>5.1282051282051277</v>
      </c>
      <c r="L1156" t="str">
        <f t="shared" si="93"/>
        <v>Funded</v>
      </c>
      <c r="M1156">
        <f t="shared" si="94"/>
        <v>1.6347557204183902</v>
      </c>
    </row>
    <row r="1157" spans="1:13" x14ac:dyDescent="0.25">
      <c r="A1157" t="s">
        <v>2532</v>
      </c>
      <c r="B1157" t="s">
        <v>125</v>
      </c>
      <c r="C1157" t="s">
        <v>1159</v>
      </c>
      <c r="D1157" t="s">
        <v>2533</v>
      </c>
      <c r="E1157" t="s">
        <v>350</v>
      </c>
      <c r="F1157" t="s">
        <v>21</v>
      </c>
      <c r="H1157">
        <v>1</v>
      </c>
      <c r="I1157">
        <f t="shared" si="90"/>
        <v>1</v>
      </c>
      <c r="J1157" s="2">
        <f t="shared" si="91"/>
        <v>0.34100000000000003</v>
      </c>
      <c r="K1157">
        <f t="shared" si="92"/>
        <v>2.9325513196480935</v>
      </c>
      <c r="L1157" t="str">
        <f t="shared" si="93"/>
        <v>Funded</v>
      </c>
      <c r="M1157">
        <f t="shared" si="94"/>
        <v>1.0758728016986201</v>
      </c>
    </row>
    <row r="1158" spans="1:13" x14ac:dyDescent="0.25">
      <c r="A1158" t="s">
        <v>2534</v>
      </c>
      <c r="B1158" t="s">
        <v>125</v>
      </c>
      <c r="C1158" t="s">
        <v>2179</v>
      </c>
      <c r="D1158" t="s">
        <v>2535</v>
      </c>
      <c r="E1158" t="s">
        <v>10</v>
      </c>
      <c r="F1158" t="s">
        <v>11</v>
      </c>
      <c r="H1158">
        <v>1</v>
      </c>
      <c r="I1158">
        <f t="shared" si="90"/>
        <v>1</v>
      </c>
      <c r="J1158" s="2">
        <f t="shared" si="91"/>
        <v>0.28799999999999998</v>
      </c>
      <c r="K1158">
        <f t="shared" si="92"/>
        <v>3.4722222222222223</v>
      </c>
      <c r="L1158" t="str">
        <f t="shared" si="93"/>
        <v>Funded</v>
      </c>
      <c r="M1158">
        <f t="shared" si="94"/>
        <v>1.2447947988461912</v>
      </c>
    </row>
    <row r="1159" spans="1:13" x14ac:dyDescent="0.25">
      <c r="A1159" t="s">
        <v>2536</v>
      </c>
      <c r="B1159" t="s">
        <v>125</v>
      </c>
      <c r="C1159" t="s">
        <v>2537</v>
      </c>
      <c r="D1159" t="s">
        <v>722</v>
      </c>
      <c r="E1159" t="s">
        <v>44</v>
      </c>
      <c r="F1159" t="s">
        <v>21</v>
      </c>
      <c r="H1159">
        <v>1</v>
      </c>
      <c r="I1159">
        <f t="shared" si="90"/>
        <v>1</v>
      </c>
      <c r="J1159" s="2">
        <f t="shared" si="91"/>
        <v>0.47799999999999998</v>
      </c>
      <c r="K1159">
        <f t="shared" si="92"/>
        <v>2.0920502092050208</v>
      </c>
      <c r="L1159" t="str">
        <f t="shared" si="93"/>
        <v>Funded</v>
      </c>
      <c r="M1159">
        <f t="shared" si="94"/>
        <v>0.73814454649068106</v>
      </c>
    </row>
    <row r="1160" spans="1:13" x14ac:dyDescent="0.25">
      <c r="A1160" t="s">
        <v>2538</v>
      </c>
      <c r="B1160" t="s">
        <v>125</v>
      </c>
      <c r="C1160" t="s">
        <v>125</v>
      </c>
      <c r="D1160" t="s">
        <v>465</v>
      </c>
      <c r="E1160" t="s">
        <v>20</v>
      </c>
      <c r="F1160" t="s">
        <v>21</v>
      </c>
      <c r="H1160">
        <v>1</v>
      </c>
      <c r="I1160">
        <f t="shared" si="90"/>
        <v>1</v>
      </c>
      <c r="J1160" s="2">
        <f t="shared" si="91"/>
        <v>1</v>
      </c>
      <c r="K1160">
        <f t="shared" si="92"/>
        <v>1</v>
      </c>
      <c r="L1160" t="str">
        <f t="shared" si="93"/>
        <v>Funded</v>
      </c>
      <c r="M1160">
        <f t="shared" si="94"/>
        <v>0</v>
      </c>
    </row>
    <row r="1161" spans="1:13" x14ac:dyDescent="0.25">
      <c r="A1161" t="s">
        <v>2539</v>
      </c>
      <c r="B1161" t="s">
        <v>125</v>
      </c>
      <c r="C1161" t="s">
        <v>2540</v>
      </c>
      <c r="D1161" t="s">
        <v>2541</v>
      </c>
      <c r="E1161" t="s">
        <v>44</v>
      </c>
      <c r="F1161" t="s">
        <v>21</v>
      </c>
      <c r="H1161">
        <v>1</v>
      </c>
      <c r="I1161">
        <f t="shared" si="90"/>
        <v>1</v>
      </c>
      <c r="J1161" s="2">
        <f t="shared" si="91"/>
        <v>0.42399999999999999</v>
      </c>
      <c r="K1161">
        <f t="shared" si="92"/>
        <v>2.358490566037736</v>
      </c>
      <c r="L1161" t="str">
        <f t="shared" si="93"/>
        <v>Funded</v>
      </c>
      <c r="M1161">
        <f t="shared" si="94"/>
        <v>0.85802182375017932</v>
      </c>
    </row>
    <row r="1162" spans="1:13" x14ac:dyDescent="0.25">
      <c r="A1162" t="s">
        <v>2542</v>
      </c>
      <c r="B1162" t="s">
        <v>125</v>
      </c>
      <c r="C1162" t="s">
        <v>2543</v>
      </c>
      <c r="D1162" t="s">
        <v>245</v>
      </c>
      <c r="E1162" t="s">
        <v>170</v>
      </c>
      <c r="F1162" t="s">
        <v>50</v>
      </c>
      <c r="H1162">
        <v>1</v>
      </c>
      <c r="I1162">
        <f t="shared" si="90"/>
        <v>1</v>
      </c>
      <c r="J1162" s="2">
        <f t="shared" si="91"/>
        <v>7.6999999999999999E-2</v>
      </c>
      <c r="K1162">
        <f t="shared" si="92"/>
        <v>12.987012987012987</v>
      </c>
      <c r="L1162" t="str">
        <f t="shared" si="93"/>
        <v>Funded</v>
      </c>
      <c r="M1162">
        <f t="shared" si="94"/>
        <v>2.5639498571284531</v>
      </c>
    </row>
    <row r="1163" spans="1:13" x14ac:dyDescent="0.25">
      <c r="A1163" t="s">
        <v>2544</v>
      </c>
      <c r="B1163" t="s">
        <v>125</v>
      </c>
      <c r="C1163" t="s">
        <v>372</v>
      </c>
      <c r="D1163" t="s">
        <v>2545</v>
      </c>
      <c r="E1163" t="s">
        <v>2546</v>
      </c>
      <c r="F1163" t="s">
        <v>50</v>
      </c>
      <c r="H1163">
        <v>1</v>
      </c>
      <c r="I1163">
        <f t="shared" si="90"/>
        <v>1</v>
      </c>
      <c r="J1163" s="2">
        <f t="shared" si="91"/>
        <v>0.78500000000000003</v>
      </c>
      <c r="K1163">
        <f t="shared" si="92"/>
        <v>1.2738853503184713</v>
      </c>
      <c r="L1163" t="str">
        <f t="shared" si="93"/>
        <v>Funded</v>
      </c>
      <c r="M1163">
        <f t="shared" si="94"/>
        <v>0.24207156119972859</v>
      </c>
    </row>
    <row r="1164" spans="1:13" x14ac:dyDescent="0.25">
      <c r="A1164" t="s">
        <v>2547</v>
      </c>
      <c r="B1164" t="s">
        <v>125</v>
      </c>
      <c r="C1164" t="s">
        <v>1055</v>
      </c>
      <c r="D1164" t="s">
        <v>722</v>
      </c>
      <c r="E1164" t="s">
        <v>1035</v>
      </c>
      <c r="F1164" t="s">
        <v>21</v>
      </c>
      <c r="H1164">
        <v>1</v>
      </c>
      <c r="I1164">
        <f t="shared" si="90"/>
        <v>1</v>
      </c>
      <c r="J1164" s="2">
        <f t="shared" si="91"/>
        <v>0.26800000000000002</v>
      </c>
      <c r="K1164">
        <f t="shared" si="92"/>
        <v>3.7313432835820892</v>
      </c>
      <c r="L1164" t="str">
        <f t="shared" si="93"/>
        <v>Funded</v>
      </c>
      <c r="M1164">
        <f t="shared" si="94"/>
        <v>1.3167682984712803</v>
      </c>
    </row>
    <row r="1165" spans="1:13" x14ac:dyDescent="0.25">
      <c r="A1165" t="s">
        <v>2548</v>
      </c>
      <c r="B1165" t="s">
        <v>125</v>
      </c>
      <c r="C1165" s="1">
        <v>0</v>
      </c>
      <c r="D1165" t="s">
        <v>1350</v>
      </c>
      <c r="E1165" t="s">
        <v>49</v>
      </c>
      <c r="F1165" t="s">
        <v>50</v>
      </c>
      <c r="H1165">
        <v>1</v>
      </c>
      <c r="I1165">
        <f t="shared" si="90"/>
        <v>1</v>
      </c>
      <c r="J1165" s="2">
        <f t="shared" si="91"/>
        <v>0</v>
      </c>
      <c r="K1165" t="str">
        <f t="shared" si="92"/>
        <v/>
      </c>
      <c r="L1165" t="str">
        <f t="shared" si="93"/>
        <v>Bootstrapped</v>
      </c>
      <c r="M1165" t="str">
        <f t="shared" si="94"/>
        <v/>
      </c>
    </row>
    <row r="1166" spans="1:13" x14ac:dyDescent="0.25">
      <c r="A1166" t="s">
        <v>2549</v>
      </c>
      <c r="B1166" t="s">
        <v>125</v>
      </c>
      <c r="C1166" t="s">
        <v>2550</v>
      </c>
      <c r="D1166" t="s">
        <v>2551</v>
      </c>
      <c r="E1166" t="s">
        <v>329</v>
      </c>
      <c r="F1166" t="s">
        <v>50</v>
      </c>
      <c r="H1166">
        <v>1</v>
      </c>
      <c r="I1166">
        <f t="shared" si="90"/>
        <v>1</v>
      </c>
      <c r="J1166" s="2">
        <f t="shared" si="91"/>
        <v>8.7999999999999995E-2</v>
      </c>
      <c r="K1166">
        <f t="shared" si="92"/>
        <v>11.363636363636365</v>
      </c>
      <c r="L1166" t="str">
        <f t="shared" si="93"/>
        <v>Funded</v>
      </c>
      <c r="M1166">
        <f t="shared" si="94"/>
        <v>2.4304184645039308</v>
      </c>
    </row>
    <row r="1167" spans="1:13" x14ac:dyDescent="0.25">
      <c r="A1167" t="s">
        <v>2552</v>
      </c>
      <c r="B1167" t="s">
        <v>125</v>
      </c>
      <c r="C1167" t="s">
        <v>2553</v>
      </c>
      <c r="D1167" t="s">
        <v>245</v>
      </c>
      <c r="E1167" t="s">
        <v>10</v>
      </c>
      <c r="F1167" t="s">
        <v>11</v>
      </c>
      <c r="H1167">
        <v>1</v>
      </c>
      <c r="I1167">
        <f t="shared" si="90"/>
        <v>1</v>
      </c>
      <c r="J1167" s="2">
        <f t="shared" si="91"/>
        <v>0.16700000000000001</v>
      </c>
      <c r="K1167">
        <f t="shared" si="92"/>
        <v>5.9880239520958076</v>
      </c>
      <c r="L1167" t="str">
        <f t="shared" si="93"/>
        <v>Funded</v>
      </c>
      <c r="M1167">
        <f t="shared" si="94"/>
        <v>1.7897614665653818</v>
      </c>
    </row>
    <row r="1168" spans="1:13" x14ac:dyDescent="0.25">
      <c r="A1168" t="s">
        <v>2554</v>
      </c>
      <c r="B1168" t="s">
        <v>125</v>
      </c>
      <c r="C1168" t="s">
        <v>1379</v>
      </c>
      <c r="D1168" t="s">
        <v>2555</v>
      </c>
      <c r="E1168" t="s">
        <v>10</v>
      </c>
      <c r="F1168" t="s">
        <v>11</v>
      </c>
      <c r="H1168">
        <v>1</v>
      </c>
      <c r="I1168">
        <f t="shared" si="90"/>
        <v>1</v>
      </c>
      <c r="J1168" s="2">
        <f t="shared" si="91"/>
        <v>0.27800000000000002</v>
      </c>
      <c r="K1168">
        <f t="shared" si="92"/>
        <v>3.5971223021582732</v>
      </c>
      <c r="L1168" t="str">
        <f t="shared" si="93"/>
        <v>Funded</v>
      </c>
      <c r="M1168">
        <f t="shared" si="94"/>
        <v>1.2801341652914999</v>
      </c>
    </row>
    <row r="1169" spans="1:13" x14ac:dyDescent="0.25">
      <c r="A1169" t="s">
        <v>2556</v>
      </c>
      <c r="B1169" t="s">
        <v>125</v>
      </c>
      <c r="C1169" t="s">
        <v>224</v>
      </c>
      <c r="D1169" t="s">
        <v>2557</v>
      </c>
      <c r="E1169" t="s">
        <v>187</v>
      </c>
      <c r="F1169" t="s">
        <v>50</v>
      </c>
      <c r="H1169">
        <v>1</v>
      </c>
      <c r="I1169">
        <f t="shared" si="90"/>
        <v>1</v>
      </c>
      <c r="J1169" s="2">
        <f t="shared" si="91"/>
        <v>0.78100000000000003</v>
      </c>
      <c r="K1169">
        <f t="shared" si="92"/>
        <v>1.2804097311139564</v>
      </c>
      <c r="L1169" t="str">
        <f t="shared" si="93"/>
        <v>Funded</v>
      </c>
      <c r="M1169">
        <f t="shared" si="94"/>
        <v>0.24718012914245102</v>
      </c>
    </row>
    <row r="1170" spans="1:13" x14ac:dyDescent="0.25">
      <c r="A1170" t="s">
        <v>2558</v>
      </c>
      <c r="B1170" t="s">
        <v>125</v>
      </c>
      <c r="C1170" t="s">
        <v>2559</v>
      </c>
      <c r="D1170" t="s">
        <v>2560</v>
      </c>
      <c r="E1170" t="s">
        <v>787</v>
      </c>
      <c r="F1170" t="s">
        <v>50</v>
      </c>
      <c r="H1170">
        <v>1</v>
      </c>
      <c r="I1170">
        <f t="shared" si="90"/>
        <v>1</v>
      </c>
      <c r="J1170" s="2">
        <f t="shared" si="91"/>
        <v>0.76</v>
      </c>
      <c r="K1170">
        <f t="shared" si="92"/>
        <v>1.3157894736842106</v>
      </c>
      <c r="L1170" t="str">
        <f t="shared" si="93"/>
        <v>Funded</v>
      </c>
      <c r="M1170">
        <f t="shared" si="94"/>
        <v>0.27443684570176036</v>
      </c>
    </row>
    <row r="1171" spans="1:13" x14ac:dyDescent="0.25">
      <c r="A1171" t="s">
        <v>2561</v>
      </c>
      <c r="B1171" t="s">
        <v>125</v>
      </c>
      <c r="C1171" t="s">
        <v>2363</v>
      </c>
      <c r="D1171" t="s">
        <v>146</v>
      </c>
      <c r="E1171" t="s">
        <v>20</v>
      </c>
      <c r="F1171" t="s">
        <v>21</v>
      </c>
      <c r="H1171">
        <v>1</v>
      </c>
      <c r="I1171">
        <f t="shared" si="90"/>
        <v>1</v>
      </c>
      <c r="J1171" s="2">
        <f t="shared" si="91"/>
        <v>0.17399999999999999</v>
      </c>
      <c r="K1171">
        <f t="shared" si="92"/>
        <v>5.7471264367816097</v>
      </c>
      <c r="L1171" t="str">
        <f t="shared" si="93"/>
        <v>Funded</v>
      </c>
      <c r="M1171">
        <f t="shared" si="94"/>
        <v>1.7486999797676082</v>
      </c>
    </row>
    <row r="1172" spans="1:13" x14ac:dyDescent="0.25">
      <c r="A1172" t="s">
        <v>2562</v>
      </c>
      <c r="B1172" t="s">
        <v>125</v>
      </c>
      <c r="C1172" t="s">
        <v>2563</v>
      </c>
      <c r="D1172" t="s">
        <v>2564</v>
      </c>
      <c r="E1172" t="s">
        <v>10</v>
      </c>
      <c r="F1172" t="s">
        <v>11</v>
      </c>
      <c r="H1172">
        <v>1</v>
      </c>
      <c r="I1172">
        <f t="shared" si="90"/>
        <v>1</v>
      </c>
      <c r="J1172" s="2">
        <f t="shared" si="91"/>
        <v>0.223</v>
      </c>
      <c r="K1172">
        <f t="shared" si="92"/>
        <v>4.4843049327354256</v>
      </c>
      <c r="L1172" t="str">
        <f t="shared" si="93"/>
        <v>Funded</v>
      </c>
      <c r="M1172">
        <f t="shared" si="94"/>
        <v>1.5005835075220182</v>
      </c>
    </row>
    <row r="1173" spans="1:13" x14ac:dyDescent="0.25">
      <c r="A1173" t="s">
        <v>2565</v>
      </c>
      <c r="B1173" t="s">
        <v>125</v>
      </c>
      <c r="C1173" t="s">
        <v>1238</v>
      </c>
      <c r="D1173" t="s">
        <v>2566</v>
      </c>
      <c r="E1173" t="s">
        <v>20</v>
      </c>
      <c r="F1173" t="s">
        <v>21</v>
      </c>
      <c r="H1173">
        <v>1</v>
      </c>
      <c r="I1173">
        <f t="shared" si="90"/>
        <v>1</v>
      </c>
      <c r="J1173" s="2">
        <f t="shared" si="91"/>
        <v>0.35599999999999998</v>
      </c>
      <c r="K1173">
        <f t="shared" si="92"/>
        <v>2.808988764044944</v>
      </c>
      <c r="L1173" t="str">
        <f t="shared" si="93"/>
        <v>Funded</v>
      </c>
      <c r="M1173">
        <f t="shared" si="94"/>
        <v>1.0328245481301066</v>
      </c>
    </row>
    <row r="1174" spans="1:13" x14ac:dyDescent="0.25">
      <c r="A1174" t="s">
        <v>2567</v>
      </c>
      <c r="B1174" t="s">
        <v>125</v>
      </c>
      <c r="C1174" t="s">
        <v>1973</v>
      </c>
      <c r="D1174" t="s">
        <v>2568</v>
      </c>
      <c r="E1174" t="s">
        <v>20</v>
      </c>
      <c r="F1174" t="s">
        <v>21</v>
      </c>
      <c r="H1174">
        <v>1</v>
      </c>
      <c r="I1174">
        <f t="shared" si="90"/>
        <v>1</v>
      </c>
      <c r="J1174" s="2">
        <f t="shared" si="91"/>
        <v>0.27900000000000003</v>
      </c>
      <c r="K1174">
        <f t="shared" si="92"/>
        <v>3.5842293906810032</v>
      </c>
      <c r="L1174" t="str">
        <f t="shared" si="93"/>
        <v>Funded</v>
      </c>
      <c r="M1174">
        <f t="shared" si="94"/>
        <v>1.2765434971607714</v>
      </c>
    </row>
    <row r="1175" spans="1:13" x14ac:dyDescent="0.25">
      <c r="A1175" t="s">
        <v>2569</v>
      </c>
      <c r="B1175" t="s">
        <v>125</v>
      </c>
      <c r="C1175" t="s">
        <v>2570</v>
      </c>
      <c r="D1175" t="s">
        <v>2571</v>
      </c>
      <c r="E1175" t="s">
        <v>10</v>
      </c>
      <c r="F1175" t="s">
        <v>11</v>
      </c>
      <c r="H1175">
        <v>1</v>
      </c>
      <c r="I1175">
        <f t="shared" si="90"/>
        <v>1</v>
      </c>
      <c r="J1175" s="2">
        <f t="shared" si="91"/>
        <v>0.53100000000000003</v>
      </c>
      <c r="K1175">
        <f t="shared" si="92"/>
        <v>1.8832391713747645</v>
      </c>
      <c r="L1175" t="str">
        <f t="shared" si="93"/>
        <v>Funded</v>
      </c>
      <c r="M1175">
        <f t="shared" si="94"/>
        <v>0.63299325774019821</v>
      </c>
    </row>
    <row r="1176" spans="1:13" x14ac:dyDescent="0.25">
      <c r="A1176" t="s">
        <v>2572</v>
      </c>
      <c r="B1176" t="s">
        <v>125</v>
      </c>
      <c r="C1176" t="s">
        <v>2573</v>
      </c>
      <c r="D1176" t="s">
        <v>2574</v>
      </c>
      <c r="E1176" t="s">
        <v>384</v>
      </c>
      <c r="F1176" t="s">
        <v>21</v>
      </c>
      <c r="H1176">
        <v>1</v>
      </c>
      <c r="I1176">
        <f t="shared" si="90"/>
        <v>1</v>
      </c>
      <c r="J1176" s="2">
        <f t="shared" si="91"/>
        <v>0.27400000000000002</v>
      </c>
      <c r="K1176">
        <f t="shared" si="92"/>
        <v>3.6496350364963499</v>
      </c>
      <c r="L1176" t="str">
        <f t="shared" si="93"/>
        <v>Funded</v>
      </c>
      <c r="M1176">
        <f t="shared" si="94"/>
        <v>1.2946271725940668</v>
      </c>
    </row>
    <row r="1177" spans="1:13" x14ac:dyDescent="0.25">
      <c r="A1177" t="s">
        <v>2575</v>
      </c>
      <c r="B1177" t="s">
        <v>125</v>
      </c>
      <c r="C1177" t="s">
        <v>1968</v>
      </c>
      <c r="D1177" t="s">
        <v>2576</v>
      </c>
      <c r="E1177" t="s">
        <v>10</v>
      </c>
      <c r="F1177" t="s">
        <v>11</v>
      </c>
      <c r="H1177">
        <v>1</v>
      </c>
      <c r="I1177">
        <f t="shared" si="90"/>
        <v>1</v>
      </c>
      <c r="J1177" s="2">
        <f t="shared" si="91"/>
        <v>0.13800000000000001</v>
      </c>
      <c r="K1177">
        <f t="shared" si="92"/>
        <v>7.2463768115942022</v>
      </c>
      <c r="L1177" t="str">
        <f t="shared" si="93"/>
        <v>Funded</v>
      </c>
      <c r="M1177">
        <f t="shared" si="94"/>
        <v>1.9805015938249322</v>
      </c>
    </row>
    <row r="1178" spans="1:13" x14ac:dyDescent="0.25">
      <c r="A1178" t="s">
        <v>2577</v>
      </c>
      <c r="B1178" t="s">
        <v>125</v>
      </c>
      <c r="C1178" t="s">
        <v>1891</v>
      </c>
      <c r="D1178" t="s">
        <v>1183</v>
      </c>
      <c r="E1178" t="s">
        <v>10</v>
      </c>
      <c r="F1178" t="s">
        <v>11</v>
      </c>
      <c r="H1178">
        <v>1</v>
      </c>
      <c r="I1178">
        <f t="shared" si="90"/>
        <v>1</v>
      </c>
      <c r="J1178" s="2">
        <f t="shared" si="91"/>
        <v>0.23599999999999999</v>
      </c>
      <c r="K1178">
        <f t="shared" si="92"/>
        <v>4.2372881355932206</v>
      </c>
      <c r="L1178" t="str">
        <f t="shared" si="93"/>
        <v>Funded</v>
      </c>
      <c r="M1178">
        <f t="shared" si="94"/>
        <v>1.443923473956527</v>
      </c>
    </row>
    <row r="1179" spans="1:13" x14ac:dyDescent="0.25">
      <c r="A1179" t="s">
        <v>2578</v>
      </c>
      <c r="B1179" t="s">
        <v>125</v>
      </c>
      <c r="C1179" t="s">
        <v>694</v>
      </c>
      <c r="D1179" t="s">
        <v>2579</v>
      </c>
      <c r="E1179" t="s">
        <v>10</v>
      </c>
      <c r="F1179" t="s">
        <v>11</v>
      </c>
      <c r="H1179">
        <v>1</v>
      </c>
      <c r="I1179">
        <f t="shared" si="90"/>
        <v>1</v>
      </c>
      <c r="J1179" s="2">
        <f t="shared" si="91"/>
        <v>0.33700000000000002</v>
      </c>
      <c r="K1179">
        <f t="shared" si="92"/>
        <v>2.9673590504451037</v>
      </c>
      <c r="L1179" t="str">
        <f t="shared" si="93"/>
        <v>Funded</v>
      </c>
      <c r="M1179">
        <f t="shared" si="94"/>
        <v>1.0876723486297752</v>
      </c>
    </row>
    <row r="1180" spans="1:13" x14ac:dyDescent="0.25">
      <c r="A1180" t="s">
        <v>2580</v>
      </c>
      <c r="B1180" t="s">
        <v>125</v>
      </c>
      <c r="C1180" t="s">
        <v>1721</v>
      </c>
      <c r="D1180" t="s">
        <v>2581</v>
      </c>
      <c r="E1180" t="s">
        <v>10</v>
      </c>
      <c r="F1180" t="s">
        <v>11</v>
      </c>
      <c r="H1180">
        <v>1</v>
      </c>
      <c r="I1180">
        <f t="shared" si="90"/>
        <v>1</v>
      </c>
      <c r="J1180" s="2">
        <f t="shared" si="91"/>
        <v>0.32300000000000001</v>
      </c>
      <c r="K1180">
        <f t="shared" si="92"/>
        <v>3.0959752321981422</v>
      </c>
      <c r="L1180" t="str">
        <f t="shared" si="93"/>
        <v>Funded</v>
      </c>
      <c r="M1180">
        <f t="shared" si="94"/>
        <v>1.1301029557594804</v>
      </c>
    </row>
    <row r="1181" spans="1:13" x14ac:dyDescent="0.25">
      <c r="A1181" t="s">
        <v>2582</v>
      </c>
      <c r="B1181" t="s">
        <v>125</v>
      </c>
      <c r="C1181" t="s">
        <v>936</v>
      </c>
      <c r="D1181" t="s">
        <v>2583</v>
      </c>
      <c r="E1181" t="s">
        <v>10</v>
      </c>
      <c r="F1181" t="s">
        <v>11</v>
      </c>
      <c r="H1181">
        <v>1</v>
      </c>
      <c r="I1181">
        <f t="shared" si="90"/>
        <v>1</v>
      </c>
      <c r="J1181" s="2">
        <f t="shared" si="91"/>
        <v>0.15</v>
      </c>
      <c r="K1181">
        <f t="shared" si="92"/>
        <v>6.666666666666667</v>
      </c>
      <c r="L1181" t="str">
        <f t="shared" si="93"/>
        <v>Funded</v>
      </c>
      <c r="M1181">
        <f t="shared" si="94"/>
        <v>1.8971199848858813</v>
      </c>
    </row>
    <row r="1182" spans="1:13" x14ac:dyDescent="0.25">
      <c r="A1182" t="s">
        <v>2584</v>
      </c>
      <c r="B1182" t="s">
        <v>125</v>
      </c>
      <c r="C1182" t="s">
        <v>2585</v>
      </c>
      <c r="D1182" t="s">
        <v>2586</v>
      </c>
      <c r="E1182" t="s">
        <v>10</v>
      </c>
      <c r="F1182" t="s">
        <v>11</v>
      </c>
      <c r="H1182">
        <v>1</v>
      </c>
      <c r="I1182">
        <f t="shared" si="90"/>
        <v>1</v>
      </c>
      <c r="J1182" s="2">
        <f t="shared" si="91"/>
        <v>0.151</v>
      </c>
      <c r="K1182">
        <f t="shared" si="92"/>
        <v>6.6225165562913908</v>
      </c>
      <c r="L1182" t="str">
        <f t="shared" si="93"/>
        <v>Funded</v>
      </c>
      <c r="M1182">
        <f t="shared" si="94"/>
        <v>1.8904754421672127</v>
      </c>
    </row>
    <row r="1183" spans="1:13" x14ac:dyDescent="0.25">
      <c r="A1183" t="s">
        <v>2587</v>
      </c>
      <c r="B1183" t="s">
        <v>125</v>
      </c>
      <c r="C1183" t="s">
        <v>682</v>
      </c>
      <c r="D1183" t="s">
        <v>2588</v>
      </c>
      <c r="E1183" t="s">
        <v>20</v>
      </c>
      <c r="F1183" t="s">
        <v>21</v>
      </c>
      <c r="H1183">
        <v>1</v>
      </c>
      <c r="I1183">
        <f t="shared" si="90"/>
        <v>1</v>
      </c>
      <c r="J1183" s="2">
        <f t="shared" si="91"/>
        <v>0.39500000000000002</v>
      </c>
      <c r="K1183">
        <f t="shared" si="92"/>
        <v>2.5316455696202529</v>
      </c>
      <c r="L1183" t="str">
        <f t="shared" si="93"/>
        <v>Funded</v>
      </c>
      <c r="M1183">
        <f t="shared" si="94"/>
        <v>0.92886951408101504</v>
      </c>
    </row>
    <row r="1184" spans="1:13" x14ac:dyDescent="0.25">
      <c r="A1184" t="s">
        <v>2589</v>
      </c>
      <c r="B1184" t="s">
        <v>125</v>
      </c>
      <c r="C1184" t="s">
        <v>2590</v>
      </c>
      <c r="D1184" t="s">
        <v>2591</v>
      </c>
      <c r="E1184" t="s">
        <v>20</v>
      </c>
      <c r="F1184" t="s">
        <v>21</v>
      </c>
      <c r="H1184">
        <v>1</v>
      </c>
      <c r="I1184">
        <f t="shared" si="90"/>
        <v>1</v>
      </c>
      <c r="J1184" s="2">
        <f t="shared" si="91"/>
        <v>3.1E-2</v>
      </c>
      <c r="K1184">
        <f t="shared" si="92"/>
        <v>32.258064516129032</v>
      </c>
      <c r="L1184" t="str">
        <f t="shared" si="93"/>
        <v>Funded</v>
      </c>
      <c r="M1184">
        <f t="shared" si="94"/>
        <v>3.473768074496991</v>
      </c>
    </row>
    <row r="1185" spans="1:13" x14ac:dyDescent="0.25">
      <c r="A1185" t="s">
        <v>2592</v>
      </c>
      <c r="B1185" t="s">
        <v>125</v>
      </c>
      <c r="C1185" t="s">
        <v>2593</v>
      </c>
      <c r="D1185" t="s">
        <v>66</v>
      </c>
      <c r="E1185" t="s">
        <v>187</v>
      </c>
      <c r="F1185" t="s">
        <v>50</v>
      </c>
      <c r="H1185">
        <v>1</v>
      </c>
      <c r="I1185">
        <f t="shared" si="90"/>
        <v>1</v>
      </c>
      <c r="J1185" s="2">
        <f t="shared" si="91"/>
        <v>0.312</v>
      </c>
      <c r="K1185">
        <f t="shared" si="92"/>
        <v>3.2051282051282053</v>
      </c>
      <c r="L1185" t="str">
        <f t="shared" si="93"/>
        <v>Funded</v>
      </c>
      <c r="M1185">
        <f t="shared" si="94"/>
        <v>1.1647520911726548</v>
      </c>
    </row>
    <row r="1186" spans="1:13" x14ac:dyDescent="0.25">
      <c r="A1186" t="s">
        <v>2594</v>
      </c>
      <c r="B1186" t="s">
        <v>125</v>
      </c>
      <c r="C1186" t="s">
        <v>2097</v>
      </c>
      <c r="D1186" t="s">
        <v>2595</v>
      </c>
      <c r="E1186" t="s">
        <v>20</v>
      </c>
      <c r="F1186" t="s">
        <v>21</v>
      </c>
      <c r="H1186">
        <v>1</v>
      </c>
      <c r="I1186">
        <f t="shared" si="90"/>
        <v>1</v>
      </c>
      <c r="J1186" s="2">
        <f t="shared" si="91"/>
        <v>0.14199999999999999</v>
      </c>
      <c r="K1186">
        <f t="shared" si="92"/>
        <v>7.042253521126761</v>
      </c>
      <c r="L1186" t="str">
        <f t="shared" si="93"/>
        <v>Funded</v>
      </c>
      <c r="M1186">
        <f t="shared" si="94"/>
        <v>1.9519282213808764</v>
      </c>
    </row>
    <row r="1187" spans="1:13" x14ac:dyDescent="0.25">
      <c r="A1187" t="s">
        <v>2596</v>
      </c>
      <c r="B1187" t="s">
        <v>125</v>
      </c>
      <c r="C1187" t="s">
        <v>2220</v>
      </c>
      <c r="D1187" t="s">
        <v>2597</v>
      </c>
      <c r="E1187" t="s">
        <v>787</v>
      </c>
      <c r="F1187" t="s">
        <v>50</v>
      </c>
      <c r="H1187">
        <v>1</v>
      </c>
      <c r="I1187">
        <f t="shared" si="90"/>
        <v>1</v>
      </c>
      <c r="J1187" s="2">
        <f t="shared" si="91"/>
        <v>0.27100000000000002</v>
      </c>
      <c r="K1187">
        <f t="shared" si="92"/>
        <v>3.6900369003690034</v>
      </c>
      <c r="L1187" t="str">
        <f t="shared" si="93"/>
        <v>Funded</v>
      </c>
      <c r="M1187">
        <f t="shared" si="94"/>
        <v>1.305636458102436</v>
      </c>
    </row>
    <row r="1188" spans="1:13" x14ac:dyDescent="0.25">
      <c r="A1188" t="s">
        <v>2598</v>
      </c>
      <c r="B1188" t="s">
        <v>125</v>
      </c>
      <c r="C1188" t="s">
        <v>986</v>
      </c>
      <c r="D1188" t="s">
        <v>731</v>
      </c>
      <c r="E1188" t="s">
        <v>20</v>
      </c>
      <c r="F1188" t="s">
        <v>21</v>
      </c>
      <c r="H1188">
        <v>1</v>
      </c>
      <c r="I1188">
        <f t="shared" si="90"/>
        <v>1</v>
      </c>
      <c r="J1188" s="2">
        <f t="shared" si="91"/>
        <v>0.29899999999999999</v>
      </c>
      <c r="K1188">
        <f t="shared" si="92"/>
        <v>3.3444816053511706</v>
      </c>
      <c r="L1188" t="str">
        <f t="shared" si="93"/>
        <v>Funded</v>
      </c>
      <c r="M1188">
        <f t="shared" si="94"/>
        <v>1.2073117055914506</v>
      </c>
    </row>
    <row r="1189" spans="1:13" x14ac:dyDescent="0.25">
      <c r="A1189" t="s">
        <v>2599</v>
      </c>
      <c r="B1189" t="s">
        <v>125</v>
      </c>
      <c r="C1189" t="s">
        <v>1896</v>
      </c>
      <c r="D1189" t="s">
        <v>731</v>
      </c>
      <c r="E1189" t="s">
        <v>20</v>
      </c>
      <c r="F1189" t="s">
        <v>21</v>
      </c>
      <c r="H1189">
        <v>1</v>
      </c>
      <c r="I1189">
        <f t="shared" si="90"/>
        <v>1</v>
      </c>
      <c r="J1189" s="2">
        <f t="shared" si="91"/>
        <v>0.19500000000000001</v>
      </c>
      <c r="K1189">
        <f t="shared" si="92"/>
        <v>5.1282051282051277</v>
      </c>
      <c r="L1189" t="str">
        <f t="shared" si="93"/>
        <v>Funded</v>
      </c>
      <c r="M1189">
        <f t="shared" si="94"/>
        <v>1.6347557204183902</v>
      </c>
    </row>
    <row r="1190" spans="1:13" x14ac:dyDescent="0.25">
      <c r="A1190" t="s">
        <v>2600</v>
      </c>
      <c r="B1190" t="s">
        <v>125</v>
      </c>
      <c r="C1190" t="s">
        <v>1898</v>
      </c>
      <c r="D1190" t="s">
        <v>79</v>
      </c>
      <c r="E1190" t="s">
        <v>10</v>
      </c>
      <c r="F1190" t="s">
        <v>11</v>
      </c>
      <c r="H1190">
        <v>1</v>
      </c>
      <c r="I1190">
        <f t="shared" si="90"/>
        <v>1</v>
      </c>
      <c r="J1190" s="2">
        <f t="shared" si="91"/>
        <v>0.27600000000000002</v>
      </c>
      <c r="K1190">
        <f t="shared" si="92"/>
        <v>3.6231884057971011</v>
      </c>
      <c r="L1190" t="str">
        <f t="shared" si="93"/>
        <v>Funded</v>
      </c>
      <c r="M1190">
        <f t="shared" si="94"/>
        <v>1.287354413264987</v>
      </c>
    </row>
    <row r="1191" spans="1:13" x14ac:dyDescent="0.25">
      <c r="A1191" t="s">
        <v>2601</v>
      </c>
      <c r="B1191" t="s">
        <v>125</v>
      </c>
      <c r="C1191" t="s">
        <v>2602</v>
      </c>
      <c r="D1191" t="s">
        <v>2603</v>
      </c>
      <c r="E1191" t="s">
        <v>20</v>
      </c>
      <c r="F1191" t="s">
        <v>21</v>
      </c>
      <c r="H1191">
        <v>1</v>
      </c>
      <c r="I1191">
        <f t="shared" si="90"/>
        <v>1</v>
      </c>
      <c r="J1191" s="2">
        <f t="shared" si="91"/>
        <v>0.39600000000000002</v>
      </c>
      <c r="K1191">
        <f t="shared" si="92"/>
        <v>2.5252525252525251</v>
      </c>
      <c r="L1191" t="str">
        <f t="shared" si="93"/>
        <v>Funded</v>
      </c>
      <c r="M1191">
        <f t="shared" si="94"/>
        <v>0.92634106772765645</v>
      </c>
    </row>
    <row r="1192" spans="1:13" x14ac:dyDescent="0.25">
      <c r="A1192" t="s">
        <v>2604</v>
      </c>
      <c r="B1192" t="s">
        <v>125</v>
      </c>
      <c r="C1192" t="s">
        <v>1058</v>
      </c>
      <c r="D1192" t="s">
        <v>2605</v>
      </c>
      <c r="E1192" t="s">
        <v>10</v>
      </c>
      <c r="F1192" t="s">
        <v>11</v>
      </c>
      <c r="H1192">
        <v>1</v>
      </c>
      <c r="I1192">
        <f t="shared" si="90"/>
        <v>1</v>
      </c>
      <c r="J1192" s="2">
        <f t="shared" si="91"/>
        <v>0.35099999999999998</v>
      </c>
      <c r="K1192">
        <f t="shared" si="92"/>
        <v>2.8490028490028494</v>
      </c>
      <c r="L1192" t="str">
        <f t="shared" si="93"/>
        <v>Funded</v>
      </c>
      <c r="M1192">
        <f t="shared" si="94"/>
        <v>1.0469690555162714</v>
      </c>
    </row>
    <row r="1193" spans="1:13" x14ac:dyDescent="0.25">
      <c r="A1193" t="s">
        <v>2606</v>
      </c>
      <c r="B1193" t="s">
        <v>125</v>
      </c>
      <c r="C1193" t="s">
        <v>2459</v>
      </c>
      <c r="D1193" t="s">
        <v>1760</v>
      </c>
      <c r="E1193" t="s">
        <v>10</v>
      </c>
      <c r="F1193" t="s">
        <v>11</v>
      </c>
      <c r="H1193">
        <v>1</v>
      </c>
      <c r="I1193">
        <f t="shared" si="90"/>
        <v>1</v>
      </c>
      <c r="J1193" s="2">
        <f t="shared" si="91"/>
        <v>0.14799999999999999</v>
      </c>
      <c r="K1193">
        <f t="shared" si="92"/>
        <v>6.756756756756757</v>
      </c>
      <c r="L1193" t="str">
        <f t="shared" si="93"/>
        <v>Funded</v>
      </c>
      <c r="M1193">
        <f t="shared" si="94"/>
        <v>1.9105430052180221</v>
      </c>
    </row>
    <row r="1194" spans="1:13" x14ac:dyDescent="0.25">
      <c r="A1194" t="s">
        <v>2607</v>
      </c>
      <c r="B1194" t="s">
        <v>125</v>
      </c>
      <c r="C1194" t="s">
        <v>2608</v>
      </c>
      <c r="D1194" t="s">
        <v>2609</v>
      </c>
      <c r="E1194" t="s">
        <v>294</v>
      </c>
      <c r="F1194" t="s">
        <v>21</v>
      </c>
      <c r="H1194">
        <v>1</v>
      </c>
      <c r="I1194">
        <f t="shared" si="90"/>
        <v>1</v>
      </c>
      <c r="J1194" s="2">
        <f t="shared" si="91"/>
        <v>3.3000000000000002E-2</v>
      </c>
      <c r="K1194">
        <f t="shared" si="92"/>
        <v>30.303030303030301</v>
      </c>
      <c r="L1194" t="str">
        <f t="shared" si="93"/>
        <v>Funded</v>
      </c>
      <c r="M1194">
        <f t="shared" si="94"/>
        <v>3.4112477175156566</v>
      </c>
    </row>
    <row r="1195" spans="1:13" x14ac:dyDescent="0.25">
      <c r="A1195" t="s">
        <v>2610</v>
      </c>
      <c r="B1195" t="s">
        <v>125</v>
      </c>
      <c r="C1195" t="s">
        <v>544</v>
      </c>
      <c r="D1195" t="s">
        <v>2611</v>
      </c>
      <c r="E1195" t="s">
        <v>20</v>
      </c>
      <c r="F1195" t="s">
        <v>21</v>
      </c>
      <c r="H1195">
        <v>1</v>
      </c>
      <c r="I1195">
        <f t="shared" si="90"/>
        <v>1</v>
      </c>
      <c r="J1195" s="2">
        <f t="shared" si="91"/>
        <v>0.19900000000000001</v>
      </c>
      <c r="K1195">
        <f t="shared" si="92"/>
        <v>5.0251256281407031</v>
      </c>
      <c r="L1195" t="str">
        <f t="shared" si="93"/>
        <v>Funded</v>
      </c>
      <c r="M1195">
        <f t="shared" si="94"/>
        <v>1.6144504542576446</v>
      </c>
    </row>
    <row r="1196" spans="1:13" x14ac:dyDescent="0.25">
      <c r="A1196" t="s">
        <v>2612</v>
      </c>
      <c r="B1196" t="s">
        <v>125</v>
      </c>
      <c r="C1196" s="1">
        <v>0</v>
      </c>
      <c r="D1196" t="s">
        <v>2613</v>
      </c>
      <c r="E1196" t="s">
        <v>20</v>
      </c>
      <c r="F1196" t="s">
        <v>21</v>
      </c>
      <c r="H1196">
        <v>1</v>
      </c>
      <c r="I1196">
        <f t="shared" si="90"/>
        <v>1</v>
      </c>
      <c r="J1196" s="2">
        <f t="shared" si="91"/>
        <v>0</v>
      </c>
      <c r="K1196" t="str">
        <f t="shared" si="92"/>
        <v/>
      </c>
      <c r="L1196" t="str">
        <f t="shared" si="93"/>
        <v>Bootstrapped</v>
      </c>
      <c r="M1196" t="str">
        <f t="shared" si="94"/>
        <v/>
      </c>
    </row>
    <row r="1197" spans="1:13" x14ac:dyDescent="0.25">
      <c r="A1197" t="s">
        <v>2614</v>
      </c>
      <c r="B1197" t="s">
        <v>125</v>
      </c>
      <c r="C1197" t="s">
        <v>2346</v>
      </c>
      <c r="D1197" t="s">
        <v>2615</v>
      </c>
      <c r="E1197" t="s">
        <v>10</v>
      </c>
      <c r="F1197" t="s">
        <v>11</v>
      </c>
      <c r="H1197">
        <v>1</v>
      </c>
      <c r="I1197">
        <f t="shared" si="90"/>
        <v>1</v>
      </c>
      <c r="J1197" s="2">
        <f t="shared" si="91"/>
        <v>0.20100000000000001</v>
      </c>
      <c r="K1197">
        <f t="shared" si="92"/>
        <v>4.9751243781094523</v>
      </c>
      <c r="L1197" t="str">
        <f t="shared" si="93"/>
        <v>Funded</v>
      </c>
      <c r="M1197">
        <f t="shared" si="94"/>
        <v>1.6044503709230613</v>
      </c>
    </row>
    <row r="1198" spans="1:13" x14ac:dyDescent="0.25">
      <c r="A1198" t="s">
        <v>2616</v>
      </c>
      <c r="B1198" t="s">
        <v>125</v>
      </c>
      <c r="C1198" t="s">
        <v>2617</v>
      </c>
      <c r="D1198" t="s">
        <v>2344</v>
      </c>
      <c r="E1198" t="s">
        <v>1008</v>
      </c>
      <c r="F1198" t="s">
        <v>11</v>
      </c>
      <c r="H1198">
        <v>1</v>
      </c>
      <c r="I1198">
        <f t="shared" si="90"/>
        <v>1</v>
      </c>
      <c r="J1198" s="2">
        <f t="shared" si="91"/>
        <v>0.24299999999999999</v>
      </c>
      <c r="K1198">
        <f t="shared" si="92"/>
        <v>4.1152263374485596</v>
      </c>
      <c r="L1198" t="str">
        <f t="shared" si="93"/>
        <v>Funded</v>
      </c>
      <c r="M1198">
        <f t="shared" si="94"/>
        <v>1.4146938356415886</v>
      </c>
    </row>
    <row r="1199" spans="1:13" x14ac:dyDescent="0.25">
      <c r="A1199" t="s">
        <v>2618</v>
      </c>
      <c r="B1199" t="s">
        <v>125</v>
      </c>
      <c r="C1199" t="s">
        <v>1875</v>
      </c>
      <c r="D1199" t="s">
        <v>1183</v>
      </c>
      <c r="E1199" t="s">
        <v>1195</v>
      </c>
      <c r="F1199" t="s">
        <v>50</v>
      </c>
      <c r="H1199">
        <v>1</v>
      </c>
      <c r="I1199">
        <f t="shared" si="90"/>
        <v>1</v>
      </c>
      <c r="J1199" s="2">
        <f t="shared" si="91"/>
        <v>0.1</v>
      </c>
      <c r="K1199">
        <f t="shared" si="92"/>
        <v>10</v>
      </c>
      <c r="L1199" t="str">
        <f t="shared" si="93"/>
        <v>Funded</v>
      </c>
      <c r="M1199">
        <f t="shared" si="94"/>
        <v>2.3025850929940459</v>
      </c>
    </row>
    <row r="1200" spans="1:13" x14ac:dyDescent="0.25">
      <c r="A1200" t="s">
        <v>2619</v>
      </c>
      <c r="B1200" t="s">
        <v>125</v>
      </c>
      <c r="C1200" t="s">
        <v>645</v>
      </c>
      <c r="D1200" t="s">
        <v>2620</v>
      </c>
      <c r="E1200" t="s">
        <v>10</v>
      </c>
      <c r="F1200" t="s">
        <v>11</v>
      </c>
      <c r="H1200">
        <v>1</v>
      </c>
      <c r="I1200">
        <f t="shared" si="90"/>
        <v>1</v>
      </c>
      <c r="J1200" s="2">
        <f t="shared" si="91"/>
        <v>0.2</v>
      </c>
      <c r="K1200">
        <f t="shared" si="92"/>
        <v>5</v>
      </c>
      <c r="L1200" t="str">
        <f t="shared" si="93"/>
        <v>Funded</v>
      </c>
      <c r="M1200">
        <f t="shared" si="94"/>
        <v>1.6094379124341003</v>
      </c>
    </row>
    <row r="1201" spans="1:13" x14ac:dyDescent="0.25">
      <c r="A1201" t="s">
        <v>2621</v>
      </c>
      <c r="B1201" t="s">
        <v>125</v>
      </c>
      <c r="C1201" t="s">
        <v>1402</v>
      </c>
      <c r="D1201" t="s">
        <v>2622</v>
      </c>
      <c r="E1201" t="s">
        <v>10</v>
      </c>
      <c r="F1201" t="s">
        <v>11</v>
      </c>
      <c r="H1201">
        <v>1</v>
      </c>
      <c r="I1201">
        <f t="shared" si="90"/>
        <v>1</v>
      </c>
      <c r="J1201" s="2">
        <f t="shared" si="91"/>
        <v>0.371</v>
      </c>
      <c r="K1201">
        <f t="shared" si="92"/>
        <v>2.6954177897574123</v>
      </c>
      <c r="L1201" t="str">
        <f t="shared" si="93"/>
        <v>Funded</v>
      </c>
      <c r="M1201">
        <f t="shared" si="94"/>
        <v>0.99155321637470184</v>
      </c>
    </row>
    <row r="1202" spans="1:13" x14ac:dyDescent="0.25">
      <c r="A1202" t="s">
        <v>2623</v>
      </c>
      <c r="B1202" t="s">
        <v>125</v>
      </c>
      <c r="C1202" t="s">
        <v>2328</v>
      </c>
      <c r="D1202" t="s">
        <v>2624</v>
      </c>
      <c r="E1202" t="s">
        <v>187</v>
      </c>
      <c r="F1202" t="s">
        <v>50</v>
      </c>
      <c r="H1202">
        <v>1</v>
      </c>
      <c r="I1202">
        <f t="shared" si="90"/>
        <v>1</v>
      </c>
      <c r="J1202" s="2">
        <f t="shared" si="91"/>
        <v>0.10199999999999999</v>
      </c>
      <c r="K1202">
        <f t="shared" si="92"/>
        <v>9.8039215686274517</v>
      </c>
      <c r="L1202" t="str">
        <f t="shared" si="93"/>
        <v>Funded</v>
      </c>
      <c r="M1202">
        <f t="shared" si="94"/>
        <v>2.2827824656978661</v>
      </c>
    </row>
    <row r="1203" spans="1:13" x14ac:dyDescent="0.25">
      <c r="A1203" t="s">
        <v>2625</v>
      </c>
      <c r="B1203" t="s">
        <v>125</v>
      </c>
      <c r="C1203" t="s">
        <v>789</v>
      </c>
      <c r="D1203" t="s">
        <v>719</v>
      </c>
      <c r="E1203" t="s">
        <v>10</v>
      </c>
      <c r="F1203" t="s">
        <v>11</v>
      </c>
      <c r="H1203">
        <v>1</v>
      </c>
      <c r="I1203">
        <f t="shared" si="90"/>
        <v>1</v>
      </c>
      <c r="J1203" s="2">
        <f t="shared" si="91"/>
        <v>0.11</v>
      </c>
      <c r="K1203">
        <f t="shared" si="92"/>
        <v>9.0909090909090917</v>
      </c>
      <c r="L1203" t="str">
        <f t="shared" si="93"/>
        <v>Funded</v>
      </c>
      <c r="M1203">
        <f t="shared" si="94"/>
        <v>2.2072749131897211</v>
      </c>
    </row>
    <row r="1204" spans="1:13" x14ac:dyDescent="0.25">
      <c r="A1204" t="s">
        <v>2626</v>
      </c>
      <c r="B1204" t="s">
        <v>125</v>
      </c>
      <c r="C1204" t="s">
        <v>2627</v>
      </c>
      <c r="D1204" t="s">
        <v>245</v>
      </c>
      <c r="E1204" t="s">
        <v>10</v>
      </c>
      <c r="F1204" t="s">
        <v>11</v>
      </c>
      <c r="H1204">
        <v>1</v>
      </c>
      <c r="I1204">
        <f t="shared" si="90"/>
        <v>1</v>
      </c>
      <c r="J1204" s="2">
        <f t="shared" si="91"/>
        <v>0.16200000000000001</v>
      </c>
      <c r="K1204">
        <f t="shared" si="92"/>
        <v>6.1728395061728394</v>
      </c>
      <c r="L1204" t="str">
        <f t="shared" si="93"/>
        <v>Funded</v>
      </c>
      <c r="M1204">
        <f t="shared" si="94"/>
        <v>1.820158943749753</v>
      </c>
    </row>
    <row r="1205" spans="1:13" x14ac:dyDescent="0.25">
      <c r="A1205" t="s">
        <v>2628</v>
      </c>
      <c r="B1205" t="s">
        <v>125</v>
      </c>
      <c r="C1205" t="s">
        <v>2471</v>
      </c>
      <c r="D1205" t="s">
        <v>517</v>
      </c>
      <c r="E1205" t="s">
        <v>10</v>
      </c>
      <c r="F1205" t="s">
        <v>11</v>
      </c>
      <c r="H1205">
        <v>1</v>
      </c>
      <c r="I1205">
        <f t="shared" si="90"/>
        <v>1</v>
      </c>
      <c r="J1205" s="2">
        <f t="shared" si="91"/>
        <v>0.189</v>
      </c>
      <c r="K1205">
        <f t="shared" si="92"/>
        <v>5.2910052910052912</v>
      </c>
      <c r="L1205" t="str">
        <f t="shared" si="93"/>
        <v>Funded</v>
      </c>
      <c r="M1205">
        <f t="shared" si="94"/>
        <v>1.6660082639224947</v>
      </c>
    </row>
    <row r="1206" spans="1:13" x14ac:dyDescent="0.25">
      <c r="A1206" t="s">
        <v>2629</v>
      </c>
      <c r="B1206" t="s">
        <v>125</v>
      </c>
      <c r="C1206" t="s">
        <v>2630</v>
      </c>
      <c r="D1206" t="s">
        <v>2631</v>
      </c>
      <c r="E1206" t="s">
        <v>10</v>
      </c>
      <c r="F1206" t="s">
        <v>11</v>
      </c>
      <c r="H1206">
        <v>1</v>
      </c>
      <c r="I1206">
        <f t="shared" si="90"/>
        <v>1</v>
      </c>
      <c r="J1206" s="2">
        <f t="shared" si="91"/>
        <v>0.222</v>
      </c>
      <c r="K1206">
        <f t="shared" si="92"/>
        <v>4.5045045045045047</v>
      </c>
      <c r="L1206" t="str">
        <f t="shared" si="93"/>
        <v>Funded</v>
      </c>
      <c r="M1206">
        <f t="shared" si="94"/>
        <v>1.5050778971098577</v>
      </c>
    </row>
    <row r="1207" spans="1:13" x14ac:dyDescent="0.25">
      <c r="A1207" t="s">
        <v>2632</v>
      </c>
      <c r="B1207" t="s">
        <v>125</v>
      </c>
      <c r="C1207" t="s">
        <v>2633</v>
      </c>
      <c r="D1207" t="s">
        <v>2634</v>
      </c>
      <c r="E1207" t="s">
        <v>62</v>
      </c>
      <c r="F1207" t="s">
        <v>63</v>
      </c>
      <c r="H1207">
        <v>1</v>
      </c>
      <c r="I1207">
        <f t="shared" si="90"/>
        <v>1</v>
      </c>
      <c r="J1207" s="2">
        <f t="shared" si="91"/>
        <v>0.159</v>
      </c>
      <c r="K1207">
        <f t="shared" si="92"/>
        <v>6.2893081761006284</v>
      </c>
      <c r="L1207" t="str">
        <f t="shared" si="93"/>
        <v>Funded</v>
      </c>
      <c r="M1207">
        <f t="shared" si="94"/>
        <v>1.8388510767619055</v>
      </c>
    </row>
    <row r="1208" spans="1:13" x14ac:dyDescent="0.25">
      <c r="A1208" t="s">
        <v>2635</v>
      </c>
      <c r="B1208" t="s">
        <v>125</v>
      </c>
      <c r="C1208" t="s">
        <v>1221</v>
      </c>
      <c r="D1208" t="s">
        <v>454</v>
      </c>
      <c r="E1208" t="s">
        <v>10</v>
      </c>
      <c r="F1208" t="s">
        <v>11</v>
      </c>
      <c r="H1208">
        <v>1</v>
      </c>
      <c r="I1208">
        <f t="shared" si="90"/>
        <v>1</v>
      </c>
      <c r="J1208" s="2">
        <f t="shared" si="91"/>
        <v>0.36699999999999999</v>
      </c>
      <c r="K1208">
        <f t="shared" si="92"/>
        <v>2.7247956403269757</v>
      </c>
      <c r="L1208" t="str">
        <f t="shared" si="93"/>
        <v>Funded</v>
      </c>
      <c r="M1208">
        <f t="shared" si="94"/>
        <v>1.0023934309275668</v>
      </c>
    </row>
    <row r="1209" spans="1:13" x14ac:dyDescent="0.25">
      <c r="A1209" t="s">
        <v>2636</v>
      </c>
      <c r="B1209" t="s">
        <v>125</v>
      </c>
      <c r="C1209" t="s">
        <v>2637</v>
      </c>
      <c r="D1209" t="s">
        <v>2638</v>
      </c>
      <c r="H1209">
        <v>1</v>
      </c>
      <c r="I1209">
        <f t="shared" si="90"/>
        <v>1</v>
      </c>
      <c r="J1209" s="2">
        <f t="shared" si="91"/>
        <v>5.1999999999999998E-2</v>
      </c>
      <c r="K1209">
        <f t="shared" si="92"/>
        <v>19.23076923076923</v>
      </c>
      <c r="L1209" t="str">
        <f t="shared" si="93"/>
        <v>Funded</v>
      </c>
      <c r="M1209">
        <f t="shared" si="94"/>
        <v>2.9565115604007097</v>
      </c>
    </row>
    <row r="1210" spans="1:13" x14ac:dyDescent="0.25">
      <c r="A1210" t="s">
        <v>2639</v>
      </c>
      <c r="B1210" t="s">
        <v>125</v>
      </c>
      <c r="C1210" t="s">
        <v>1975</v>
      </c>
      <c r="D1210" t="s">
        <v>177</v>
      </c>
      <c r="E1210" t="s">
        <v>170</v>
      </c>
      <c r="F1210" t="s">
        <v>50</v>
      </c>
      <c r="H1210">
        <v>1</v>
      </c>
      <c r="I1210">
        <f t="shared" si="90"/>
        <v>1</v>
      </c>
      <c r="J1210" s="2">
        <f t="shared" si="91"/>
        <v>0.30599999999999999</v>
      </c>
      <c r="K1210">
        <f t="shared" si="92"/>
        <v>3.2679738562091503</v>
      </c>
      <c r="L1210" t="str">
        <f t="shared" si="93"/>
        <v>Funded</v>
      </c>
      <c r="M1210">
        <f t="shared" si="94"/>
        <v>1.1841701770297564</v>
      </c>
    </row>
    <row r="1211" spans="1:13" x14ac:dyDescent="0.25">
      <c r="A1211" t="s">
        <v>2640</v>
      </c>
      <c r="B1211" t="s">
        <v>125</v>
      </c>
      <c r="C1211" t="s">
        <v>81</v>
      </c>
      <c r="D1211" t="s">
        <v>2641</v>
      </c>
      <c r="E1211" t="s">
        <v>20</v>
      </c>
      <c r="F1211" t="s">
        <v>21</v>
      </c>
      <c r="H1211">
        <v>1</v>
      </c>
      <c r="I1211">
        <f t="shared" si="90"/>
        <v>1</v>
      </c>
      <c r="J1211" s="2">
        <f t="shared" si="91"/>
        <v>3</v>
      </c>
      <c r="K1211">
        <f t="shared" si="92"/>
        <v>0.33333333333333331</v>
      </c>
      <c r="L1211" t="str">
        <f t="shared" si="93"/>
        <v>Funded</v>
      </c>
      <c r="M1211">
        <f t="shared" si="94"/>
        <v>-1.0986122886681098</v>
      </c>
    </row>
    <row r="1212" spans="1:13" x14ac:dyDescent="0.25">
      <c r="A1212" t="s">
        <v>2642</v>
      </c>
      <c r="B1212" t="s">
        <v>125</v>
      </c>
      <c r="C1212" t="s">
        <v>2643</v>
      </c>
      <c r="D1212" t="s">
        <v>476</v>
      </c>
      <c r="E1212" t="s">
        <v>10</v>
      </c>
      <c r="F1212" t="s">
        <v>11</v>
      </c>
      <c r="H1212">
        <v>1</v>
      </c>
      <c r="I1212">
        <f t="shared" si="90"/>
        <v>1</v>
      </c>
      <c r="J1212" s="2">
        <f t="shared" si="91"/>
        <v>0.14000000000000001</v>
      </c>
      <c r="K1212">
        <f t="shared" si="92"/>
        <v>7.1428571428571423</v>
      </c>
      <c r="L1212" t="str">
        <f t="shared" si="93"/>
        <v>Funded</v>
      </c>
      <c r="M1212">
        <f t="shared" si="94"/>
        <v>1.9661128563728327</v>
      </c>
    </row>
    <row r="1213" spans="1:13" x14ac:dyDescent="0.25">
      <c r="A1213" t="s">
        <v>2644</v>
      </c>
      <c r="B1213" t="s">
        <v>125</v>
      </c>
      <c r="C1213" t="s">
        <v>2645</v>
      </c>
      <c r="D1213" t="s">
        <v>66</v>
      </c>
      <c r="E1213" t="s">
        <v>44</v>
      </c>
      <c r="F1213" t="s">
        <v>21</v>
      </c>
      <c r="H1213">
        <v>1</v>
      </c>
      <c r="I1213">
        <f t="shared" si="90"/>
        <v>1</v>
      </c>
      <c r="J1213" s="2">
        <f t="shared" si="91"/>
        <v>0.193</v>
      </c>
      <c r="K1213">
        <f t="shared" si="92"/>
        <v>5.1813471502590671</v>
      </c>
      <c r="L1213" t="str">
        <f t="shared" si="93"/>
        <v>Funded</v>
      </c>
      <c r="M1213">
        <f t="shared" si="94"/>
        <v>1.6450650900772514</v>
      </c>
    </row>
    <row r="1214" spans="1:13" x14ac:dyDescent="0.25">
      <c r="A1214" t="s">
        <v>2646</v>
      </c>
      <c r="B1214" t="s">
        <v>125</v>
      </c>
      <c r="C1214" t="s">
        <v>2647</v>
      </c>
      <c r="D1214" t="s">
        <v>1256</v>
      </c>
      <c r="E1214" t="s">
        <v>10</v>
      </c>
      <c r="F1214" t="s">
        <v>11</v>
      </c>
      <c r="H1214">
        <v>1</v>
      </c>
      <c r="I1214">
        <f t="shared" si="90"/>
        <v>1</v>
      </c>
      <c r="J1214" s="2">
        <f t="shared" si="91"/>
        <v>0.40600000000000003</v>
      </c>
      <c r="K1214">
        <f t="shared" si="92"/>
        <v>2.4630541871921179</v>
      </c>
      <c r="L1214" t="str">
        <f t="shared" si="93"/>
        <v>Funded</v>
      </c>
      <c r="M1214">
        <f t="shared" si="94"/>
        <v>0.90140211938040427</v>
      </c>
    </row>
    <row r="1215" spans="1:13" x14ac:dyDescent="0.25">
      <c r="A1215" t="s">
        <v>2648</v>
      </c>
      <c r="B1215" t="s">
        <v>125</v>
      </c>
      <c r="C1215" t="s">
        <v>2649</v>
      </c>
      <c r="D1215" t="s">
        <v>2650</v>
      </c>
      <c r="E1215" t="s">
        <v>10</v>
      </c>
      <c r="F1215" t="s">
        <v>11</v>
      </c>
      <c r="H1215">
        <v>1</v>
      </c>
      <c r="I1215">
        <f t="shared" si="90"/>
        <v>1</v>
      </c>
      <c r="J1215" s="2">
        <f t="shared" si="91"/>
        <v>0.17100000000000001</v>
      </c>
      <c r="K1215">
        <f t="shared" si="92"/>
        <v>5.8479532163742682</v>
      </c>
      <c r="L1215" t="str">
        <f t="shared" si="93"/>
        <v>Funded</v>
      </c>
      <c r="M1215">
        <f t="shared" si="94"/>
        <v>1.766091722479477</v>
      </c>
    </row>
    <row r="1216" spans="1:13" x14ac:dyDescent="0.25">
      <c r="A1216" t="s">
        <v>2651</v>
      </c>
      <c r="B1216" t="s">
        <v>125</v>
      </c>
      <c r="C1216" t="s">
        <v>1291</v>
      </c>
      <c r="D1216" t="s">
        <v>2652</v>
      </c>
      <c r="E1216" t="s">
        <v>10</v>
      </c>
      <c r="F1216" t="s">
        <v>11</v>
      </c>
      <c r="H1216">
        <v>1</v>
      </c>
      <c r="I1216">
        <f t="shared" si="90"/>
        <v>1</v>
      </c>
      <c r="J1216" s="2">
        <f t="shared" si="91"/>
        <v>0.25800000000000001</v>
      </c>
      <c r="K1216">
        <f t="shared" si="92"/>
        <v>3.8759689922480618</v>
      </c>
      <c r="L1216" t="str">
        <f t="shared" si="93"/>
        <v>Funded</v>
      </c>
      <c r="M1216">
        <f t="shared" si="94"/>
        <v>1.3547956940605195</v>
      </c>
    </row>
    <row r="1217" spans="1:13" x14ac:dyDescent="0.25">
      <c r="A1217" t="s">
        <v>2653</v>
      </c>
      <c r="B1217" t="s">
        <v>125</v>
      </c>
      <c r="C1217" t="s">
        <v>2654</v>
      </c>
      <c r="D1217" t="s">
        <v>2655</v>
      </c>
      <c r="E1217" t="s">
        <v>1035</v>
      </c>
      <c r="F1217" t="s">
        <v>21</v>
      </c>
      <c r="H1217">
        <v>1</v>
      </c>
      <c r="I1217">
        <f t="shared" si="90"/>
        <v>1</v>
      </c>
      <c r="J1217" s="2">
        <f t="shared" si="91"/>
        <v>0.376</v>
      </c>
      <c r="K1217">
        <f t="shared" si="92"/>
        <v>2.6595744680851063</v>
      </c>
      <c r="L1217" t="str">
        <f t="shared" si="93"/>
        <v>Funded</v>
      </c>
      <c r="M1217">
        <f t="shared" si="94"/>
        <v>0.97816613559224252</v>
      </c>
    </row>
    <row r="1218" spans="1:13" x14ac:dyDescent="0.25">
      <c r="A1218" t="s">
        <v>2656</v>
      </c>
      <c r="B1218" t="s">
        <v>125</v>
      </c>
      <c r="C1218" t="s">
        <v>645</v>
      </c>
      <c r="D1218" t="s">
        <v>2657</v>
      </c>
      <c r="E1218" t="s">
        <v>10</v>
      </c>
      <c r="F1218" t="s">
        <v>11</v>
      </c>
      <c r="H1218">
        <v>1</v>
      </c>
      <c r="I1218">
        <f t="shared" si="90"/>
        <v>1</v>
      </c>
      <c r="J1218" s="2">
        <f t="shared" si="91"/>
        <v>0.2</v>
      </c>
      <c r="K1218">
        <f t="shared" si="92"/>
        <v>5</v>
      </c>
      <c r="L1218" t="str">
        <f t="shared" si="93"/>
        <v>Funded</v>
      </c>
      <c r="M1218">
        <f t="shared" si="94"/>
        <v>1.6094379124341003</v>
      </c>
    </row>
    <row r="1219" spans="1:13" x14ac:dyDescent="0.25">
      <c r="A1219" t="s">
        <v>2658</v>
      </c>
      <c r="B1219" t="s">
        <v>125</v>
      </c>
      <c r="C1219" t="s">
        <v>2659</v>
      </c>
      <c r="D1219" t="s">
        <v>2660</v>
      </c>
      <c r="E1219" t="s">
        <v>365</v>
      </c>
      <c r="F1219" t="s">
        <v>11</v>
      </c>
      <c r="H1219">
        <v>1</v>
      </c>
      <c r="I1219">
        <f t="shared" ref="I1219:I1282" si="95">IF(B1219="","",
VALUE(SUBSTITUTE(SUBSTITUTE(B1219,"$",""),"B","")))</f>
        <v>1</v>
      </c>
      <c r="J1219" s="2">
        <f t="shared" ref="J1219:J1282" si="96">IF(C1219="","",
IF(C1219="$0",0,
IF(RIGHT(C1219,1)="B",
VALUE(SUBSTITUTE(SUBSTITUTE(C1219,"$",""),"B","")),
IF(RIGHT(C1219,1)="M",
VALUE(SUBSTITUTE(SUBSTITUTE(C1219,"$",""),"M",""))/1000,
IF(RIGHT(C1219,1)="K",
VALUE(SUBSTITUTE(SUBSTITUTE(C1219,"$",""),"K",""))/1000000,
VALUE(SUBSTITUTE(C1219,"$",""))
)))))</f>
        <v>0.186</v>
      </c>
      <c r="K1219">
        <f t="shared" ref="K1219:K1282" si="97">IF(J1219&gt;0,I1219/J1219,"")</f>
        <v>5.376344086021505</v>
      </c>
      <c r="L1219" t="str">
        <f t="shared" ref="L1219:L1282" si="98">IF(J1219=0,"Bootstrapped","Funded")</f>
        <v>Funded</v>
      </c>
      <c r="M1219">
        <f t="shared" ref="M1219:M1282" si="99">IF(AND(I1219&gt;0,J1219&gt;0),LN(I1219/J1219),"")</f>
        <v>1.6820086052689358</v>
      </c>
    </row>
    <row r="1220" spans="1:13" x14ac:dyDescent="0.25">
      <c r="A1220" t="s">
        <v>2661</v>
      </c>
      <c r="B1220" t="s">
        <v>125</v>
      </c>
      <c r="C1220" t="s">
        <v>2662</v>
      </c>
      <c r="D1220" t="s">
        <v>2663</v>
      </c>
      <c r="E1220" t="s">
        <v>10</v>
      </c>
      <c r="F1220" t="s">
        <v>11</v>
      </c>
      <c r="H1220">
        <v>1</v>
      </c>
      <c r="I1220">
        <f t="shared" si="95"/>
        <v>1</v>
      </c>
      <c r="J1220" s="2">
        <f t="shared" si="96"/>
        <v>0.20499999999999999</v>
      </c>
      <c r="K1220">
        <f t="shared" si="97"/>
        <v>4.8780487804878048</v>
      </c>
      <c r="L1220" t="str">
        <f t="shared" si="98"/>
        <v>Funded</v>
      </c>
      <c r="M1220">
        <f t="shared" si="99"/>
        <v>1.5847452998437288</v>
      </c>
    </row>
    <row r="1221" spans="1:13" x14ac:dyDescent="0.25">
      <c r="A1221" t="s">
        <v>2664</v>
      </c>
      <c r="B1221" t="s">
        <v>125</v>
      </c>
      <c r="C1221" t="s">
        <v>1484</v>
      </c>
      <c r="D1221" t="s">
        <v>2665</v>
      </c>
      <c r="E1221" t="s">
        <v>49</v>
      </c>
      <c r="F1221" t="s">
        <v>50</v>
      </c>
      <c r="H1221">
        <v>1</v>
      </c>
      <c r="I1221">
        <f t="shared" si="95"/>
        <v>1</v>
      </c>
      <c r="J1221" s="2">
        <f t="shared" si="96"/>
        <v>0.28199999999999997</v>
      </c>
      <c r="K1221">
        <f t="shared" si="97"/>
        <v>3.5460992907801421</v>
      </c>
      <c r="L1221" t="str">
        <f t="shared" si="98"/>
        <v>Funded</v>
      </c>
      <c r="M1221">
        <f t="shared" si="99"/>
        <v>1.2658482080440234</v>
      </c>
    </row>
    <row r="1222" spans="1:13" x14ac:dyDescent="0.25">
      <c r="A1222" t="s">
        <v>2666</v>
      </c>
      <c r="B1222" t="s">
        <v>125</v>
      </c>
      <c r="C1222" t="s">
        <v>1323</v>
      </c>
      <c r="D1222" t="s">
        <v>177</v>
      </c>
      <c r="E1222" t="s">
        <v>44</v>
      </c>
      <c r="F1222" t="s">
        <v>21</v>
      </c>
      <c r="H1222">
        <v>1</v>
      </c>
      <c r="I1222">
        <f t="shared" si="95"/>
        <v>1</v>
      </c>
      <c r="J1222" s="2">
        <f t="shared" si="96"/>
        <v>0.45800000000000002</v>
      </c>
      <c r="K1222">
        <f t="shared" si="97"/>
        <v>2.1834061135371177</v>
      </c>
      <c r="L1222" t="str">
        <f t="shared" si="98"/>
        <v>Funded</v>
      </c>
      <c r="M1222">
        <f t="shared" si="99"/>
        <v>0.78088609486795202</v>
      </c>
    </row>
    <row r="1223" spans="1:13" x14ac:dyDescent="0.25">
      <c r="A1223" t="s">
        <v>2667</v>
      </c>
      <c r="B1223" t="s">
        <v>125</v>
      </c>
      <c r="C1223" t="s">
        <v>1271</v>
      </c>
      <c r="D1223" t="s">
        <v>2668</v>
      </c>
      <c r="E1223" t="s">
        <v>10</v>
      </c>
      <c r="F1223" t="s">
        <v>11</v>
      </c>
      <c r="H1223">
        <v>1</v>
      </c>
      <c r="I1223">
        <f t="shared" si="95"/>
        <v>1</v>
      </c>
      <c r="J1223" s="2">
        <f t="shared" si="96"/>
        <v>0.16900000000000001</v>
      </c>
      <c r="K1223">
        <f t="shared" si="97"/>
        <v>5.9171597633136095</v>
      </c>
      <c r="L1223" t="str">
        <f t="shared" si="98"/>
        <v>Funded</v>
      </c>
      <c r="M1223">
        <f t="shared" si="99"/>
        <v>1.7778565640590636</v>
      </c>
    </row>
    <row r="1224" spans="1:13" x14ac:dyDescent="0.25">
      <c r="A1224" t="s">
        <v>2669</v>
      </c>
      <c r="B1224" t="s">
        <v>125</v>
      </c>
      <c r="C1224" t="s">
        <v>106</v>
      </c>
      <c r="D1224" t="s">
        <v>2670</v>
      </c>
      <c r="E1224" t="s">
        <v>10</v>
      </c>
      <c r="F1224" t="s">
        <v>11</v>
      </c>
      <c r="H1224">
        <v>1</v>
      </c>
      <c r="I1224">
        <f t="shared" si="95"/>
        <v>1</v>
      </c>
      <c r="J1224" s="2">
        <f t="shared" si="96"/>
        <v>0.21</v>
      </c>
      <c r="K1224">
        <f t="shared" si="97"/>
        <v>4.7619047619047619</v>
      </c>
      <c r="L1224" t="str">
        <f t="shared" si="98"/>
        <v>Funded</v>
      </c>
      <c r="M1224">
        <f t="shared" si="99"/>
        <v>1.5606477482646683</v>
      </c>
    </row>
    <row r="1225" spans="1:13" x14ac:dyDescent="0.25">
      <c r="A1225" t="s">
        <v>2671</v>
      </c>
      <c r="B1225" t="s">
        <v>125</v>
      </c>
      <c r="C1225" t="s">
        <v>575</v>
      </c>
      <c r="D1225" t="s">
        <v>2672</v>
      </c>
      <c r="E1225" t="s">
        <v>10</v>
      </c>
      <c r="F1225" t="s">
        <v>11</v>
      </c>
      <c r="H1225">
        <v>1</v>
      </c>
      <c r="I1225">
        <f t="shared" si="95"/>
        <v>1</v>
      </c>
      <c r="J1225" s="2">
        <f t="shared" si="96"/>
        <v>0.183</v>
      </c>
      <c r="K1225">
        <f t="shared" si="97"/>
        <v>5.4644808743169397</v>
      </c>
      <c r="L1225" t="str">
        <f t="shared" si="98"/>
        <v>Funded</v>
      </c>
      <c r="M1225">
        <f t="shared" si="99"/>
        <v>1.6982691261407161</v>
      </c>
    </row>
    <row r="1226" spans="1:13" x14ac:dyDescent="0.25">
      <c r="A1226" t="s">
        <v>2673</v>
      </c>
      <c r="B1226" t="s">
        <v>125</v>
      </c>
      <c r="C1226" t="s">
        <v>495</v>
      </c>
      <c r="D1226" t="s">
        <v>407</v>
      </c>
      <c r="E1226" t="s">
        <v>10</v>
      </c>
      <c r="F1226" t="s">
        <v>11</v>
      </c>
      <c r="H1226">
        <v>1</v>
      </c>
      <c r="I1226">
        <f t="shared" si="95"/>
        <v>1</v>
      </c>
      <c r="J1226" s="2">
        <f t="shared" si="96"/>
        <v>0.433</v>
      </c>
      <c r="K1226">
        <f t="shared" si="97"/>
        <v>2.3094688221709005</v>
      </c>
      <c r="L1226" t="str">
        <f t="shared" si="98"/>
        <v>Funded</v>
      </c>
      <c r="M1226">
        <f t="shared" si="99"/>
        <v>0.83701755097964714</v>
      </c>
    </row>
    <row r="1227" spans="1:13" x14ac:dyDescent="0.25">
      <c r="A1227" t="s">
        <v>2674</v>
      </c>
      <c r="B1227" t="s">
        <v>125</v>
      </c>
      <c r="C1227" t="s">
        <v>2675</v>
      </c>
      <c r="D1227" t="s">
        <v>2676</v>
      </c>
      <c r="E1227" t="s">
        <v>44</v>
      </c>
      <c r="F1227" t="s">
        <v>21</v>
      </c>
      <c r="H1227">
        <v>1</v>
      </c>
      <c r="I1227">
        <f t="shared" si="95"/>
        <v>1</v>
      </c>
      <c r="J1227" s="2">
        <f t="shared" si="96"/>
        <v>0.185</v>
      </c>
      <c r="K1227">
        <f t="shared" si="97"/>
        <v>5.4054054054054053</v>
      </c>
      <c r="L1227" t="str">
        <f t="shared" si="98"/>
        <v>Funded</v>
      </c>
      <c r="M1227">
        <f t="shared" si="99"/>
        <v>1.6873994539038122</v>
      </c>
    </row>
    <row r="1228" spans="1:13" x14ac:dyDescent="0.25">
      <c r="A1228" t="s">
        <v>2677</v>
      </c>
      <c r="B1228" t="s">
        <v>125</v>
      </c>
      <c r="C1228" t="s">
        <v>2246</v>
      </c>
      <c r="D1228" t="s">
        <v>576</v>
      </c>
      <c r="E1228" t="s">
        <v>20</v>
      </c>
      <c r="F1228" t="s">
        <v>21</v>
      </c>
      <c r="H1228">
        <v>1</v>
      </c>
      <c r="I1228">
        <f t="shared" si="95"/>
        <v>1</v>
      </c>
      <c r="J1228" s="2">
        <f t="shared" si="96"/>
        <v>0.51100000000000001</v>
      </c>
      <c r="K1228">
        <f t="shared" si="97"/>
        <v>1.9569471624266144</v>
      </c>
      <c r="L1228" t="str">
        <f t="shared" si="98"/>
        <v>Funded</v>
      </c>
      <c r="M1228">
        <f t="shared" si="99"/>
        <v>0.67138568877843252</v>
      </c>
    </row>
    <row r="1229" spans="1:13" x14ac:dyDescent="0.25">
      <c r="A1229" t="s">
        <v>2678</v>
      </c>
      <c r="B1229" t="s">
        <v>125</v>
      </c>
      <c r="C1229" t="s">
        <v>866</v>
      </c>
      <c r="D1229" t="s">
        <v>2679</v>
      </c>
      <c r="E1229" t="s">
        <v>10</v>
      </c>
      <c r="F1229" t="s">
        <v>11</v>
      </c>
      <c r="H1229">
        <v>1</v>
      </c>
      <c r="I1229">
        <f t="shared" si="95"/>
        <v>1</v>
      </c>
      <c r="J1229" s="2">
        <f t="shared" si="96"/>
        <v>0.40400000000000003</v>
      </c>
      <c r="K1229">
        <f t="shared" si="97"/>
        <v>2.4752475247524752</v>
      </c>
      <c r="L1229" t="str">
        <f t="shared" si="98"/>
        <v>Funded</v>
      </c>
      <c r="M1229">
        <f t="shared" si="99"/>
        <v>0.90634040102098701</v>
      </c>
    </row>
    <row r="1230" spans="1:13" x14ac:dyDescent="0.25">
      <c r="A1230" t="s">
        <v>2680</v>
      </c>
      <c r="B1230" t="s">
        <v>125</v>
      </c>
      <c r="C1230" t="s">
        <v>2349</v>
      </c>
      <c r="D1230" t="s">
        <v>2681</v>
      </c>
      <c r="E1230" t="s">
        <v>44</v>
      </c>
      <c r="F1230" t="s">
        <v>21</v>
      </c>
      <c r="H1230">
        <v>1</v>
      </c>
      <c r="I1230">
        <f t="shared" si="95"/>
        <v>1</v>
      </c>
      <c r="J1230" s="2">
        <f t="shared" si="96"/>
        <v>0.16600000000000001</v>
      </c>
      <c r="K1230">
        <f t="shared" si="97"/>
        <v>6.0240963855421681</v>
      </c>
      <c r="L1230" t="str">
        <f t="shared" si="98"/>
        <v>Funded</v>
      </c>
      <c r="M1230">
        <f t="shared" si="99"/>
        <v>1.7957674906255938</v>
      </c>
    </row>
    <row r="1231" spans="1:13" x14ac:dyDescent="0.25">
      <c r="A1231" t="s">
        <v>2682</v>
      </c>
      <c r="B1231" t="s">
        <v>125</v>
      </c>
      <c r="C1231" t="s">
        <v>2683</v>
      </c>
      <c r="D1231" t="s">
        <v>1398</v>
      </c>
      <c r="E1231" t="s">
        <v>10</v>
      </c>
      <c r="F1231" t="s">
        <v>11</v>
      </c>
      <c r="H1231">
        <v>1</v>
      </c>
      <c r="I1231">
        <f t="shared" si="95"/>
        <v>1</v>
      </c>
      <c r="J1231" s="2">
        <f t="shared" si="96"/>
        <v>0.23899999999999999</v>
      </c>
      <c r="K1231">
        <f t="shared" si="97"/>
        <v>4.1841004184100417</v>
      </c>
      <c r="L1231" t="str">
        <f t="shared" si="98"/>
        <v>Funded</v>
      </c>
      <c r="M1231">
        <f t="shared" si="99"/>
        <v>1.4312917270506262</v>
      </c>
    </row>
    <row r="1232" spans="1:13" x14ac:dyDescent="0.25">
      <c r="A1232" t="s">
        <v>2684</v>
      </c>
      <c r="B1232" t="s">
        <v>125</v>
      </c>
      <c r="C1232" t="s">
        <v>1205</v>
      </c>
      <c r="D1232" t="s">
        <v>2685</v>
      </c>
      <c r="E1232" t="s">
        <v>49</v>
      </c>
      <c r="F1232" t="s">
        <v>50</v>
      </c>
      <c r="H1232">
        <v>1</v>
      </c>
      <c r="I1232">
        <f t="shared" si="95"/>
        <v>1</v>
      </c>
      <c r="J1232" s="2">
        <f t="shared" si="96"/>
        <v>0.3</v>
      </c>
      <c r="K1232">
        <f t="shared" si="97"/>
        <v>3.3333333333333335</v>
      </c>
      <c r="L1232" t="str">
        <f t="shared" si="98"/>
        <v>Funded</v>
      </c>
      <c r="M1232">
        <f t="shared" si="99"/>
        <v>1.2039728043259361</v>
      </c>
    </row>
    <row r="1233" spans="1:13" x14ac:dyDescent="0.25">
      <c r="A1233" t="s">
        <v>2686</v>
      </c>
      <c r="B1233" t="s">
        <v>125</v>
      </c>
      <c r="C1233" t="s">
        <v>2687</v>
      </c>
      <c r="D1233" t="s">
        <v>1175</v>
      </c>
      <c r="E1233" t="s">
        <v>10</v>
      </c>
      <c r="F1233" t="s">
        <v>11</v>
      </c>
      <c r="H1233">
        <v>1</v>
      </c>
      <c r="I1233">
        <f t="shared" si="95"/>
        <v>1</v>
      </c>
      <c r="J1233" s="2">
        <f t="shared" si="96"/>
        <v>0.215</v>
      </c>
      <c r="K1233">
        <f t="shared" si="97"/>
        <v>4.6511627906976747</v>
      </c>
      <c r="L1233" t="str">
        <f t="shared" si="98"/>
        <v>Funded</v>
      </c>
      <c r="M1233">
        <f t="shared" si="99"/>
        <v>1.5371172508544744</v>
      </c>
    </row>
    <row r="1234" spans="1:13" x14ac:dyDescent="0.25">
      <c r="A1234" t="s">
        <v>2688</v>
      </c>
      <c r="B1234" t="s">
        <v>125</v>
      </c>
      <c r="C1234" t="s">
        <v>1271</v>
      </c>
      <c r="D1234" t="s">
        <v>1282</v>
      </c>
      <c r="E1234" t="s">
        <v>10</v>
      </c>
      <c r="F1234" t="s">
        <v>11</v>
      </c>
      <c r="H1234">
        <v>1</v>
      </c>
      <c r="I1234">
        <f t="shared" si="95"/>
        <v>1</v>
      </c>
      <c r="J1234" s="2">
        <f t="shared" si="96"/>
        <v>0.16900000000000001</v>
      </c>
      <c r="K1234">
        <f t="shared" si="97"/>
        <v>5.9171597633136095</v>
      </c>
      <c r="L1234" t="str">
        <f t="shared" si="98"/>
        <v>Funded</v>
      </c>
      <c r="M1234">
        <f t="shared" si="99"/>
        <v>1.7778565640590636</v>
      </c>
    </row>
    <row r="1235" spans="1:13" x14ac:dyDescent="0.25">
      <c r="A1235" t="s">
        <v>2689</v>
      </c>
      <c r="B1235" t="s">
        <v>125</v>
      </c>
      <c r="C1235" t="s">
        <v>1308</v>
      </c>
      <c r="D1235" t="s">
        <v>2690</v>
      </c>
      <c r="E1235" t="s">
        <v>170</v>
      </c>
      <c r="F1235" t="s">
        <v>50</v>
      </c>
      <c r="H1235">
        <v>1</v>
      </c>
      <c r="I1235">
        <f t="shared" si="95"/>
        <v>1</v>
      </c>
      <c r="J1235" s="2">
        <f t="shared" si="96"/>
        <v>0.247</v>
      </c>
      <c r="K1235">
        <f t="shared" si="97"/>
        <v>4.048582995951417</v>
      </c>
      <c r="L1235" t="str">
        <f t="shared" si="98"/>
        <v>Funded</v>
      </c>
      <c r="M1235">
        <f t="shared" si="99"/>
        <v>1.3983669423541598</v>
      </c>
    </row>
    <row r="1236" spans="1:13" x14ac:dyDescent="0.25">
      <c r="A1236" t="s">
        <v>2691</v>
      </c>
      <c r="B1236" t="s">
        <v>125</v>
      </c>
      <c r="C1236" t="s">
        <v>2675</v>
      </c>
      <c r="D1236" t="s">
        <v>2692</v>
      </c>
      <c r="E1236" t="s">
        <v>49</v>
      </c>
      <c r="F1236" t="s">
        <v>50</v>
      </c>
      <c r="H1236">
        <v>1</v>
      </c>
      <c r="I1236">
        <f t="shared" si="95"/>
        <v>1</v>
      </c>
      <c r="J1236" s="2">
        <f t="shared" si="96"/>
        <v>0.185</v>
      </c>
      <c r="K1236">
        <f t="shared" si="97"/>
        <v>5.4054054054054053</v>
      </c>
      <c r="L1236" t="str">
        <f t="shared" si="98"/>
        <v>Funded</v>
      </c>
      <c r="M1236">
        <f t="shared" si="99"/>
        <v>1.6873994539038122</v>
      </c>
    </row>
    <row r="1237" spans="1:13" x14ac:dyDescent="0.25">
      <c r="A1237" t="s">
        <v>2693</v>
      </c>
      <c r="B1237" t="s">
        <v>125</v>
      </c>
      <c r="C1237" t="s">
        <v>2694</v>
      </c>
      <c r="D1237" t="s">
        <v>2695</v>
      </c>
      <c r="E1237" t="s">
        <v>20</v>
      </c>
      <c r="F1237" t="s">
        <v>21</v>
      </c>
      <c r="H1237">
        <v>1</v>
      </c>
      <c r="I1237">
        <f t="shared" si="95"/>
        <v>1</v>
      </c>
      <c r="J1237" s="2">
        <f t="shared" si="96"/>
        <v>0.03</v>
      </c>
      <c r="K1237">
        <f t="shared" si="97"/>
        <v>33.333333333333336</v>
      </c>
      <c r="L1237" t="str">
        <f t="shared" si="98"/>
        <v>Funded</v>
      </c>
      <c r="M1237">
        <f t="shared" si="99"/>
        <v>3.5065578973199818</v>
      </c>
    </row>
    <row r="1238" spans="1:13" x14ac:dyDescent="0.25">
      <c r="A1238" t="s">
        <v>2696</v>
      </c>
      <c r="B1238" t="s">
        <v>125</v>
      </c>
      <c r="C1238" t="s">
        <v>2220</v>
      </c>
      <c r="D1238" t="s">
        <v>2697</v>
      </c>
      <c r="E1238" t="s">
        <v>170</v>
      </c>
      <c r="F1238" t="s">
        <v>50</v>
      </c>
      <c r="H1238">
        <v>1</v>
      </c>
      <c r="I1238">
        <f t="shared" si="95"/>
        <v>1</v>
      </c>
      <c r="J1238" s="2">
        <f t="shared" si="96"/>
        <v>0.27100000000000002</v>
      </c>
      <c r="K1238">
        <f t="shared" si="97"/>
        <v>3.6900369003690034</v>
      </c>
      <c r="L1238" t="str">
        <f t="shared" si="98"/>
        <v>Funded</v>
      </c>
      <c r="M1238">
        <f t="shared" si="99"/>
        <v>1.305636458102436</v>
      </c>
    </row>
    <row r="1239" spans="1:13" x14ac:dyDescent="0.25">
      <c r="A1239" t="s">
        <v>2698</v>
      </c>
      <c r="B1239" t="s">
        <v>125</v>
      </c>
      <c r="C1239" t="s">
        <v>2699</v>
      </c>
      <c r="D1239" t="s">
        <v>2700</v>
      </c>
      <c r="E1239" t="s">
        <v>652</v>
      </c>
      <c r="F1239" t="s">
        <v>50</v>
      </c>
      <c r="H1239">
        <v>1</v>
      </c>
      <c r="I1239">
        <f t="shared" si="95"/>
        <v>1</v>
      </c>
      <c r="J1239" s="2">
        <f t="shared" si="96"/>
        <v>0.94599999999999995</v>
      </c>
      <c r="K1239">
        <f t="shared" si="97"/>
        <v>1.0570824524312896</v>
      </c>
      <c r="L1239" t="str">
        <f t="shared" si="98"/>
        <v>Funded</v>
      </c>
      <c r="M1239">
        <f t="shared" si="99"/>
        <v>5.5512709930258759E-2</v>
      </c>
    </row>
    <row r="1240" spans="1:13" x14ac:dyDescent="0.25">
      <c r="A1240" t="s">
        <v>2701</v>
      </c>
      <c r="B1240" t="s">
        <v>125</v>
      </c>
      <c r="C1240" t="s">
        <v>2702</v>
      </c>
      <c r="D1240" t="s">
        <v>2703</v>
      </c>
      <c r="E1240" t="s">
        <v>20</v>
      </c>
      <c r="F1240" t="s">
        <v>21</v>
      </c>
      <c r="H1240">
        <v>1</v>
      </c>
      <c r="I1240">
        <f t="shared" si="95"/>
        <v>1</v>
      </c>
      <c r="J1240" s="2">
        <f t="shared" si="96"/>
        <v>5.2999999999999999E-2</v>
      </c>
      <c r="K1240">
        <f t="shared" si="97"/>
        <v>18.867924528301888</v>
      </c>
      <c r="L1240" t="str">
        <f t="shared" si="98"/>
        <v>Funded</v>
      </c>
      <c r="M1240">
        <f t="shared" si="99"/>
        <v>2.9374633654300153</v>
      </c>
    </row>
    <row r="1241" spans="1:13" x14ac:dyDescent="0.25">
      <c r="A1241" t="s">
        <v>2704</v>
      </c>
      <c r="B1241" t="s">
        <v>125</v>
      </c>
      <c r="C1241" t="s">
        <v>2705</v>
      </c>
      <c r="D1241" t="s">
        <v>496</v>
      </c>
      <c r="E1241" t="s">
        <v>350</v>
      </c>
      <c r="F1241" t="s">
        <v>21</v>
      </c>
      <c r="H1241">
        <v>1</v>
      </c>
      <c r="I1241">
        <f t="shared" si="95"/>
        <v>1</v>
      </c>
      <c r="J1241" s="2">
        <f t="shared" si="96"/>
        <v>9.8000000000000004E-2</v>
      </c>
      <c r="K1241">
        <f t="shared" si="97"/>
        <v>10.204081632653061</v>
      </c>
      <c r="L1241" t="str">
        <f t="shared" si="98"/>
        <v>Funded</v>
      </c>
      <c r="M1241">
        <f t="shared" si="99"/>
        <v>2.322787800311565</v>
      </c>
    </row>
    <row r="1242" spans="1:13" x14ac:dyDescent="0.25">
      <c r="A1242" t="s">
        <v>2706</v>
      </c>
      <c r="B1242" t="s">
        <v>125</v>
      </c>
      <c r="C1242" t="s">
        <v>2707</v>
      </c>
      <c r="D1242" t="s">
        <v>2708</v>
      </c>
      <c r="E1242" t="s">
        <v>787</v>
      </c>
      <c r="F1242" t="s">
        <v>50</v>
      </c>
      <c r="H1242">
        <v>1</v>
      </c>
      <c r="I1242">
        <f t="shared" si="95"/>
        <v>1</v>
      </c>
      <c r="J1242" s="2">
        <f t="shared" si="96"/>
        <v>0.51500000000000001</v>
      </c>
      <c r="K1242">
        <f t="shared" si="97"/>
        <v>1.941747572815534</v>
      </c>
      <c r="L1242" t="str">
        <f t="shared" si="98"/>
        <v>Funded</v>
      </c>
      <c r="M1242">
        <f t="shared" si="99"/>
        <v>0.6635883783184009</v>
      </c>
    </row>
    <row r="1243" spans="1:13" x14ac:dyDescent="0.25">
      <c r="A1243" t="s">
        <v>2709</v>
      </c>
      <c r="B1243" t="s">
        <v>125</v>
      </c>
      <c r="C1243" t="s">
        <v>2710</v>
      </c>
      <c r="D1243" t="s">
        <v>2711</v>
      </c>
      <c r="E1243" t="s">
        <v>10</v>
      </c>
      <c r="F1243" t="s">
        <v>11</v>
      </c>
      <c r="H1243">
        <v>1</v>
      </c>
      <c r="I1243">
        <f t="shared" si="95"/>
        <v>1</v>
      </c>
      <c r="J1243" s="2">
        <f t="shared" si="96"/>
        <v>0.112</v>
      </c>
      <c r="K1243">
        <f t="shared" si="97"/>
        <v>8.9285714285714288</v>
      </c>
      <c r="L1243" t="str">
        <f t="shared" si="98"/>
        <v>Funded</v>
      </c>
      <c r="M1243">
        <f t="shared" si="99"/>
        <v>2.1892564076870427</v>
      </c>
    </row>
    <row r="1244" spans="1:13" x14ac:dyDescent="0.25">
      <c r="A1244" t="s">
        <v>2712</v>
      </c>
      <c r="B1244" t="s">
        <v>125</v>
      </c>
      <c r="C1244" t="s">
        <v>2713</v>
      </c>
      <c r="D1244" t="s">
        <v>2714</v>
      </c>
      <c r="E1244" t="s">
        <v>44</v>
      </c>
      <c r="F1244" t="s">
        <v>21</v>
      </c>
      <c r="H1244">
        <v>1</v>
      </c>
      <c r="I1244">
        <f t="shared" si="95"/>
        <v>1</v>
      </c>
      <c r="J1244" s="2">
        <f t="shared" si="96"/>
        <v>0.26900000000000002</v>
      </c>
      <c r="K1244">
        <f t="shared" si="97"/>
        <v>3.7174721189591078</v>
      </c>
      <c r="L1244" t="str">
        <f t="shared" si="98"/>
        <v>Funded</v>
      </c>
      <c r="M1244">
        <f t="shared" si="99"/>
        <v>1.313043899380298</v>
      </c>
    </row>
    <row r="1245" spans="1:13" x14ac:dyDescent="0.25">
      <c r="A1245" t="s">
        <v>2715</v>
      </c>
      <c r="B1245" t="s">
        <v>125</v>
      </c>
      <c r="C1245" s="1">
        <v>0</v>
      </c>
      <c r="D1245" t="s">
        <v>2716</v>
      </c>
      <c r="E1245" t="s">
        <v>187</v>
      </c>
      <c r="F1245" t="s">
        <v>50</v>
      </c>
      <c r="H1245">
        <v>1</v>
      </c>
      <c r="I1245">
        <f t="shared" si="95"/>
        <v>1</v>
      </c>
      <c r="J1245" s="2">
        <f t="shared" si="96"/>
        <v>0</v>
      </c>
      <c r="K1245" t="str">
        <f t="shared" si="97"/>
        <v/>
      </c>
      <c r="L1245" t="str">
        <f t="shared" si="98"/>
        <v>Bootstrapped</v>
      </c>
      <c r="M1245" t="str">
        <f t="shared" si="99"/>
        <v/>
      </c>
    </row>
    <row r="1246" spans="1:13" x14ac:dyDescent="0.25">
      <c r="A1246" t="s">
        <v>2717</v>
      </c>
      <c r="B1246" t="s">
        <v>125</v>
      </c>
      <c r="C1246" t="s">
        <v>2718</v>
      </c>
      <c r="D1246" t="s">
        <v>2719</v>
      </c>
      <c r="E1246" t="s">
        <v>10</v>
      </c>
      <c r="F1246" t="s">
        <v>11</v>
      </c>
      <c r="H1246">
        <v>1</v>
      </c>
      <c r="I1246">
        <f t="shared" si="95"/>
        <v>1</v>
      </c>
      <c r="J1246" s="2">
        <f t="shared" si="96"/>
        <v>0.107</v>
      </c>
      <c r="K1246">
        <f t="shared" si="97"/>
        <v>9.3457943925233646</v>
      </c>
      <c r="L1246" t="str">
        <f t="shared" si="98"/>
        <v>Funded</v>
      </c>
      <c r="M1246">
        <f t="shared" si="99"/>
        <v>2.234926444520231</v>
      </c>
    </row>
    <row r="1247" spans="1:13" x14ac:dyDescent="0.25">
      <c r="A1247" t="s">
        <v>2720</v>
      </c>
      <c r="B1247" t="s">
        <v>125</v>
      </c>
      <c r="C1247" t="s">
        <v>645</v>
      </c>
      <c r="D1247" t="s">
        <v>2721</v>
      </c>
      <c r="E1247" t="s">
        <v>49</v>
      </c>
      <c r="F1247" t="s">
        <v>50</v>
      </c>
      <c r="H1247">
        <v>1</v>
      </c>
      <c r="I1247">
        <f t="shared" si="95"/>
        <v>1</v>
      </c>
      <c r="J1247" s="2">
        <f t="shared" si="96"/>
        <v>0.2</v>
      </c>
      <c r="K1247">
        <f t="shared" si="97"/>
        <v>5</v>
      </c>
      <c r="L1247" t="str">
        <f t="shared" si="98"/>
        <v>Funded</v>
      </c>
      <c r="M1247">
        <f t="shared" si="99"/>
        <v>1.6094379124341003</v>
      </c>
    </row>
    <row r="1248" spans="1:13" x14ac:dyDescent="0.25">
      <c r="A1248" t="s">
        <v>2722</v>
      </c>
      <c r="B1248" t="s">
        <v>125</v>
      </c>
      <c r="C1248" t="s">
        <v>2475</v>
      </c>
      <c r="D1248" t="s">
        <v>2723</v>
      </c>
      <c r="E1248" t="s">
        <v>20</v>
      </c>
      <c r="F1248" t="s">
        <v>21</v>
      </c>
      <c r="H1248">
        <v>1</v>
      </c>
      <c r="I1248">
        <f t="shared" si="95"/>
        <v>1</v>
      </c>
      <c r="J1248" s="2">
        <f t="shared" si="96"/>
        <v>0.124</v>
      </c>
      <c r="K1248">
        <f t="shared" si="97"/>
        <v>8.064516129032258</v>
      </c>
      <c r="L1248" t="str">
        <f t="shared" si="98"/>
        <v>Funded</v>
      </c>
      <c r="M1248">
        <f t="shared" si="99"/>
        <v>2.0874737133771002</v>
      </c>
    </row>
    <row r="1249" spans="1:13" x14ac:dyDescent="0.25">
      <c r="A1249" t="s">
        <v>2724</v>
      </c>
      <c r="B1249" t="s">
        <v>125</v>
      </c>
      <c r="C1249" t="s">
        <v>1926</v>
      </c>
      <c r="D1249" t="s">
        <v>2725</v>
      </c>
      <c r="E1249" t="s">
        <v>44</v>
      </c>
      <c r="F1249" t="s">
        <v>21</v>
      </c>
      <c r="H1249">
        <v>1</v>
      </c>
      <c r="I1249">
        <f t="shared" si="95"/>
        <v>1</v>
      </c>
      <c r="J1249" s="2">
        <f t="shared" si="96"/>
        <v>0.27300000000000002</v>
      </c>
      <c r="K1249">
        <f t="shared" si="97"/>
        <v>3.6630036630036629</v>
      </c>
      <c r="L1249" t="str">
        <f t="shared" si="98"/>
        <v>Funded</v>
      </c>
      <c r="M1249">
        <f t="shared" si="99"/>
        <v>1.2982834837971773</v>
      </c>
    </row>
    <row r="1250" spans="1:13" x14ac:dyDescent="0.25">
      <c r="A1250" t="s">
        <v>2726</v>
      </c>
      <c r="B1250" t="s">
        <v>125</v>
      </c>
      <c r="C1250" t="s">
        <v>894</v>
      </c>
      <c r="D1250" t="s">
        <v>2727</v>
      </c>
      <c r="E1250" t="s">
        <v>20</v>
      </c>
      <c r="F1250" t="s">
        <v>21</v>
      </c>
      <c r="H1250">
        <v>1</v>
      </c>
      <c r="I1250">
        <f t="shared" si="95"/>
        <v>1</v>
      </c>
      <c r="J1250" s="2">
        <f t="shared" si="96"/>
        <v>0.29399999999999998</v>
      </c>
      <c r="K1250">
        <f t="shared" si="97"/>
        <v>3.4013605442176873</v>
      </c>
      <c r="L1250" t="str">
        <f t="shared" si="98"/>
        <v>Funded</v>
      </c>
      <c r="M1250">
        <f t="shared" si="99"/>
        <v>1.2241755116434556</v>
      </c>
    </row>
    <row r="1251" spans="1:13" x14ac:dyDescent="0.25">
      <c r="A1251" t="s">
        <v>2728</v>
      </c>
      <c r="B1251" t="s">
        <v>125</v>
      </c>
      <c r="C1251" t="s">
        <v>785</v>
      </c>
      <c r="D1251" t="s">
        <v>752</v>
      </c>
      <c r="E1251" t="s">
        <v>20</v>
      </c>
      <c r="F1251" t="s">
        <v>21</v>
      </c>
      <c r="H1251">
        <v>1</v>
      </c>
      <c r="I1251">
        <f t="shared" si="95"/>
        <v>1</v>
      </c>
      <c r="J1251" s="2">
        <f t="shared" si="96"/>
        <v>0.25</v>
      </c>
      <c r="K1251">
        <f t="shared" si="97"/>
        <v>4</v>
      </c>
      <c r="L1251" t="str">
        <f t="shared" si="98"/>
        <v>Funded</v>
      </c>
      <c r="M1251">
        <f t="shared" si="99"/>
        <v>1.3862943611198906</v>
      </c>
    </row>
    <row r="1252" spans="1:13" x14ac:dyDescent="0.25">
      <c r="A1252" t="s">
        <v>2729</v>
      </c>
      <c r="B1252" t="s">
        <v>125</v>
      </c>
      <c r="C1252" t="s">
        <v>1061</v>
      </c>
      <c r="D1252" t="s">
        <v>1155</v>
      </c>
      <c r="E1252" t="s">
        <v>10</v>
      </c>
      <c r="F1252" t="s">
        <v>11</v>
      </c>
      <c r="H1252">
        <v>1</v>
      </c>
      <c r="I1252">
        <f t="shared" si="95"/>
        <v>1</v>
      </c>
      <c r="J1252" s="2">
        <f t="shared" si="96"/>
        <v>0.217</v>
      </c>
      <c r="K1252">
        <f t="shared" si="97"/>
        <v>4.6082949308755765</v>
      </c>
      <c r="L1252" t="str">
        <f t="shared" si="98"/>
        <v>Funded</v>
      </c>
      <c r="M1252">
        <f t="shared" si="99"/>
        <v>1.5278579254416775</v>
      </c>
    </row>
    <row r="1253" spans="1:13" x14ac:dyDescent="0.25">
      <c r="A1253" t="s">
        <v>2730</v>
      </c>
      <c r="B1253" t="s">
        <v>125</v>
      </c>
      <c r="C1253" t="s">
        <v>1276</v>
      </c>
      <c r="D1253" t="s">
        <v>2731</v>
      </c>
      <c r="E1253" t="s">
        <v>10</v>
      </c>
      <c r="F1253" t="s">
        <v>11</v>
      </c>
      <c r="H1253">
        <v>1</v>
      </c>
      <c r="I1253">
        <f t="shared" si="95"/>
        <v>1</v>
      </c>
      <c r="J1253" s="2">
        <f t="shared" si="96"/>
        <v>0.27700000000000002</v>
      </c>
      <c r="K1253">
        <f t="shared" si="97"/>
        <v>3.6101083032490973</v>
      </c>
      <c r="L1253" t="str">
        <f t="shared" si="98"/>
        <v>Funded</v>
      </c>
      <c r="M1253">
        <f t="shared" si="99"/>
        <v>1.2837377727947985</v>
      </c>
    </row>
    <row r="1254" spans="1:13" x14ac:dyDescent="0.25">
      <c r="A1254" t="s">
        <v>2732</v>
      </c>
      <c r="B1254" t="s">
        <v>125</v>
      </c>
      <c r="C1254" t="s">
        <v>1458</v>
      </c>
      <c r="D1254" t="s">
        <v>2733</v>
      </c>
      <c r="E1254" t="s">
        <v>10</v>
      </c>
      <c r="F1254" t="s">
        <v>11</v>
      </c>
      <c r="H1254">
        <v>1</v>
      </c>
      <c r="I1254">
        <f t="shared" si="95"/>
        <v>1</v>
      </c>
      <c r="J1254" s="2">
        <f t="shared" si="96"/>
        <v>0.221</v>
      </c>
      <c r="K1254">
        <f t="shared" si="97"/>
        <v>4.5248868778280542</v>
      </c>
      <c r="L1254" t="str">
        <f t="shared" si="98"/>
        <v>Funded</v>
      </c>
      <c r="M1254">
        <f t="shared" si="99"/>
        <v>1.5095925774643841</v>
      </c>
    </row>
    <row r="1255" spans="1:13" x14ac:dyDescent="0.25">
      <c r="A1255" t="s">
        <v>777</v>
      </c>
      <c r="B1255" t="s">
        <v>125</v>
      </c>
      <c r="C1255" t="s">
        <v>585</v>
      </c>
      <c r="D1255" t="s">
        <v>2734</v>
      </c>
      <c r="E1255" t="s">
        <v>10</v>
      </c>
      <c r="F1255" t="s">
        <v>11</v>
      </c>
      <c r="H1255">
        <v>1</v>
      </c>
      <c r="I1255">
        <f t="shared" si="95"/>
        <v>1</v>
      </c>
      <c r="J1255" s="2">
        <f t="shared" si="96"/>
        <v>0.23</v>
      </c>
      <c r="K1255">
        <f t="shared" si="97"/>
        <v>4.3478260869565215</v>
      </c>
      <c r="L1255" t="str">
        <f t="shared" si="98"/>
        <v>Funded</v>
      </c>
      <c r="M1255">
        <f t="shared" si="99"/>
        <v>1.4696759700589417</v>
      </c>
    </row>
    <row r="1256" spans="1:13" x14ac:dyDescent="0.25">
      <c r="A1256" t="s">
        <v>2735</v>
      </c>
      <c r="B1256" t="s">
        <v>125</v>
      </c>
      <c r="C1256" t="s">
        <v>2736</v>
      </c>
      <c r="D1256" t="s">
        <v>2737</v>
      </c>
      <c r="E1256" t="s">
        <v>20</v>
      </c>
      <c r="F1256" t="s">
        <v>21</v>
      </c>
      <c r="H1256">
        <v>1</v>
      </c>
      <c r="I1256">
        <f t="shared" si="95"/>
        <v>1</v>
      </c>
      <c r="J1256" s="2">
        <f t="shared" si="96"/>
        <v>0.14399999999999999</v>
      </c>
      <c r="K1256">
        <f t="shared" si="97"/>
        <v>6.9444444444444446</v>
      </c>
      <c r="L1256" t="str">
        <f t="shared" si="98"/>
        <v>Funded</v>
      </c>
      <c r="M1256">
        <f t="shared" si="99"/>
        <v>1.9379419794061366</v>
      </c>
    </row>
    <row r="1257" spans="1:13" x14ac:dyDescent="0.25">
      <c r="A1257" t="s">
        <v>2738</v>
      </c>
      <c r="B1257" t="s">
        <v>125</v>
      </c>
      <c r="C1257" t="s">
        <v>1414</v>
      </c>
      <c r="D1257" t="s">
        <v>832</v>
      </c>
      <c r="E1257" t="s">
        <v>20</v>
      </c>
      <c r="F1257" t="s">
        <v>21</v>
      </c>
      <c r="H1257">
        <v>1</v>
      </c>
      <c r="I1257">
        <f t="shared" si="95"/>
        <v>1</v>
      </c>
      <c r="J1257" s="2">
        <f t="shared" si="96"/>
        <v>0.152</v>
      </c>
      <c r="K1257">
        <f t="shared" si="97"/>
        <v>6.5789473684210531</v>
      </c>
      <c r="L1257" t="str">
        <f t="shared" si="98"/>
        <v>Funded</v>
      </c>
      <c r="M1257">
        <f t="shared" si="99"/>
        <v>1.8838747581358608</v>
      </c>
    </row>
    <row r="1258" spans="1:13" x14ac:dyDescent="0.25">
      <c r="A1258" t="s">
        <v>2739</v>
      </c>
      <c r="B1258" t="s">
        <v>125</v>
      </c>
      <c r="C1258" t="s">
        <v>2740</v>
      </c>
      <c r="D1258" t="s">
        <v>2741</v>
      </c>
      <c r="E1258" t="s">
        <v>49</v>
      </c>
      <c r="F1258" t="s">
        <v>50</v>
      </c>
      <c r="H1258">
        <v>1</v>
      </c>
      <c r="I1258">
        <f t="shared" si="95"/>
        <v>1</v>
      </c>
      <c r="J1258" s="2">
        <f t="shared" si="96"/>
        <v>0.97399999999999998</v>
      </c>
      <c r="K1258">
        <f t="shared" si="97"/>
        <v>1.0266940451745381</v>
      </c>
      <c r="L1258" t="str">
        <f t="shared" si="98"/>
        <v>Funded</v>
      </c>
      <c r="M1258">
        <f t="shared" si="99"/>
        <v>2.6343975339602067E-2</v>
      </c>
    </row>
    <row r="1259" spans="1:13" x14ac:dyDescent="0.25">
      <c r="A1259" t="s">
        <v>2742</v>
      </c>
      <c r="B1259" t="s">
        <v>125</v>
      </c>
      <c r="C1259" t="s">
        <v>901</v>
      </c>
      <c r="D1259" t="s">
        <v>389</v>
      </c>
      <c r="E1259" t="s">
        <v>10</v>
      </c>
      <c r="F1259" t="s">
        <v>11</v>
      </c>
      <c r="H1259">
        <v>1</v>
      </c>
      <c r="I1259">
        <f t="shared" si="95"/>
        <v>1</v>
      </c>
      <c r="J1259" s="2">
        <f t="shared" si="96"/>
        <v>0.67800000000000005</v>
      </c>
      <c r="K1259">
        <f t="shared" si="97"/>
        <v>1.4749262536873156</v>
      </c>
      <c r="L1259" t="str">
        <f t="shared" si="98"/>
        <v>Funded</v>
      </c>
      <c r="M1259">
        <f t="shared" si="99"/>
        <v>0.38860799104174143</v>
      </c>
    </row>
    <row r="1260" spans="1:13" x14ac:dyDescent="0.25">
      <c r="A1260" t="s">
        <v>2743</v>
      </c>
      <c r="B1260" t="s">
        <v>125</v>
      </c>
      <c r="C1260" t="s">
        <v>1346</v>
      </c>
      <c r="D1260" t="s">
        <v>2744</v>
      </c>
      <c r="E1260" t="s">
        <v>20</v>
      </c>
      <c r="F1260" t="s">
        <v>21</v>
      </c>
      <c r="H1260">
        <v>1</v>
      </c>
      <c r="I1260">
        <f t="shared" si="95"/>
        <v>1</v>
      </c>
      <c r="J1260" s="2">
        <f t="shared" si="96"/>
        <v>0.30299999999999999</v>
      </c>
      <c r="K1260">
        <f t="shared" si="97"/>
        <v>3.3003300330033003</v>
      </c>
      <c r="L1260" t="str">
        <f t="shared" si="98"/>
        <v>Funded</v>
      </c>
      <c r="M1260">
        <f t="shared" si="99"/>
        <v>1.1940224734727678</v>
      </c>
    </row>
    <row r="1261" spans="1:13" x14ac:dyDescent="0.25">
      <c r="A1261" t="s">
        <v>2745</v>
      </c>
      <c r="B1261" t="s">
        <v>125</v>
      </c>
      <c r="C1261" t="s">
        <v>1805</v>
      </c>
      <c r="D1261" t="s">
        <v>2746</v>
      </c>
      <c r="E1261" t="s">
        <v>20</v>
      </c>
      <c r="F1261" t="s">
        <v>21</v>
      </c>
      <c r="H1261">
        <v>1</v>
      </c>
      <c r="I1261">
        <f t="shared" si="95"/>
        <v>1</v>
      </c>
      <c r="J1261" s="2">
        <f t="shared" si="96"/>
        <v>0.55300000000000005</v>
      </c>
      <c r="K1261">
        <f t="shared" si="97"/>
        <v>1.8083182640144664</v>
      </c>
      <c r="L1261" t="str">
        <f t="shared" si="98"/>
        <v>Funded</v>
      </c>
      <c r="M1261">
        <f t="shared" si="99"/>
        <v>0.5923972774598022</v>
      </c>
    </row>
    <row r="1262" spans="1:13" x14ac:dyDescent="0.25">
      <c r="A1262" t="s">
        <v>2747</v>
      </c>
      <c r="B1262" t="s">
        <v>125</v>
      </c>
      <c r="C1262" t="s">
        <v>2300</v>
      </c>
      <c r="D1262" t="s">
        <v>2746</v>
      </c>
      <c r="E1262" t="s">
        <v>20</v>
      </c>
      <c r="F1262" t="s">
        <v>21</v>
      </c>
      <c r="H1262">
        <v>1</v>
      </c>
      <c r="I1262">
        <f t="shared" si="95"/>
        <v>1</v>
      </c>
      <c r="J1262" s="2">
        <f t="shared" si="96"/>
        <v>0.219</v>
      </c>
      <c r="K1262">
        <f t="shared" si="97"/>
        <v>4.5662100456621006</v>
      </c>
      <c r="L1262" t="str">
        <f t="shared" si="98"/>
        <v>Funded</v>
      </c>
      <c r="M1262">
        <f t="shared" si="99"/>
        <v>1.5186835491656363</v>
      </c>
    </row>
    <row r="1263" spans="1:13" x14ac:dyDescent="0.25">
      <c r="A1263" t="s">
        <v>2748</v>
      </c>
      <c r="B1263" t="s">
        <v>125</v>
      </c>
      <c r="C1263" t="s">
        <v>125</v>
      </c>
      <c r="E1263" t="s">
        <v>10</v>
      </c>
      <c r="F1263" t="s">
        <v>11</v>
      </c>
      <c r="H1263">
        <v>1</v>
      </c>
      <c r="I1263">
        <f t="shared" si="95"/>
        <v>1</v>
      </c>
      <c r="J1263" s="2">
        <f t="shared" si="96"/>
        <v>1</v>
      </c>
      <c r="K1263">
        <f t="shared" si="97"/>
        <v>1</v>
      </c>
      <c r="L1263" t="str">
        <f t="shared" si="98"/>
        <v>Funded</v>
      </c>
      <c r="M1263">
        <f t="shared" si="99"/>
        <v>0</v>
      </c>
    </row>
    <row r="1264" spans="1:13" x14ac:dyDescent="0.25">
      <c r="A1264" t="s">
        <v>2749</v>
      </c>
      <c r="B1264" t="s">
        <v>125</v>
      </c>
      <c r="C1264" t="s">
        <v>2750</v>
      </c>
      <c r="D1264" t="s">
        <v>2751</v>
      </c>
      <c r="E1264" t="s">
        <v>20</v>
      </c>
      <c r="F1264" t="s">
        <v>21</v>
      </c>
      <c r="H1264">
        <v>1</v>
      </c>
      <c r="I1264">
        <f t="shared" si="95"/>
        <v>1</v>
      </c>
      <c r="J1264" s="2">
        <f t="shared" si="96"/>
        <v>0.14599999999999999</v>
      </c>
      <c r="K1264">
        <f t="shared" si="97"/>
        <v>6.8493150684931514</v>
      </c>
      <c r="L1264" t="str">
        <f t="shared" si="98"/>
        <v>Funded</v>
      </c>
      <c r="M1264">
        <f t="shared" si="99"/>
        <v>1.9241486572738007</v>
      </c>
    </row>
    <row r="1265" spans="1:13" x14ac:dyDescent="0.25">
      <c r="A1265" t="s">
        <v>2752</v>
      </c>
      <c r="B1265" t="s">
        <v>125</v>
      </c>
      <c r="C1265" t="s">
        <v>978</v>
      </c>
      <c r="D1265" t="s">
        <v>2753</v>
      </c>
      <c r="E1265" t="s">
        <v>20</v>
      </c>
      <c r="F1265" t="s">
        <v>21</v>
      </c>
      <c r="H1265">
        <v>1</v>
      </c>
      <c r="I1265">
        <f t="shared" si="95"/>
        <v>1</v>
      </c>
      <c r="J1265" s="2">
        <f t="shared" si="96"/>
        <v>0.14099999999999999</v>
      </c>
      <c r="K1265">
        <f t="shared" si="97"/>
        <v>7.0921985815602842</v>
      </c>
      <c r="L1265" t="str">
        <f t="shared" si="98"/>
        <v>Funded</v>
      </c>
      <c r="M1265">
        <f t="shared" si="99"/>
        <v>1.9589953886039688</v>
      </c>
    </row>
    <row r="1266" spans="1:13" x14ac:dyDescent="0.25">
      <c r="A1266" t="s">
        <v>2754</v>
      </c>
      <c r="B1266" t="s">
        <v>125</v>
      </c>
      <c r="C1266" t="s">
        <v>2699</v>
      </c>
      <c r="D1266" t="s">
        <v>2755</v>
      </c>
      <c r="E1266" t="s">
        <v>20</v>
      </c>
      <c r="F1266" t="s">
        <v>21</v>
      </c>
      <c r="H1266">
        <v>1</v>
      </c>
      <c r="I1266">
        <f t="shared" si="95"/>
        <v>1</v>
      </c>
      <c r="J1266" s="2">
        <f t="shared" si="96"/>
        <v>0.94599999999999995</v>
      </c>
      <c r="K1266">
        <f t="shared" si="97"/>
        <v>1.0570824524312896</v>
      </c>
      <c r="L1266" t="str">
        <f t="shared" si="98"/>
        <v>Funded</v>
      </c>
      <c r="M1266">
        <f t="shared" si="99"/>
        <v>5.5512709930258759E-2</v>
      </c>
    </row>
    <row r="1267" spans="1:13" x14ac:dyDescent="0.25">
      <c r="A1267" t="s">
        <v>2756</v>
      </c>
      <c r="B1267" t="s">
        <v>125</v>
      </c>
      <c r="C1267" t="s">
        <v>1894</v>
      </c>
      <c r="D1267" t="s">
        <v>2757</v>
      </c>
      <c r="E1267" t="s">
        <v>44</v>
      </c>
      <c r="F1267" t="s">
        <v>21</v>
      </c>
      <c r="H1267">
        <v>1</v>
      </c>
      <c r="I1267">
        <f t="shared" si="95"/>
        <v>1</v>
      </c>
      <c r="J1267" s="2">
        <f t="shared" si="96"/>
        <v>0.32</v>
      </c>
      <c r="K1267">
        <f t="shared" si="97"/>
        <v>3.125</v>
      </c>
      <c r="L1267" t="str">
        <f t="shared" si="98"/>
        <v>Funded</v>
      </c>
      <c r="M1267">
        <f t="shared" si="99"/>
        <v>1.1394342831883648</v>
      </c>
    </row>
    <row r="1268" spans="1:13" x14ac:dyDescent="0.25">
      <c r="A1268" t="s">
        <v>2758</v>
      </c>
      <c r="B1268" t="s">
        <v>125</v>
      </c>
      <c r="C1268" t="s">
        <v>1971</v>
      </c>
      <c r="D1268" t="s">
        <v>2759</v>
      </c>
      <c r="E1268" t="s">
        <v>10</v>
      </c>
      <c r="F1268" t="s">
        <v>11</v>
      </c>
      <c r="H1268">
        <v>1</v>
      </c>
      <c r="I1268">
        <f t="shared" si="95"/>
        <v>1</v>
      </c>
      <c r="J1268" s="2">
        <f t="shared" si="96"/>
        <v>9.0999999999999998E-2</v>
      </c>
      <c r="K1268">
        <f t="shared" si="97"/>
        <v>10.989010989010989</v>
      </c>
      <c r="L1268" t="str">
        <f t="shared" si="98"/>
        <v>Funded</v>
      </c>
      <c r="M1268">
        <f t="shared" si="99"/>
        <v>2.3968957724652871</v>
      </c>
    </row>
    <row r="1269" spans="1:13" x14ac:dyDescent="0.25">
      <c r="A1269" t="s">
        <v>2760</v>
      </c>
      <c r="B1269" t="s">
        <v>125</v>
      </c>
      <c r="C1269" t="s">
        <v>250</v>
      </c>
      <c r="D1269" t="s">
        <v>1507</v>
      </c>
      <c r="E1269" t="s">
        <v>10</v>
      </c>
      <c r="F1269" t="s">
        <v>11</v>
      </c>
      <c r="H1269">
        <v>1</v>
      </c>
      <c r="I1269">
        <f t="shared" si="95"/>
        <v>1</v>
      </c>
      <c r="J1269" s="2">
        <f t="shared" si="96"/>
        <v>0.18</v>
      </c>
      <c r="K1269">
        <f t="shared" si="97"/>
        <v>5.5555555555555554</v>
      </c>
      <c r="L1269" t="str">
        <f t="shared" si="98"/>
        <v>Funded</v>
      </c>
      <c r="M1269">
        <f t="shared" si="99"/>
        <v>1.7147984280919266</v>
      </c>
    </row>
    <row r="1270" spans="1:13" x14ac:dyDescent="0.25">
      <c r="A1270" t="s">
        <v>2761</v>
      </c>
      <c r="B1270" t="s">
        <v>125</v>
      </c>
      <c r="C1270" t="s">
        <v>2762</v>
      </c>
      <c r="D1270" t="s">
        <v>2763</v>
      </c>
      <c r="E1270" t="s">
        <v>20</v>
      </c>
      <c r="F1270" t="s">
        <v>21</v>
      </c>
      <c r="H1270">
        <v>1</v>
      </c>
      <c r="I1270">
        <f t="shared" si="95"/>
        <v>1</v>
      </c>
      <c r="J1270" s="2">
        <f t="shared" si="96"/>
        <v>0.35899999999999999</v>
      </c>
      <c r="K1270">
        <f t="shared" si="97"/>
        <v>2.785515320334262</v>
      </c>
      <c r="L1270" t="str">
        <f t="shared" si="98"/>
        <v>Funded</v>
      </c>
      <c r="M1270">
        <f t="shared" si="99"/>
        <v>1.0244328904938582</v>
      </c>
    </row>
    <row r="1271" spans="1:13" x14ac:dyDescent="0.25">
      <c r="A1271" t="s">
        <v>2764</v>
      </c>
      <c r="B1271" t="s">
        <v>125</v>
      </c>
      <c r="C1271" t="s">
        <v>2765</v>
      </c>
      <c r="D1271" t="s">
        <v>2766</v>
      </c>
      <c r="E1271" t="s">
        <v>20</v>
      </c>
      <c r="F1271" t="s">
        <v>21</v>
      </c>
      <c r="H1271">
        <v>1</v>
      </c>
      <c r="I1271">
        <f t="shared" si="95"/>
        <v>1</v>
      </c>
      <c r="J1271" s="2">
        <f t="shared" si="96"/>
        <v>0.104</v>
      </c>
      <c r="K1271">
        <f t="shared" si="97"/>
        <v>9.615384615384615</v>
      </c>
      <c r="L1271" t="str">
        <f t="shared" si="98"/>
        <v>Funded</v>
      </c>
      <c r="M1271">
        <f t="shared" si="99"/>
        <v>2.2633643798407643</v>
      </c>
    </row>
    <row r="1272" spans="1:13" x14ac:dyDescent="0.25">
      <c r="A1272" t="s">
        <v>2767</v>
      </c>
      <c r="B1272" t="s">
        <v>125</v>
      </c>
      <c r="C1272" t="s">
        <v>682</v>
      </c>
      <c r="D1272" t="s">
        <v>2768</v>
      </c>
      <c r="E1272" t="s">
        <v>20</v>
      </c>
      <c r="F1272" t="s">
        <v>21</v>
      </c>
      <c r="H1272">
        <v>1</v>
      </c>
      <c r="I1272">
        <f t="shared" si="95"/>
        <v>1</v>
      </c>
      <c r="J1272" s="2">
        <f t="shared" si="96"/>
        <v>0.39500000000000002</v>
      </c>
      <c r="K1272">
        <f t="shared" si="97"/>
        <v>2.5316455696202529</v>
      </c>
      <c r="L1272" t="str">
        <f t="shared" si="98"/>
        <v>Funded</v>
      </c>
      <c r="M1272">
        <f t="shared" si="99"/>
        <v>0.92886951408101504</v>
      </c>
    </row>
    <row r="1273" spans="1:13" x14ac:dyDescent="0.25">
      <c r="A1273" t="s">
        <v>2769</v>
      </c>
      <c r="B1273" t="s">
        <v>125</v>
      </c>
      <c r="C1273" t="s">
        <v>2770</v>
      </c>
      <c r="D1273" t="s">
        <v>2771</v>
      </c>
      <c r="E1273" t="s">
        <v>20</v>
      </c>
      <c r="F1273" t="s">
        <v>21</v>
      </c>
      <c r="H1273">
        <v>1</v>
      </c>
      <c r="I1273">
        <f t="shared" si="95"/>
        <v>1</v>
      </c>
      <c r="J1273" s="2">
        <f t="shared" si="96"/>
        <v>0.08</v>
      </c>
      <c r="K1273">
        <f t="shared" si="97"/>
        <v>12.5</v>
      </c>
      <c r="L1273" t="str">
        <f t="shared" si="98"/>
        <v>Funded</v>
      </c>
      <c r="M1273">
        <f t="shared" si="99"/>
        <v>2.5257286443082556</v>
      </c>
    </row>
    <row r="1274" spans="1:13" x14ac:dyDescent="0.25">
      <c r="A1274" t="s">
        <v>2772</v>
      </c>
      <c r="B1274" t="s">
        <v>125</v>
      </c>
      <c r="C1274" t="s">
        <v>1314</v>
      </c>
      <c r="D1274" t="s">
        <v>2773</v>
      </c>
      <c r="E1274" t="s">
        <v>20</v>
      </c>
      <c r="F1274" t="s">
        <v>21</v>
      </c>
      <c r="H1274">
        <v>1</v>
      </c>
      <c r="I1274">
        <f t="shared" si="95"/>
        <v>1</v>
      </c>
      <c r="J1274" s="2">
        <f t="shared" si="96"/>
        <v>0.252</v>
      </c>
      <c r="K1274">
        <f t="shared" si="97"/>
        <v>3.9682539682539684</v>
      </c>
      <c r="L1274" t="str">
        <f t="shared" si="98"/>
        <v>Funded</v>
      </c>
      <c r="M1274">
        <f t="shared" si="99"/>
        <v>1.3783261914707137</v>
      </c>
    </row>
    <row r="1275" spans="1:13" x14ac:dyDescent="0.25">
      <c r="A1275" t="s">
        <v>2774</v>
      </c>
      <c r="B1275" t="s">
        <v>125</v>
      </c>
      <c r="C1275" t="s">
        <v>2094</v>
      </c>
      <c r="D1275" t="s">
        <v>1228</v>
      </c>
      <c r="E1275" t="s">
        <v>44</v>
      </c>
      <c r="F1275" t="s">
        <v>21</v>
      </c>
      <c r="H1275">
        <v>1</v>
      </c>
      <c r="I1275">
        <f t="shared" si="95"/>
        <v>1</v>
      </c>
      <c r="J1275" s="2">
        <f t="shared" si="96"/>
        <v>0.435</v>
      </c>
      <c r="K1275">
        <f t="shared" si="97"/>
        <v>2.2988505747126435</v>
      </c>
      <c r="L1275" t="str">
        <f t="shared" si="98"/>
        <v>Funded</v>
      </c>
      <c r="M1275">
        <f t="shared" si="99"/>
        <v>0.83240924789345294</v>
      </c>
    </row>
    <row r="1276" spans="1:13" x14ac:dyDescent="0.25">
      <c r="A1276" t="s">
        <v>2775</v>
      </c>
      <c r="B1276" t="s">
        <v>125</v>
      </c>
      <c r="C1276" t="s">
        <v>1185</v>
      </c>
      <c r="D1276" t="s">
        <v>2776</v>
      </c>
      <c r="E1276" t="s">
        <v>20</v>
      </c>
      <c r="F1276" t="s">
        <v>21</v>
      </c>
      <c r="H1276">
        <v>1</v>
      </c>
      <c r="I1276">
        <f t="shared" si="95"/>
        <v>1</v>
      </c>
      <c r="J1276" s="2">
        <f t="shared" si="96"/>
        <v>0.23499999999999999</v>
      </c>
      <c r="K1276">
        <f t="shared" si="97"/>
        <v>4.2553191489361701</v>
      </c>
      <c r="L1276" t="str">
        <f t="shared" si="98"/>
        <v>Funded</v>
      </c>
      <c r="M1276">
        <f t="shared" si="99"/>
        <v>1.4481697648379781</v>
      </c>
    </row>
    <row r="1277" spans="1:13" x14ac:dyDescent="0.25">
      <c r="A1277" t="s">
        <v>2777</v>
      </c>
      <c r="B1277" t="s">
        <v>125</v>
      </c>
      <c r="C1277" t="s">
        <v>896</v>
      </c>
      <c r="D1277" t="s">
        <v>2778</v>
      </c>
      <c r="E1277" t="s">
        <v>10</v>
      </c>
      <c r="F1277" t="s">
        <v>11</v>
      </c>
      <c r="H1277">
        <v>1</v>
      </c>
      <c r="I1277">
        <f t="shared" si="95"/>
        <v>1</v>
      </c>
      <c r="J1277" s="2">
        <f t="shared" si="96"/>
        <v>0.46800000000000003</v>
      </c>
      <c r="K1277">
        <f t="shared" si="97"/>
        <v>2.1367521367521367</v>
      </c>
      <c r="L1277" t="str">
        <f t="shared" si="98"/>
        <v>Funded</v>
      </c>
      <c r="M1277">
        <f t="shared" si="99"/>
        <v>0.75928698306449027</v>
      </c>
    </row>
    <row r="1278" spans="1:13" x14ac:dyDescent="0.25">
      <c r="A1278" t="s">
        <v>2779</v>
      </c>
      <c r="B1278" t="s">
        <v>125</v>
      </c>
      <c r="C1278" t="s">
        <v>1562</v>
      </c>
      <c r="D1278" t="s">
        <v>2780</v>
      </c>
      <c r="E1278" t="s">
        <v>10</v>
      </c>
      <c r="F1278" t="s">
        <v>11</v>
      </c>
      <c r="H1278">
        <v>1</v>
      </c>
      <c r="I1278">
        <f t="shared" si="95"/>
        <v>1</v>
      </c>
      <c r="J1278" s="2">
        <f t="shared" si="96"/>
        <v>0.21199999999999999</v>
      </c>
      <c r="K1278">
        <f t="shared" si="97"/>
        <v>4.716981132075472</v>
      </c>
      <c r="L1278" t="str">
        <f t="shared" si="98"/>
        <v>Funded</v>
      </c>
      <c r="M1278">
        <f t="shared" si="99"/>
        <v>1.5511690043101247</v>
      </c>
    </row>
    <row r="1279" spans="1:13" x14ac:dyDescent="0.25">
      <c r="A1279" t="s">
        <v>2781</v>
      </c>
      <c r="B1279" t="s">
        <v>125</v>
      </c>
      <c r="C1279" t="s">
        <v>1774</v>
      </c>
      <c r="D1279" t="s">
        <v>2663</v>
      </c>
      <c r="E1279" t="s">
        <v>350</v>
      </c>
      <c r="F1279" t="s">
        <v>21</v>
      </c>
      <c r="H1279">
        <v>1</v>
      </c>
      <c r="I1279">
        <f t="shared" si="95"/>
        <v>1</v>
      </c>
      <c r="J1279" s="2">
        <f t="shared" si="96"/>
        <v>0.32500000000000001</v>
      </c>
      <c r="K1279">
        <f t="shared" si="97"/>
        <v>3.0769230769230766</v>
      </c>
      <c r="L1279" t="str">
        <f t="shared" si="98"/>
        <v>Funded</v>
      </c>
      <c r="M1279">
        <f t="shared" si="99"/>
        <v>1.1239300966523995</v>
      </c>
    </row>
    <row r="1280" spans="1:13" x14ac:dyDescent="0.25">
      <c r="A1280" t="s">
        <v>2782</v>
      </c>
      <c r="B1280" t="s">
        <v>125</v>
      </c>
      <c r="C1280" t="s">
        <v>47</v>
      </c>
      <c r="D1280" t="s">
        <v>2783</v>
      </c>
      <c r="E1280" t="s">
        <v>242</v>
      </c>
      <c r="F1280" t="s">
        <v>21</v>
      </c>
      <c r="H1280">
        <v>1</v>
      </c>
      <c r="I1280">
        <f t="shared" si="95"/>
        <v>1</v>
      </c>
      <c r="J1280" s="2">
        <f t="shared" si="96"/>
        <v>2</v>
      </c>
      <c r="K1280">
        <f t="shared" si="97"/>
        <v>0.5</v>
      </c>
      <c r="L1280" t="str">
        <f t="shared" si="98"/>
        <v>Funded</v>
      </c>
      <c r="M1280">
        <f t="shared" si="99"/>
        <v>-0.69314718055994529</v>
      </c>
    </row>
    <row r="1281" spans="1:13" x14ac:dyDescent="0.25">
      <c r="A1281" t="s">
        <v>2784</v>
      </c>
      <c r="B1281" t="s">
        <v>125</v>
      </c>
      <c r="C1281" t="s">
        <v>1402</v>
      </c>
      <c r="D1281" t="s">
        <v>500</v>
      </c>
      <c r="E1281" t="s">
        <v>10</v>
      </c>
      <c r="F1281" t="s">
        <v>11</v>
      </c>
      <c r="H1281">
        <v>1</v>
      </c>
      <c r="I1281">
        <f t="shared" si="95"/>
        <v>1</v>
      </c>
      <c r="J1281" s="2">
        <f t="shared" si="96"/>
        <v>0.371</v>
      </c>
      <c r="K1281">
        <f t="shared" si="97"/>
        <v>2.6954177897574123</v>
      </c>
      <c r="L1281" t="str">
        <f t="shared" si="98"/>
        <v>Funded</v>
      </c>
      <c r="M1281">
        <f t="shared" si="99"/>
        <v>0.99155321637470184</v>
      </c>
    </row>
    <row r="1282" spans="1:13" x14ac:dyDescent="0.25">
      <c r="A1282" t="s">
        <v>2785</v>
      </c>
      <c r="B1282" t="s">
        <v>125</v>
      </c>
      <c r="C1282" t="s">
        <v>2203</v>
      </c>
      <c r="D1282" t="s">
        <v>66</v>
      </c>
      <c r="E1282" t="s">
        <v>350</v>
      </c>
      <c r="F1282" t="s">
        <v>21</v>
      </c>
      <c r="H1282">
        <v>1</v>
      </c>
      <c r="I1282">
        <f t="shared" si="95"/>
        <v>1</v>
      </c>
      <c r="J1282" s="2">
        <f t="shared" si="96"/>
        <v>0.182</v>
      </c>
      <c r="K1282">
        <f t="shared" si="97"/>
        <v>5.4945054945054945</v>
      </c>
      <c r="L1282" t="str">
        <f t="shared" si="98"/>
        <v>Funded</v>
      </c>
      <c r="M1282">
        <f t="shared" si="99"/>
        <v>1.7037485919053417</v>
      </c>
    </row>
    <row r="1283" spans="1:13" x14ac:dyDescent="0.25">
      <c r="A1283" t="s">
        <v>2786</v>
      </c>
      <c r="B1283" t="s">
        <v>125</v>
      </c>
      <c r="C1283" t="s">
        <v>2787</v>
      </c>
      <c r="D1283" t="s">
        <v>2274</v>
      </c>
      <c r="E1283" t="s">
        <v>10</v>
      </c>
      <c r="F1283" t="s">
        <v>11</v>
      </c>
      <c r="H1283">
        <v>1</v>
      </c>
      <c r="I1283">
        <f t="shared" ref="I1283:I1346" si="100">IF(B1283="","",
VALUE(SUBSTITUTE(SUBSTITUTE(B1283,"$",""),"B","")))</f>
        <v>1</v>
      </c>
      <c r="J1283" s="2">
        <f t="shared" ref="J1283:J1346" si="101">IF(C1283="","",
IF(C1283="$0",0,
IF(RIGHT(C1283,1)="B",
VALUE(SUBSTITUTE(SUBSTITUTE(C1283,"$",""),"B","")),
IF(RIGHT(C1283,1)="M",
VALUE(SUBSTITUTE(SUBSTITUTE(C1283,"$",""),"M",""))/1000,
IF(RIGHT(C1283,1)="K",
VALUE(SUBSTITUTE(SUBSTITUTE(C1283,"$",""),"K",""))/1000000,
VALUE(SUBSTITUTE(C1283,"$",""))
)))))</f>
        <v>0.30099999999999999</v>
      </c>
      <c r="K1283">
        <f t="shared" ref="K1283:K1346" si="102">IF(J1283&gt;0,I1283/J1283,"")</f>
        <v>3.3222591362126246</v>
      </c>
      <c r="L1283" t="str">
        <f t="shared" ref="L1283:L1346" si="103">IF(J1283=0,"Bootstrapped","Funded")</f>
        <v>Funded</v>
      </c>
      <c r="M1283">
        <f t="shared" ref="M1283:M1346" si="104">IF(AND(I1283&gt;0,J1283&gt;0),LN(I1283/J1283),"")</f>
        <v>1.2006450142332614</v>
      </c>
    </row>
    <row r="1284" spans="1:13" x14ac:dyDescent="0.25">
      <c r="A1284" t="s">
        <v>2788</v>
      </c>
      <c r="B1284" t="s">
        <v>125</v>
      </c>
      <c r="C1284" t="s">
        <v>2789</v>
      </c>
      <c r="D1284" t="s">
        <v>2790</v>
      </c>
      <c r="E1284" t="s">
        <v>170</v>
      </c>
      <c r="F1284" t="s">
        <v>50</v>
      </c>
      <c r="H1284">
        <v>1</v>
      </c>
      <c r="I1284">
        <f t="shared" si="100"/>
        <v>1</v>
      </c>
      <c r="J1284" s="2">
        <f t="shared" si="101"/>
        <v>0.28299999999999997</v>
      </c>
      <c r="K1284">
        <f t="shared" si="102"/>
        <v>3.5335689045936398</v>
      </c>
      <c r="L1284" t="str">
        <f t="shared" si="103"/>
        <v>Funded</v>
      </c>
      <c r="M1284">
        <f t="shared" si="104"/>
        <v>1.2623083813388996</v>
      </c>
    </row>
    <row r="1285" spans="1:13" x14ac:dyDescent="0.25">
      <c r="A1285" t="s">
        <v>2791</v>
      </c>
      <c r="B1285" t="s">
        <v>125</v>
      </c>
      <c r="C1285" t="s">
        <v>997</v>
      </c>
      <c r="D1285" t="s">
        <v>2792</v>
      </c>
      <c r="E1285" t="s">
        <v>10</v>
      </c>
      <c r="F1285" t="s">
        <v>11</v>
      </c>
      <c r="H1285">
        <v>1</v>
      </c>
      <c r="I1285">
        <f t="shared" si="100"/>
        <v>1</v>
      </c>
      <c r="J1285" s="2">
        <f t="shared" si="101"/>
        <v>0.31900000000000001</v>
      </c>
      <c r="K1285">
        <f t="shared" si="102"/>
        <v>3.134796238244514</v>
      </c>
      <c r="L1285" t="str">
        <f t="shared" si="103"/>
        <v>Funded</v>
      </c>
      <c r="M1285">
        <f t="shared" si="104"/>
        <v>1.1425641761972924</v>
      </c>
    </row>
    <row r="1286" spans="1:13" x14ac:dyDescent="0.25">
      <c r="A1286" t="s">
        <v>2793</v>
      </c>
      <c r="B1286" t="s">
        <v>125</v>
      </c>
      <c r="C1286" t="s">
        <v>2794</v>
      </c>
      <c r="D1286" t="s">
        <v>316</v>
      </c>
      <c r="E1286" t="s">
        <v>44</v>
      </c>
      <c r="F1286" t="s">
        <v>21</v>
      </c>
      <c r="H1286">
        <v>1</v>
      </c>
      <c r="I1286">
        <f t="shared" si="100"/>
        <v>1</v>
      </c>
      <c r="J1286" s="2">
        <f t="shared" si="101"/>
        <v>0.13700000000000001</v>
      </c>
      <c r="K1286">
        <f t="shared" si="102"/>
        <v>7.2992700729926998</v>
      </c>
      <c r="L1286" t="str">
        <f t="shared" si="103"/>
        <v>Funded</v>
      </c>
      <c r="M1286">
        <f t="shared" si="104"/>
        <v>1.987774353154012</v>
      </c>
    </row>
    <row r="1287" spans="1:13" x14ac:dyDescent="0.25">
      <c r="A1287" t="s">
        <v>2795</v>
      </c>
      <c r="B1287" t="s">
        <v>125</v>
      </c>
      <c r="C1287" t="s">
        <v>2363</v>
      </c>
      <c r="D1287" t="s">
        <v>148</v>
      </c>
      <c r="E1287" t="s">
        <v>10</v>
      </c>
      <c r="F1287" t="s">
        <v>11</v>
      </c>
      <c r="H1287">
        <v>1</v>
      </c>
      <c r="I1287">
        <f t="shared" si="100"/>
        <v>1</v>
      </c>
      <c r="J1287" s="2">
        <f t="shared" si="101"/>
        <v>0.17399999999999999</v>
      </c>
      <c r="K1287">
        <f t="shared" si="102"/>
        <v>5.7471264367816097</v>
      </c>
      <c r="L1287" t="str">
        <f t="shared" si="103"/>
        <v>Funded</v>
      </c>
      <c r="M1287">
        <f t="shared" si="104"/>
        <v>1.7486999797676082</v>
      </c>
    </row>
    <row r="1288" spans="1:13" x14ac:dyDescent="0.25">
      <c r="A1288" t="s">
        <v>2796</v>
      </c>
      <c r="B1288" t="s">
        <v>125</v>
      </c>
      <c r="C1288" t="s">
        <v>2133</v>
      </c>
      <c r="D1288" t="s">
        <v>2797</v>
      </c>
      <c r="E1288" t="s">
        <v>1035</v>
      </c>
      <c r="F1288" t="s">
        <v>21</v>
      </c>
      <c r="H1288">
        <v>1</v>
      </c>
      <c r="I1288">
        <f t="shared" si="100"/>
        <v>1</v>
      </c>
      <c r="J1288" s="2">
        <f t="shared" si="101"/>
        <v>0.65500000000000003</v>
      </c>
      <c r="K1288">
        <f t="shared" si="102"/>
        <v>1.5267175572519083</v>
      </c>
      <c r="L1288" t="str">
        <f t="shared" si="103"/>
        <v>Funded</v>
      </c>
      <c r="M1288">
        <f t="shared" si="104"/>
        <v>0.42312004334688508</v>
      </c>
    </row>
    <row r="1289" spans="1:13" x14ac:dyDescent="0.25">
      <c r="A1289" t="s">
        <v>2798</v>
      </c>
      <c r="B1289" t="s">
        <v>125</v>
      </c>
      <c r="C1289" t="s">
        <v>1088</v>
      </c>
      <c r="D1289" t="s">
        <v>2799</v>
      </c>
      <c r="E1289" t="s">
        <v>49</v>
      </c>
      <c r="F1289" t="s">
        <v>50</v>
      </c>
      <c r="H1289">
        <v>1</v>
      </c>
      <c r="I1289">
        <f t="shared" si="100"/>
        <v>1</v>
      </c>
      <c r="J1289" s="2">
        <f t="shared" si="101"/>
        <v>0.26</v>
      </c>
      <c r="K1289">
        <f t="shared" si="102"/>
        <v>3.8461538461538458</v>
      </c>
      <c r="L1289" t="str">
        <f t="shared" si="103"/>
        <v>Funded</v>
      </c>
      <c r="M1289">
        <f t="shared" si="104"/>
        <v>1.3470736479666092</v>
      </c>
    </row>
    <row r="1290" spans="1:13" x14ac:dyDescent="0.25">
      <c r="A1290" t="s">
        <v>2800</v>
      </c>
      <c r="B1290" t="s">
        <v>125</v>
      </c>
      <c r="C1290" t="s">
        <v>1346</v>
      </c>
      <c r="D1290" t="s">
        <v>2801</v>
      </c>
      <c r="E1290" t="s">
        <v>44</v>
      </c>
      <c r="F1290" t="s">
        <v>21</v>
      </c>
      <c r="H1290">
        <v>1</v>
      </c>
      <c r="I1290">
        <f t="shared" si="100"/>
        <v>1</v>
      </c>
      <c r="J1290" s="2">
        <f t="shared" si="101"/>
        <v>0.30299999999999999</v>
      </c>
      <c r="K1290">
        <f t="shared" si="102"/>
        <v>3.3003300330033003</v>
      </c>
      <c r="L1290" t="str">
        <f t="shared" si="103"/>
        <v>Funded</v>
      </c>
      <c r="M1290">
        <f t="shared" si="104"/>
        <v>1.1940224734727678</v>
      </c>
    </row>
    <row r="1291" spans="1:13" x14ac:dyDescent="0.25">
      <c r="A1291" t="s">
        <v>2802</v>
      </c>
      <c r="B1291" t="s">
        <v>125</v>
      </c>
      <c r="C1291" t="s">
        <v>1076</v>
      </c>
      <c r="D1291" t="s">
        <v>169</v>
      </c>
      <c r="E1291" t="s">
        <v>170</v>
      </c>
      <c r="F1291" t="s">
        <v>50</v>
      </c>
      <c r="H1291">
        <v>1</v>
      </c>
      <c r="I1291">
        <f t="shared" si="100"/>
        <v>1</v>
      </c>
      <c r="J1291" s="2">
        <f t="shared" si="101"/>
        <v>0.33</v>
      </c>
      <c r="K1291">
        <f t="shared" si="102"/>
        <v>3.0303030303030303</v>
      </c>
      <c r="L1291" t="str">
        <f t="shared" si="103"/>
        <v>Funded</v>
      </c>
      <c r="M1291">
        <f t="shared" si="104"/>
        <v>1.1086626245216111</v>
      </c>
    </row>
    <row r="1292" spans="1:13" x14ac:dyDescent="0.25">
      <c r="A1292" t="s">
        <v>2803</v>
      </c>
      <c r="B1292" t="s">
        <v>125</v>
      </c>
      <c r="C1292" t="s">
        <v>2335</v>
      </c>
      <c r="D1292" t="s">
        <v>2804</v>
      </c>
      <c r="E1292" t="s">
        <v>10</v>
      </c>
      <c r="F1292" t="s">
        <v>11</v>
      </c>
      <c r="H1292">
        <v>1</v>
      </c>
      <c r="I1292">
        <f t="shared" si="100"/>
        <v>1</v>
      </c>
      <c r="J1292" s="2">
        <f t="shared" si="101"/>
        <v>0.13</v>
      </c>
      <c r="K1292">
        <f t="shared" si="102"/>
        <v>7.6923076923076916</v>
      </c>
      <c r="L1292" t="str">
        <f t="shared" si="103"/>
        <v>Funded</v>
      </c>
      <c r="M1292">
        <f t="shared" si="104"/>
        <v>2.0402208285265546</v>
      </c>
    </row>
    <row r="1293" spans="1:13" x14ac:dyDescent="0.25">
      <c r="A1293" t="s">
        <v>2805</v>
      </c>
      <c r="B1293" t="s">
        <v>125</v>
      </c>
      <c r="C1293" t="s">
        <v>2010</v>
      </c>
      <c r="D1293" t="s">
        <v>2806</v>
      </c>
      <c r="E1293" t="s">
        <v>170</v>
      </c>
      <c r="F1293" t="s">
        <v>50</v>
      </c>
      <c r="H1293">
        <v>1</v>
      </c>
      <c r="I1293">
        <f t="shared" si="100"/>
        <v>1</v>
      </c>
      <c r="J1293" s="2">
        <f t="shared" si="101"/>
        <v>0.38100000000000001</v>
      </c>
      <c r="K1293">
        <f t="shared" si="102"/>
        <v>2.6246719160104988</v>
      </c>
      <c r="L1293" t="str">
        <f t="shared" si="103"/>
        <v>Funded</v>
      </c>
      <c r="M1293">
        <f t="shared" si="104"/>
        <v>0.96495590385543617</v>
      </c>
    </row>
    <row r="1294" spans="1:13" x14ac:dyDescent="0.25">
      <c r="A1294" t="s">
        <v>2807</v>
      </c>
      <c r="B1294" t="s">
        <v>125</v>
      </c>
      <c r="C1294" t="s">
        <v>800</v>
      </c>
      <c r="D1294" t="s">
        <v>2808</v>
      </c>
      <c r="E1294" t="s">
        <v>10</v>
      </c>
      <c r="F1294" t="s">
        <v>11</v>
      </c>
      <c r="H1294">
        <v>1</v>
      </c>
      <c r="I1294">
        <f t="shared" si="100"/>
        <v>1</v>
      </c>
      <c r="J1294" s="2">
        <f t="shared" si="101"/>
        <v>1E-3</v>
      </c>
      <c r="K1294">
        <f t="shared" si="102"/>
        <v>1000</v>
      </c>
      <c r="L1294" t="str">
        <f t="shared" si="103"/>
        <v>Funded</v>
      </c>
      <c r="M1294">
        <f t="shared" si="104"/>
        <v>6.9077552789821368</v>
      </c>
    </row>
    <row r="1295" spans="1:13" x14ac:dyDescent="0.25">
      <c r="A1295" t="s">
        <v>2809</v>
      </c>
      <c r="B1295" t="s">
        <v>125</v>
      </c>
      <c r="C1295" t="s">
        <v>1504</v>
      </c>
      <c r="D1295" t="s">
        <v>2810</v>
      </c>
      <c r="E1295" t="s">
        <v>10</v>
      </c>
      <c r="F1295" t="s">
        <v>11</v>
      </c>
      <c r="H1295">
        <v>1</v>
      </c>
      <c r="I1295">
        <f t="shared" si="100"/>
        <v>1</v>
      </c>
      <c r="J1295" s="2">
        <f t="shared" si="101"/>
        <v>0.33600000000000002</v>
      </c>
      <c r="K1295">
        <f t="shared" si="102"/>
        <v>2.9761904761904758</v>
      </c>
      <c r="L1295" t="str">
        <f t="shared" si="103"/>
        <v>Funded</v>
      </c>
      <c r="M1295">
        <f t="shared" si="104"/>
        <v>1.0906441190189327</v>
      </c>
    </row>
    <row r="1296" spans="1:13" x14ac:dyDescent="0.25">
      <c r="A1296" t="s">
        <v>2811</v>
      </c>
      <c r="B1296" t="s">
        <v>125</v>
      </c>
      <c r="C1296" t="s">
        <v>1242</v>
      </c>
      <c r="D1296" t="s">
        <v>2812</v>
      </c>
      <c r="E1296" t="s">
        <v>20</v>
      </c>
      <c r="F1296" t="s">
        <v>21</v>
      </c>
      <c r="H1296">
        <v>1</v>
      </c>
      <c r="I1296">
        <f t="shared" si="100"/>
        <v>1</v>
      </c>
      <c r="J1296" s="2">
        <f t="shared" si="101"/>
        <v>0.26400000000000001</v>
      </c>
      <c r="K1296">
        <f t="shared" si="102"/>
        <v>3.7878787878787876</v>
      </c>
      <c r="L1296" t="str">
        <f t="shared" si="103"/>
        <v>Funded</v>
      </c>
      <c r="M1296">
        <f t="shared" si="104"/>
        <v>1.3318061758358208</v>
      </c>
    </row>
    <row r="1297" spans="1:13" x14ac:dyDescent="0.25">
      <c r="A1297" t="s">
        <v>2813</v>
      </c>
      <c r="B1297" t="s">
        <v>125</v>
      </c>
      <c r="C1297" t="s">
        <v>2736</v>
      </c>
      <c r="D1297" t="s">
        <v>66</v>
      </c>
      <c r="E1297" t="s">
        <v>20</v>
      </c>
      <c r="F1297" t="s">
        <v>21</v>
      </c>
      <c r="H1297">
        <v>1</v>
      </c>
      <c r="I1297">
        <f t="shared" si="100"/>
        <v>1</v>
      </c>
      <c r="J1297" s="2">
        <f t="shared" si="101"/>
        <v>0.14399999999999999</v>
      </c>
      <c r="K1297">
        <f t="shared" si="102"/>
        <v>6.9444444444444446</v>
      </c>
      <c r="L1297" t="str">
        <f t="shared" si="103"/>
        <v>Funded</v>
      </c>
      <c r="M1297">
        <f t="shared" si="104"/>
        <v>1.9379419794061366</v>
      </c>
    </row>
    <row r="1298" spans="1:13" x14ac:dyDescent="0.25">
      <c r="A1298" t="s">
        <v>2814</v>
      </c>
      <c r="B1298" t="s">
        <v>125</v>
      </c>
      <c r="C1298" t="s">
        <v>2815</v>
      </c>
      <c r="D1298" t="s">
        <v>2816</v>
      </c>
      <c r="E1298" t="s">
        <v>20</v>
      </c>
      <c r="F1298" t="s">
        <v>21</v>
      </c>
      <c r="H1298">
        <v>1</v>
      </c>
      <c r="I1298">
        <f t="shared" si="100"/>
        <v>1</v>
      </c>
      <c r="J1298" s="2">
        <f t="shared" si="101"/>
        <v>0.379</v>
      </c>
      <c r="K1298">
        <f t="shared" si="102"/>
        <v>2.6385224274406331</v>
      </c>
      <c r="L1298" t="str">
        <f t="shared" si="103"/>
        <v>Funded</v>
      </c>
      <c r="M1298">
        <f t="shared" si="104"/>
        <v>0.97021907389971063</v>
      </c>
    </row>
    <row r="1299" spans="1:13" x14ac:dyDescent="0.25">
      <c r="A1299" t="s">
        <v>2817</v>
      </c>
      <c r="B1299" t="s">
        <v>125</v>
      </c>
      <c r="C1299" t="s">
        <v>541</v>
      </c>
      <c r="D1299" t="s">
        <v>2818</v>
      </c>
      <c r="E1299" t="s">
        <v>20</v>
      </c>
      <c r="F1299" t="s">
        <v>21</v>
      </c>
      <c r="H1299">
        <v>1</v>
      </c>
      <c r="I1299">
        <f t="shared" si="100"/>
        <v>1</v>
      </c>
      <c r="J1299" s="2">
        <f t="shared" si="101"/>
        <v>0.42599999999999999</v>
      </c>
      <c r="K1299">
        <f t="shared" si="102"/>
        <v>2.347417840375587</v>
      </c>
      <c r="L1299" t="str">
        <f t="shared" si="103"/>
        <v>Funded</v>
      </c>
      <c r="M1299">
        <f t="shared" si="104"/>
        <v>0.85331593271276673</v>
      </c>
    </row>
    <row r="1300" spans="1:13" x14ac:dyDescent="0.25">
      <c r="A1300" t="s">
        <v>2819</v>
      </c>
      <c r="B1300" t="s">
        <v>125</v>
      </c>
      <c r="C1300" t="s">
        <v>1308</v>
      </c>
      <c r="D1300" t="s">
        <v>2820</v>
      </c>
      <c r="E1300" t="s">
        <v>20</v>
      </c>
      <c r="F1300" t="s">
        <v>21</v>
      </c>
      <c r="H1300">
        <v>1</v>
      </c>
      <c r="I1300">
        <f t="shared" si="100"/>
        <v>1</v>
      </c>
      <c r="J1300" s="2">
        <f t="shared" si="101"/>
        <v>0.247</v>
      </c>
      <c r="K1300">
        <f t="shared" si="102"/>
        <v>4.048582995951417</v>
      </c>
      <c r="L1300" t="str">
        <f t="shared" si="103"/>
        <v>Funded</v>
      </c>
      <c r="M1300">
        <f t="shared" si="104"/>
        <v>1.3983669423541598</v>
      </c>
    </row>
    <row r="1301" spans="1:13" x14ac:dyDescent="0.25">
      <c r="A1301" t="s">
        <v>2821</v>
      </c>
      <c r="B1301" t="s">
        <v>125</v>
      </c>
      <c r="C1301" t="s">
        <v>277</v>
      </c>
      <c r="D1301" t="s">
        <v>2822</v>
      </c>
      <c r="E1301" t="s">
        <v>20</v>
      </c>
      <c r="F1301" t="s">
        <v>21</v>
      </c>
      <c r="H1301">
        <v>1</v>
      </c>
      <c r="I1301">
        <f t="shared" si="100"/>
        <v>1</v>
      </c>
      <c r="J1301" s="2">
        <f t="shared" si="101"/>
        <v>0.38800000000000001</v>
      </c>
      <c r="K1301">
        <f t="shared" si="102"/>
        <v>2.5773195876288657</v>
      </c>
      <c r="L1301" t="str">
        <f t="shared" si="103"/>
        <v>Funded</v>
      </c>
      <c r="M1301">
        <f t="shared" si="104"/>
        <v>0.94674993935886353</v>
      </c>
    </row>
    <row r="1302" spans="1:13" x14ac:dyDescent="0.25">
      <c r="A1302" t="s">
        <v>2823</v>
      </c>
      <c r="B1302" t="s">
        <v>125</v>
      </c>
      <c r="C1302" t="s">
        <v>324</v>
      </c>
      <c r="D1302" t="s">
        <v>2824</v>
      </c>
      <c r="E1302" t="s">
        <v>20</v>
      </c>
      <c r="F1302" t="s">
        <v>21</v>
      </c>
      <c r="H1302">
        <v>1</v>
      </c>
      <c r="I1302">
        <f t="shared" si="100"/>
        <v>1</v>
      </c>
      <c r="J1302" s="2">
        <f t="shared" si="101"/>
        <v>0.75</v>
      </c>
      <c r="K1302">
        <f t="shared" si="102"/>
        <v>1.3333333333333333</v>
      </c>
      <c r="L1302" t="str">
        <f t="shared" si="103"/>
        <v>Funded</v>
      </c>
      <c r="M1302">
        <f t="shared" si="104"/>
        <v>0.28768207245178085</v>
      </c>
    </row>
    <row r="1303" spans="1:13" x14ac:dyDescent="0.25">
      <c r="A1303" t="s">
        <v>2825</v>
      </c>
      <c r="B1303" t="s">
        <v>125</v>
      </c>
      <c r="C1303" t="s">
        <v>2335</v>
      </c>
      <c r="D1303" t="s">
        <v>752</v>
      </c>
      <c r="E1303" t="s">
        <v>20</v>
      </c>
      <c r="F1303" t="s">
        <v>21</v>
      </c>
      <c r="H1303">
        <v>1</v>
      </c>
      <c r="I1303">
        <f t="shared" si="100"/>
        <v>1</v>
      </c>
      <c r="J1303" s="2">
        <f t="shared" si="101"/>
        <v>0.13</v>
      </c>
      <c r="K1303">
        <f t="shared" si="102"/>
        <v>7.6923076923076916</v>
      </c>
      <c r="L1303" t="str">
        <f t="shared" si="103"/>
        <v>Funded</v>
      </c>
      <c r="M1303">
        <f t="shared" si="104"/>
        <v>2.0402208285265546</v>
      </c>
    </row>
    <row r="1304" spans="1:13" x14ac:dyDescent="0.25">
      <c r="A1304" t="s">
        <v>2826</v>
      </c>
      <c r="B1304" t="s">
        <v>125</v>
      </c>
      <c r="C1304" t="s">
        <v>2359</v>
      </c>
      <c r="D1304" t="s">
        <v>1282</v>
      </c>
      <c r="E1304" t="s">
        <v>10</v>
      </c>
      <c r="F1304" t="s">
        <v>11</v>
      </c>
      <c r="H1304">
        <v>1</v>
      </c>
      <c r="I1304">
        <f t="shared" si="100"/>
        <v>1</v>
      </c>
      <c r="J1304" s="2">
        <f t="shared" si="101"/>
        <v>0.154</v>
      </c>
      <c r="K1304">
        <f t="shared" si="102"/>
        <v>6.4935064935064934</v>
      </c>
      <c r="L1304" t="str">
        <f t="shared" si="103"/>
        <v>Funded</v>
      </c>
      <c r="M1304">
        <f t="shared" si="104"/>
        <v>1.870802676568508</v>
      </c>
    </row>
    <row r="1305" spans="1:13" x14ac:dyDescent="0.25">
      <c r="A1305" t="s">
        <v>2827</v>
      </c>
      <c r="B1305" t="s">
        <v>125</v>
      </c>
      <c r="C1305" t="s">
        <v>53</v>
      </c>
      <c r="D1305" t="s">
        <v>2828</v>
      </c>
      <c r="E1305" t="s">
        <v>10</v>
      </c>
      <c r="F1305" t="s">
        <v>11</v>
      </c>
      <c r="H1305">
        <v>1</v>
      </c>
      <c r="I1305">
        <f t="shared" si="100"/>
        <v>1</v>
      </c>
      <c r="J1305" s="2">
        <f t="shared" si="101"/>
        <v>4</v>
      </c>
      <c r="K1305">
        <f t="shared" si="102"/>
        <v>0.25</v>
      </c>
      <c r="L1305" t="str">
        <f t="shared" si="103"/>
        <v>Funded</v>
      </c>
      <c r="M1305">
        <f t="shared" si="104"/>
        <v>-1.3862943611198906</v>
      </c>
    </row>
    <row r="1306" spans="1:13" x14ac:dyDescent="0.25">
      <c r="A1306" t="s">
        <v>2829</v>
      </c>
      <c r="B1306" t="s">
        <v>125</v>
      </c>
      <c r="C1306" t="s">
        <v>1456</v>
      </c>
      <c r="D1306" t="s">
        <v>146</v>
      </c>
      <c r="E1306" t="s">
        <v>20</v>
      </c>
      <c r="F1306" t="s">
        <v>21</v>
      </c>
      <c r="H1306">
        <v>1</v>
      </c>
      <c r="I1306">
        <f t="shared" si="100"/>
        <v>1</v>
      </c>
      <c r="J1306" s="2">
        <f t="shared" si="101"/>
        <v>0.39700000000000002</v>
      </c>
      <c r="K1306">
        <f t="shared" si="102"/>
        <v>2.5188916876574305</v>
      </c>
      <c r="L1306" t="str">
        <f t="shared" si="103"/>
        <v>Funded</v>
      </c>
      <c r="M1306">
        <f t="shared" si="104"/>
        <v>0.92381899829494651</v>
      </c>
    </row>
    <row r="1307" spans="1:13" x14ac:dyDescent="0.25">
      <c r="A1307" t="s">
        <v>2830</v>
      </c>
      <c r="B1307" t="s">
        <v>125</v>
      </c>
      <c r="C1307" t="s">
        <v>2446</v>
      </c>
      <c r="D1307" t="s">
        <v>2523</v>
      </c>
      <c r="E1307" t="s">
        <v>44</v>
      </c>
      <c r="F1307" t="s">
        <v>21</v>
      </c>
      <c r="H1307">
        <v>1</v>
      </c>
      <c r="I1307">
        <f t="shared" si="100"/>
        <v>1</v>
      </c>
      <c r="J1307" s="2">
        <f t="shared" si="101"/>
        <v>0.188</v>
      </c>
      <c r="K1307">
        <f t="shared" si="102"/>
        <v>5.3191489361702127</v>
      </c>
      <c r="L1307" t="str">
        <f t="shared" si="103"/>
        <v>Funded</v>
      </c>
      <c r="M1307">
        <f t="shared" si="104"/>
        <v>1.6713133161521878</v>
      </c>
    </row>
    <row r="1308" spans="1:13" x14ac:dyDescent="0.25">
      <c r="A1308" t="s">
        <v>2831</v>
      </c>
      <c r="B1308" t="s">
        <v>125</v>
      </c>
      <c r="C1308" t="s">
        <v>2832</v>
      </c>
      <c r="D1308" t="s">
        <v>2104</v>
      </c>
      <c r="E1308" t="s">
        <v>10</v>
      </c>
      <c r="F1308" t="s">
        <v>11</v>
      </c>
      <c r="H1308">
        <v>1</v>
      </c>
      <c r="I1308">
        <f t="shared" si="100"/>
        <v>1</v>
      </c>
      <c r="J1308" s="2">
        <f t="shared" si="101"/>
        <v>0.26300000000000001</v>
      </c>
      <c r="K1308">
        <f t="shared" si="102"/>
        <v>3.8022813688212924</v>
      </c>
      <c r="L1308" t="str">
        <f t="shared" si="103"/>
        <v>Funded</v>
      </c>
      <c r="M1308">
        <f t="shared" si="104"/>
        <v>1.3356012468043723</v>
      </c>
    </row>
    <row r="1309" spans="1:13" x14ac:dyDescent="0.25">
      <c r="A1309" t="s">
        <v>2833</v>
      </c>
      <c r="B1309" t="s">
        <v>125</v>
      </c>
      <c r="C1309" t="s">
        <v>2069</v>
      </c>
      <c r="D1309" t="s">
        <v>380</v>
      </c>
      <c r="E1309" t="s">
        <v>10</v>
      </c>
      <c r="F1309" t="s">
        <v>11</v>
      </c>
      <c r="H1309">
        <v>1</v>
      </c>
      <c r="I1309">
        <f t="shared" si="100"/>
        <v>1</v>
      </c>
      <c r="J1309" s="2">
        <f t="shared" si="101"/>
        <v>0.26700000000000002</v>
      </c>
      <c r="K1309">
        <f t="shared" si="102"/>
        <v>3.7453183520599249</v>
      </c>
      <c r="L1309" t="str">
        <f t="shared" si="103"/>
        <v>Funded</v>
      </c>
      <c r="M1309">
        <f t="shared" si="104"/>
        <v>1.3205066205818874</v>
      </c>
    </row>
    <row r="1310" spans="1:13" x14ac:dyDescent="0.25">
      <c r="A1310" t="s">
        <v>2834</v>
      </c>
      <c r="B1310" t="s">
        <v>125</v>
      </c>
      <c r="C1310" t="s">
        <v>47</v>
      </c>
      <c r="D1310" t="s">
        <v>2835</v>
      </c>
      <c r="E1310" t="s">
        <v>20</v>
      </c>
      <c r="F1310" t="s">
        <v>21</v>
      </c>
      <c r="H1310">
        <v>1</v>
      </c>
      <c r="I1310">
        <f t="shared" si="100"/>
        <v>1</v>
      </c>
      <c r="J1310" s="2">
        <f t="shared" si="101"/>
        <v>2</v>
      </c>
      <c r="K1310">
        <f t="shared" si="102"/>
        <v>0.5</v>
      </c>
      <c r="L1310" t="str">
        <f t="shared" si="103"/>
        <v>Funded</v>
      </c>
      <c r="M1310">
        <f t="shared" si="104"/>
        <v>-0.69314718055994529</v>
      </c>
    </row>
    <row r="1311" spans="1:13" x14ac:dyDescent="0.25">
      <c r="A1311" t="s">
        <v>2836</v>
      </c>
      <c r="B1311" t="s">
        <v>125</v>
      </c>
      <c r="C1311" t="s">
        <v>2643</v>
      </c>
      <c r="D1311" t="s">
        <v>2837</v>
      </c>
      <c r="E1311" t="s">
        <v>20</v>
      </c>
      <c r="F1311" t="s">
        <v>21</v>
      </c>
      <c r="H1311">
        <v>1</v>
      </c>
      <c r="I1311">
        <f t="shared" si="100"/>
        <v>1</v>
      </c>
      <c r="J1311" s="2">
        <f t="shared" si="101"/>
        <v>0.14000000000000001</v>
      </c>
      <c r="K1311">
        <f t="shared" si="102"/>
        <v>7.1428571428571423</v>
      </c>
      <c r="L1311" t="str">
        <f t="shared" si="103"/>
        <v>Funded</v>
      </c>
      <c r="M1311">
        <f t="shared" si="104"/>
        <v>1.9661128563728327</v>
      </c>
    </row>
    <row r="1312" spans="1:13" x14ac:dyDescent="0.25">
      <c r="A1312" t="s">
        <v>2838</v>
      </c>
      <c r="B1312" t="s">
        <v>125</v>
      </c>
      <c r="C1312" t="s">
        <v>2183</v>
      </c>
      <c r="D1312" t="s">
        <v>2839</v>
      </c>
      <c r="E1312" t="s">
        <v>10</v>
      </c>
      <c r="F1312" t="s">
        <v>11</v>
      </c>
      <c r="H1312">
        <v>1</v>
      </c>
      <c r="I1312">
        <f t="shared" si="100"/>
        <v>1</v>
      </c>
      <c r="J1312" s="2">
        <f t="shared" si="101"/>
        <v>0.57499999999999996</v>
      </c>
      <c r="K1312">
        <f t="shared" si="102"/>
        <v>1.7391304347826089</v>
      </c>
      <c r="L1312" t="str">
        <f t="shared" si="103"/>
        <v>Funded</v>
      </c>
      <c r="M1312">
        <f t="shared" si="104"/>
        <v>0.55338523818478669</v>
      </c>
    </row>
    <row r="1313" spans="1:13" x14ac:dyDescent="0.25">
      <c r="A1313" t="s">
        <v>2840</v>
      </c>
      <c r="B1313" t="s">
        <v>125</v>
      </c>
      <c r="C1313" t="s">
        <v>2841</v>
      </c>
      <c r="D1313" t="s">
        <v>2842</v>
      </c>
      <c r="E1313" t="s">
        <v>10</v>
      </c>
      <c r="F1313" t="s">
        <v>11</v>
      </c>
      <c r="H1313">
        <v>1</v>
      </c>
      <c r="I1313">
        <f t="shared" si="100"/>
        <v>1</v>
      </c>
      <c r="J1313" s="2">
        <f t="shared" si="101"/>
        <v>7.1999999999999995E-2</v>
      </c>
      <c r="K1313">
        <f t="shared" si="102"/>
        <v>13.888888888888889</v>
      </c>
      <c r="L1313" t="str">
        <f t="shared" si="103"/>
        <v>Funded</v>
      </c>
      <c r="M1313">
        <f t="shared" si="104"/>
        <v>2.6310891599660819</v>
      </c>
    </row>
    <row r="1314" spans="1:13" x14ac:dyDescent="0.25">
      <c r="A1314" t="s">
        <v>2843</v>
      </c>
      <c r="B1314" t="s">
        <v>125</v>
      </c>
      <c r="C1314" t="s">
        <v>2405</v>
      </c>
      <c r="D1314" t="s">
        <v>1577</v>
      </c>
      <c r="E1314" t="s">
        <v>10</v>
      </c>
      <c r="F1314" t="s">
        <v>11</v>
      </c>
      <c r="H1314">
        <v>1</v>
      </c>
      <c r="I1314">
        <f t="shared" si="100"/>
        <v>1</v>
      </c>
      <c r="J1314" s="2">
        <f t="shared" si="101"/>
        <v>0.34699999999999998</v>
      </c>
      <c r="K1314">
        <f t="shared" si="102"/>
        <v>2.8818443804034586</v>
      </c>
      <c r="L1314" t="str">
        <f t="shared" si="103"/>
        <v>Funded</v>
      </c>
      <c r="M1314">
        <f t="shared" si="104"/>
        <v>1.058430499035278</v>
      </c>
    </row>
    <row r="1315" spans="1:13" x14ac:dyDescent="0.25">
      <c r="A1315" t="s">
        <v>2844</v>
      </c>
      <c r="B1315" t="s">
        <v>125</v>
      </c>
      <c r="C1315" t="s">
        <v>2845</v>
      </c>
      <c r="D1315" t="s">
        <v>148</v>
      </c>
      <c r="E1315" t="s">
        <v>360</v>
      </c>
      <c r="F1315" t="s">
        <v>50</v>
      </c>
      <c r="H1315">
        <v>1</v>
      </c>
      <c r="I1315">
        <f t="shared" si="100"/>
        <v>1</v>
      </c>
      <c r="J1315" s="2">
        <f t="shared" si="101"/>
        <v>7.9000000000000001E-2</v>
      </c>
      <c r="K1315">
        <f t="shared" si="102"/>
        <v>12.658227848101266</v>
      </c>
      <c r="L1315" t="str">
        <f t="shared" si="103"/>
        <v>Funded</v>
      </c>
      <c r="M1315">
        <f t="shared" si="104"/>
        <v>2.5383074265151158</v>
      </c>
    </row>
    <row r="1316" spans="1:13" x14ac:dyDescent="0.25">
      <c r="A1316" t="s">
        <v>2846</v>
      </c>
      <c r="B1316" t="s">
        <v>125</v>
      </c>
      <c r="C1316" s="1">
        <v>0</v>
      </c>
      <c r="D1316" t="s">
        <v>1186</v>
      </c>
      <c r="E1316" t="s">
        <v>273</v>
      </c>
      <c r="F1316" t="s">
        <v>21</v>
      </c>
      <c r="H1316">
        <v>1</v>
      </c>
      <c r="I1316">
        <f t="shared" si="100"/>
        <v>1</v>
      </c>
      <c r="J1316" s="2">
        <f t="shared" si="101"/>
        <v>0</v>
      </c>
      <c r="K1316" t="str">
        <f t="shared" si="102"/>
        <v/>
      </c>
      <c r="L1316" t="str">
        <f t="shared" si="103"/>
        <v>Bootstrapped</v>
      </c>
      <c r="M1316" t="str">
        <f t="shared" si="104"/>
        <v/>
      </c>
    </row>
    <row r="1317" spans="1:13" x14ac:dyDescent="0.25">
      <c r="A1317" t="s">
        <v>2847</v>
      </c>
      <c r="B1317" t="s">
        <v>125</v>
      </c>
      <c r="C1317" s="1">
        <v>0</v>
      </c>
      <c r="D1317" t="s">
        <v>2848</v>
      </c>
      <c r="E1317" t="s">
        <v>10</v>
      </c>
      <c r="F1317" t="s">
        <v>11</v>
      </c>
      <c r="H1317">
        <v>1</v>
      </c>
      <c r="I1317">
        <f t="shared" si="100"/>
        <v>1</v>
      </c>
      <c r="J1317" s="2">
        <f t="shared" si="101"/>
        <v>0</v>
      </c>
      <c r="K1317" t="str">
        <f t="shared" si="102"/>
        <v/>
      </c>
      <c r="L1317" t="str">
        <f t="shared" si="103"/>
        <v>Bootstrapped</v>
      </c>
      <c r="M1317" t="str">
        <f t="shared" si="104"/>
        <v/>
      </c>
    </row>
    <row r="1318" spans="1:13" x14ac:dyDescent="0.25">
      <c r="A1318" t="s">
        <v>2849</v>
      </c>
      <c r="B1318" t="s">
        <v>125</v>
      </c>
      <c r="C1318" t="s">
        <v>1414</v>
      </c>
      <c r="D1318" t="s">
        <v>130</v>
      </c>
      <c r="E1318" t="s">
        <v>10</v>
      </c>
      <c r="F1318" t="s">
        <v>11</v>
      </c>
      <c r="H1318">
        <v>1</v>
      </c>
      <c r="I1318">
        <f t="shared" si="100"/>
        <v>1</v>
      </c>
      <c r="J1318" s="2">
        <f t="shared" si="101"/>
        <v>0.152</v>
      </c>
      <c r="K1318">
        <f t="shared" si="102"/>
        <v>6.5789473684210531</v>
      </c>
      <c r="L1318" t="str">
        <f t="shared" si="103"/>
        <v>Funded</v>
      </c>
      <c r="M1318">
        <f t="shared" si="104"/>
        <v>1.8838747581358608</v>
      </c>
    </row>
    <row r="1319" spans="1:13" x14ac:dyDescent="0.25">
      <c r="A1319" t="s">
        <v>2850</v>
      </c>
      <c r="B1319" t="s">
        <v>125</v>
      </c>
      <c r="C1319" t="s">
        <v>2435</v>
      </c>
      <c r="D1319" t="s">
        <v>2851</v>
      </c>
      <c r="E1319" t="s">
        <v>49</v>
      </c>
      <c r="F1319" t="s">
        <v>50</v>
      </c>
      <c r="H1319">
        <v>1</v>
      </c>
      <c r="I1319">
        <f t="shared" si="100"/>
        <v>1</v>
      </c>
      <c r="J1319" s="2">
        <f t="shared" si="101"/>
        <v>0.29199999999999998</v>
      </c>
      <c r="K1319">
        <f t="shared" si="102"/>
        <v>3.4246575342465757</v>
      </c>
      <c r="L1319" t="str">
        <f t="shared" si="103"/>
        <v>Funded</v>
      </c>
      <c r="M1319">
        <f t="shared" si="104"/>
        <v>1.2310014767138555</v>
      </c>
    </row>
    <row r="1320" spans="1:13" x14ac:dyDescent="0.25">
      <c r="A1320" t="s">
        <v>2852</v>
      </c>
      <c r="B1320" t="s">
        <v>125</v>
      </c>
      <c r="C1320" t="s">
        <v>1955</v>
      </c>
      <c r="D1320" t="s">
        <v>1671</v>
      </c>
      <c r="E1320" t="s">
        <v>10</v>
      </c>
      <c r="F1320" t="s">
        <v>11</v>
      </c>
      <c r="H1320">
        <v>1</v>
      </c>
      <c r="I1320">
        <f t="shared" si="100"/>
        <v>1</v>
      </c>
      <c r="J1320" s="2">
        <f t="shared" si="101"/>
        <v>0.32200000000000001</v>
      </c>
      <c r="K1320">
        <f t="shared" si="102"/>
        <v>3.1055900621118013</v>
      </c>
      <c r="L1320" t="str">
        <f t="shared" si="103"/>
        <v>Funded</v>
      </c>
      <c r="M1320">
        <f t="shared" si="104"/>
        <v>1.1332037334377287</v>
      </c>
    </row>
    <row r="1321" spans="1:13" x14ac:dyDescent="0.25">
      <c r="A1321" t="s">
        <v>2853</v>
      </c>
      <c r="B1321" t="s">
        <v>125</v>
      </c>
      <c r="C1321" t="s">
        <v>2854</v>
      </c>
      <c r="D1321" t="s">
        <v>2855</v>
      </c>
      <c r="E1321" t="s">
        <v>10</v>
      </c>
      <c r="F1321" t="s">
        <v>11</v>
      </c>
      <c r="H1321">
        <v>1</v>
      </c>
      <c r="I1321">
        <f t="shared" si="100"/>
        <v>1</v>
      </c>
      <c r="J1321" s="2">
        <f t="shared" si="101"/>
        <v>0.42499999999999999</v>
      </c>
      <c r="K1321">
        <f t="shared" si="102"/>
        <v>2.3529411764705883</v>
      </c>
      <c r="L1321" t="str">
        <f t="shared" si="103"/>
        <v>Funded</v>
      </c>
      <c r="M1321">
        <f t="shared" si="104"/>
        <v>0.85566611005772031</v>
      </c>
    </row>
    <row r="1322" spans="1:13" x14ac:dyDescent="0.25">
      <c r="A1322" t="s">
        <v>2856</v>
      </c>
      <c r="B1322" t="s">
        <v>125</v>
      </c>
      <c r="C1322" t="s">
        <v>785</v>
      </c>
      <c r="E1322" t="s">
        <v>10</v>
      </c>
      <c r="F1322" t="s">
        <v>11</v>
      </c>
      <c r="H1322">
        <v>1</v>
      </c>
      <c r="I1322">
        <f t="shared" si="100"/>
        <v>1</v>
      </c>
      <c r="J1322" s="2">
        <f t="shared" si="101"/>
        <v>0.25</v>
      </c>
      <c r="K1322">
        <f t="shared" si="102"/>
        <v>4</v>
      </c>
      <c r="L1322" t="str">
        <f t="shared" si="103"/>
        <v>Funded</v>
      </c>
      <c r="M1322">
        <f t="shared" si="104"/>
        <v>1.3862943611198906</v>
      </c>
    </row>
    <row r="1323" spans="1:13" x14ac:dyDescent="0.25">
      <c r="A1323" t="s">
        <v>2857</v>
      </c>
      <c r="B1323" t="s">
        <v>125</v>
      </c>
      <c r="C1323" t="s">
        <v>2858</v>
      </c>
      <c r="D1323" t="s">
        <v>2859</v>
      </c>
      <c r="E1323" t="s">
        <v>10</v>
      </c>
      <c r="F1323" t="s">
        <v>11</v>
      </c>
      <c r="H1323">
        <v>1</v>
      </c>
      <c r="I1323">
        <f t="shared" si="100"/>
        <v>1</v>
      </c>
      <c r="J1323" s="2">
        <f t="shared" si="101"/>
        <v>0.59099999999999997</v>
      </c>
      <c r="K1323">
        <f t="shared" si="102"/>
        <v>1.6920473773265652</v>
      </c>
      <c r="L1323" t="str">
        <f t="shared" si="103"/>
        <v>Funded</v>
      </c>
      <c r="M1323">
        <f t="shared" si="104"/>
        <v>0.52593926157603887</v>
      </c>
    </row>
    <row r="1324" spans="1:13" x14ac:dyDescent="0.25">
      <c r="A1324" t="s">
        <v>2860</v>
      </c>
      <c r="B1324" t="s">
        <v>125</v>
      </c>
      <c r="C1324" t="s">
        <v>1525</v>
      </c>
      <c r="D1324" t="s">
        <v>2861</v>
      </c>
      <c r="E1324" t="s">
        <v>365</v>
      </c>
      <c r="F1324" t="s">
        <v>11</v>
      </c>
      <c r="H1324">
        <v>1</v>
      </c>
      <c r="I1324">
        <f t="shared" si="100"/>
        <v>1</v>
      </c>
      <c r="J1324" s="2">
        <f t="shared" si="101"/>
        <v>0.432</v>
      </c>
      <c r="K1324">
        <f t="shared" si="102"/>
        <v>2.3148148148148149</v>
      </c>
      <c r="L1324" t="str">
        <f t="shared" si="103"/>
        <v>Funded</v>
      </c>
      <c r="M1324">
        <f t="shared" si="104"/>
        <v>0.83932969073802677</v>
      </c>
    </row>
    <row r="1325" spans="1:13" x14ac:dyDescent="0.25">
      <c r="A1325" t="s">
        <v>2862</v>
      </c>
      <c r="B1325" t="s">
        <v>125</v>
      </c>
      <c r="C1325" t="s">
        <v>125</v>
      </c>
      <c r="D1325" t="s">
        <v>2863</v>
      </c>
      <c r="E1325" t="s">
        <v>10</v>
      </c>
      <c r="F1325" t="s">
        <v>11</v>
      </c>
      <c r="H1325">
        <v>1</v>
      </c>
      <c r="I1325">
        <f t="shared" si="100"/>
        <v>1</v>
      </c>
      <c r="J1325" s="2">
        <f t="shared" si="101"/>
        <v>1</v>
      </c>
      <c r="K1325">
        <f t="shared" si="102"/>
        <v>1</v>
      </c>
      <c r="L1325" t="str">
        <f t="shared" si="103"/>
        <v>Funded</v>
      </c>
      <c r="M1325">
        <f t="shared" si="104"/>
        <v>0</v>
      </c>
    </row>
    <row r="1326" spans="1:13" x14ac:dyDescent="0.25">
      <c r="A1326" t="s">
        <v>2864</v>
      </c>
      <c r="B1326" t="s">
        <v>125</v>
      </c>
      <c r="C1326" t="s">
        <v>2090</v>
      </c>
      <c r="D1326" t="s">
        <v>2865</v>
      </c>
      <c r="E1326" t="s">
        <v>10</v>
      </c>
      <c r="F1326" t="s">
        <v>11</v>
      </c>
      <c r="H1326">
        <v>1</v>
      </c>
      <c r="I1326">
        <f t="shared" si="100"/>
        <v>1</v>
      </c>
      <c r="J1326" s="2">
        <f t="shared" si="101"/>
        <v>0.13100000000000001</v>
      </c>
      <c r="K1326">
        <f t="shared" si="102"/>
        <v>7.6335877862595414</v>
      </c>
      <c r="L1326" t="str">
        <f t="shared" si="103"/>
        <v>Funded</v>
      </c>
      <c r="M1326">
        <f t="shared" si="104"/>
        <v>2.0325579557809856</v>
      </c>
    </row>
    <row r="1327" spans="1:13" x14ac:dyDescent="0.25">
      <c r="A1327" t="s">
        <v>2866</v>
      </c>
      <c r="B1327" t="s">
        <v>125</v>
      </c>
      <c r="C1327" t="s">
        <v>2867</v>
      </c>
      <c r="D1327" t="s">
        <v>2868</v>
      </c>
      <c r="E1327" t="s">
        <v>10</v>
      </c>
      <c r="F1327" t="s">
        <v>11</v>
      </c>
      <c r="H1327">
        <v>1</v>
      </c>
      <c r="I1327">
        <f t="shared" si="100"/>
        <v>1</v>
      </c>
      <c r="J1327" s="2">
        <f t="shared" si="101"/>
        <v>0.88300000000000001</v>
      </c>
      <c r="K1327">
        <f t="shared" si="102"/>
        <v>1.1325028312570782</v>
      </c>
      <c r="L1327" t="str">
        <f t="shared" si="103"/>
        <v>Funded</v>
      </c>
      <c r="M1327">
        <f t="shared" si="104"/>
        <v>0.12443007837817707</v>
      </c>
    </row>
    <row r="1328" spans="1:13" x14ac:dyDescent="0.25">
      <c r="A1328" t="s">
        <v>2869</v>
      </c>
      <c r="B1328" t="s">
        <v>125</v>
      </c>
      <c r="C1328" t="s">
        <v>702</v>
      </c>
      <c r="D1328" t="s">
        <v>2870</v>
      </c>
      <c r="E1328" t="s">
        <v>2056</v>
      </c>
      <c r="F1328" t="s">
        <v>526</v>
      </c>
      <c r="H1328">
        <v>1</v>
      </c>
      <c r="I1328">
        <f t="shared" si="100"/>
        <v>1</v>
      </c>
      <c r="J1328" s="2">
        <f t="shared" si="101"/>
        <v>0.48</v>
      </c>
      <c r="K1328">
        <f t="shared" si="102"/>
        <v>2.0833333333333335</v>
      </c>
      <c r="L1328" t="str">
        <f t="shared" si="103"/>
        <v>Funded</v>
      </c>
      <c r="M1328">
        <f t="shared" si="104"/>
        <v>0.73396917508020054</v>
      </c>
    </row>
    <row r="1329" spans="1:13" x14ac:dyDescent="0.25">
      <c r="A1329" t="s">
        <v>2871</v>
      </c>
      <c r="B1329" t="s">
        <v>125</v>
      </c>
      <c r="C1329" t="s">
        <v>1458</v>
      </c>
      <c r="D1329" t="s">
        <v>2872</v>
      </c>
      <c r="E1329" t="s">
        <v>10</v>
      </c>
      <c r="F1329" t="s">
        <v>11</v>
      </c>
      <c r="H1329">
        <v>1</v>
      </c>
      <c r="I1329">
        <f t="shared" si="100"/>
        <v>1</v>
      </c>
      <c r="J1329" s="2">
        <f t="shared" si="101"/>
        <v>0.221</v>
      </c>
      <c r="K1329">
        <f t="shared" si="102"/>
        <v>4.5248868778280542</v>
      </c>
      <c r="L1329" t="str">
        <f t="shared" si="103"/>
        <v>Funded</v>
      </c>
      <c r="M1329">
        <f t="shared" si="104"/>
        <v>1.5095925774643841</v>
      </c>
    </row>
    <row r="1330" spans="1:13" x14ac:dyDescent="0.25">
      <c r="A1330" t="s">
        <v>2873</v>
      </c>
      <c r="B1330" t="s">
        <v>125</v>
      </c>
      <c r="C1330" t="s">
        <v>1511</v>
      </c>
      <c r="D1330" t="s">
        <v>2874</v>
      </c>
      <c r="E1330" t="s">
        <v>49</v>
      </c>
      <c r="F1330" t="s">
        <v>50</v>
      </c>
      <c r="H1330">
        <v>1</v>
      </c>
      <c r="I1330">
        <f t="shared" si="100"/>
        <v>1</v>
      </c>
      <c r="J1330" s="2">
        <f t="shared" si="101"/>
        <v>0.318</v>
      </c>
      <c r="K1330">
        <f t="shared" si="102"/>
        <v>3.1446540880503142</v>
      </c>
      <c r="L1330" t="str">
        <f t="shared" si="103"/>
        <v>Funded</v>
      </c>
      <c r="M1330">
        <f t="shared" si="104"/>
        <v>1.1457038962019601</v>
      </c>
    </row>
    <row r="1331" spans="1:13" x14ac:dyDescent="0.25">
      <c r="A1331" t="s">
        <v>2875</v>
      </c>
      <c r="B1331" t="s">
        <v>125</v>
      </c>
      <c r="C1331" t="s">
        <v>237</v>
      </c>
      <c r="D1331" t="s">
        <v>469</v>
      </c>
      <c r="E1331" t="s">
        <v>10</v>
      </c>
      <c r="F1331" t="s">
        <v>11</v>
      </c>
      <c r="H1331">
        <v>1</v>
      </c>
      <c r="I1331">
        <f t="shared" si="100"/>
        <v>1</v>
      </c>
      <c r="J1331" s="2">
        <f t="shared" si="101"/>
        <v>0.9</v>
      </c>
      <c r="K1331">
        <f t="shared" si="102"/>
        <v>1.1111111111111112</v>
      </c>
      <c r="L1331" t="str">
        <f t="shared" si="103"/>
        <v>Funded</v>
      </c>
      <c r="M1331">
        <f t="shared" si="104"/>
        <v>0.10536051565782635</v>
      </c>
    </row>
    <row r="1332" spans="1:13" x14ac:dyDescent="0.25">
      <c r="A1332" t="s">
        <v>2876</v>
      </c>
      <c r="B1332" t="s">
        <v>125</v>
      </c>
      <c r="C1332" t="s">
        <v>1994</v>
      </c>
      <c r="D1332" t="s">
        <v>2877</v>
      </c>
      <c r="E1332" t="s">
        <v>10</v>
      </c>
      <c r="F1332" t="s">
        <v>11</v>
      </c>
      <c r="H1332">
        <v>1</v>
      </c>
      <c r="I1332">
        <f t="shared" si="100"/>
        <v>1</v>
      </c>
      <c r="J1332" s="2">
        <f t="shared" si="101"/>
        <v>0.184</v>
      </c>
      <c r="K1332">
        <f t="shared" si="102"/>
        <v>5.4347826086956523</v>
      </c>
      <c r="L1332" t="str">
        <f t="shared" si="103"/>
        <v>Funded</v>
      </c>
      <c r="M1332">
        <f t="shared" si="104"/>
        <v>1.6928195213731514</v>
      </c>
    </row>
    <row r="1333" spans="1:13" x14ac:dyDescent="0.25">
      <c r="A1333" t="s">
        <v>2878</v>
      </c>
      <c r="B1333" t="s">
        <v>125</v>
      </c>
      <c r="C1333" t="s">
        <v>2879</v>
      </c>
      <c r="D1333" t="s">
        <v>722</v>
      </c>
      <c r="E1333" t="s">
        <v>49</v>
      </c>
      <c r="F1333" t="s">
        <v>50</v>
      </c>
      <c r="H1333">
        <v>1</v>
      </c>
      <c r="I1333">
        <f t="shared" si="100"/>
        <v>1</v>
      </c>
      <c r="J1333" s="2">
        <f t="shared" si="101"/>
        <v>0.47</v>
      </c>
      <c r="K1333">
        <f t="shared" si="102"/>
        <v>2.1276595744680851</v>
      </c>
      <c r="L1333" t="str">
        <f t="shared" si="103"/>
        <v>Funded</v>
      </c>
      <c r="M1333">
        <f t="shared" si="104"/>
        <v>0.75502258427803282</v>
      </c>
    </row>
    <row r="1334" spans="1:13" x14ac:dyDescent="0.25">
      <c r="A1334" t="s">
        <v>2880</v>
      </c>
      <c r="B1334" t="s">
        <v>125</v>
      </c>
      <c r="C1334" t="s">
        <v>158</v>
      </c>
      <c r="D1334" t="s">
        <v>2881</v>
      </c>
      <c r="E1334" t="s">
        <v>20</v>
      </c>
      <c r="F1334" t="s">
        <v>21</v>
      </c>
      <c r="H1334">
        <v>1</v>
      </c>
      <c r="I1334">
        <f t="shared" si="100"/>
        <v>1</v>
      </c>
      <c r="J1334" s="2">
        <f t="shared" si="101"/>
        <v>0.72099999999999997</v>
      </c>
      <c r="K1334">
        <f t="shared" si="102"/>
        <v>1.3869625520110958</v>
      </c>
      <c r="L1334" t="str">
        <f t="shared" si="103"/>
        <v>Funded</v>
      </c>
      <c r="M1334">
        <f t="shared" si="104"/>
        <v>0.327116141697188</v>
      </c>
    </row>
    <row r="1335" spans="1:13" x14ac:dyDescent="0.25">
      <c r="A1335" t="s">
        <v>2882</v>
      </c>
      <c r="B1335" t="s">
        <v>125</v>
      </c>
      <c r="C1335" t="s">
        <v>2163</v>
      </c>
      <c r="D1335" t="s">
        <v>2883</v>
      </c>
      <c r="E1335" t="s">
        <v>49</v>
      </c>
      <c r="F1335" t="s">
        <v>50</v>
      </c>
      <c r="H1335">
        <v>1</v>
      </c>
      <c r="I1335">
        <f t="shared" si="100"/>
        <v>1</v>
      </c>
      <c r="J1335" s="2">
        <f t="shared" si="101"/>
        <v>0.249</v>
      </c>
      <c r="K1335">
        <f t="shared" si="102"/>
        <v>4.0160642570281126</v>
      </c>
      <c r="L1335" t="str">
        <f t="shared" si="103"/>
        <v>Funded</v>
      </c>
      <c r="M1335">
        <f t="shared" si="104"/>
        <v>1.3903023825174294</v>
      </c>
    </row>
    <row r="1336" spans="1:13" x14ac:dyDescent="0.25">
      <c r="A1336" t="s">
        <v>2884</v>
      </c>
      <c r="B1336" t="s">
        <v>125</v>
      </c>
      <c r="C1336" t="s">
        <v>2707</v>
      </c>
      <c r="D1336" t="s">
        <v>2783</v>
      </c>
      <c r="E1336" t="s">
        <v>10</v>
      </c>
      <c r="F1336" t="s">
        <v>11</v>
      </c>
      <c r="H1336">
        <v>1</v>
      </c>
      <c r="I1336">
        <f t="shared" si="100"/>
        <v>1</v>
      </c>
      <c r="J1336" s="2">
        <f t="shared" si="101"/>
        <v>0.51500000000000001</v>
      </c>
      <c r="K1336">
        <f t="shared" si="102"/>
        <v>1.941747572815534</v>
      </c>
      <c r="L1336" t="str">
        <f t="shared" si="103"/>
        <v>Funded</v>
      </c>
      <c r="M1336">
        <f t="shared" si="104"/>
        <v>0.6635883783184009</v>
      </c>
    </row>
    <row r="1337" spans="1:13" x14ac:dyDescent="0.25">
      <c r="A1337" t="s">
        <v>2885</v>
      </c>
      <c r="B1337" t="s">
        <v>125</v>
      </c>
      <c r="C1337" t="s">
        <v>1359</v>
      </c>
      <c r="D1337" t="s">
        <v>2886</v>
      </c>
      <c r="E1337" t="s">
        <v>10</v>
      </c>
      <c r="F1337" t="s">
        <v>11</v>
      </c>
      <c r="H1337">
        <v>1</v>
      </c>
      <c r="I1337">
        <f t="shared" si="100"/>
        <v>1</v>
      </c>
      <c r="J1337" s="2">
        <f t="shared" si="101"/>
        <v>0.32600000000000001</v>
      </c>
      <c r="K1337">
        <f t="shared" si="102"/>
        <v>3.0674846625766872</v>
      </c>
      <c r="L1337" t="str">
        <f t="shared" si="103"/>
        <v>Funded</v>
      </c>
      <c r="M1337">
        <f t="shared" si="104"/>
        <v>1.1208578976154295</v>
      </c>
    </row>
    <row r="1338" spans="1:13" x14ac:dyDescent="0.25">
      <c r="A1338" t="s">
        <v>2887</v>
      </c>
      <c r="B1338" t="s">
        <v>125</v>
      </c>
      <c r="C1338" s="1">
        <v>0</v>
      </c>
      <c r="D1338" t="s">
        <v>2888</v>
      </c>
      <c r="H1338">
        <v>1</v>
      </c>
      <c r="I1338">
        <f t="shared" si="100"/>
        <v>1</v>
      </c>
      <c r="J1338" s="2">
        <f t="shared" si="101"/>
        <v>0</v>
      </c>
      <c r="K1338" t="str">
        <f t="shared" si="102"/>
        <v/>
      </c>
      <c r="L1338" t="str">
        <f t="shared" si="103"/>
        <v>Bootstrapped</v>
      </c>
      <c r="M1338" t="str">
        <f t="shared" si="104"/>
        <v/>
      </c>
    </row>
    <row r="1339" spans="1:13" x14ac:dyDescent="0.25">
      <c r="A1339" t="s">
        <v>2889</v>
      </c>
      <c r="B1339" t="s">
        <v>125</v>
      </c>
      <c r="C1339" t="s">
        <v>2890</v>
      </c>
      <c r="D1339" t="s">
        <v>2891</v>
      </c>
      <c r="E1339" t="s">
        <v>10</v>
      </c>
      <c r="F1339" t="s">
        <v>11</v>
      </c>
      <c r="H1339">
        <v>1</v>
      </c>
      <c r="I1339">
        <f t="shared" si="100"/>
        <v>1</v>
      </c>
      <c r="J1339" s="2">
        <f t="shared" si="101"/>
        <v>0.22600000000000001</v>
      </c>
      <c r="K1339">
        <f t="shared" si="102"/>
        <v>4.4247787610619467</v>
      </c>
      <c r="L1339" t="str">
        <f t="shared" si="103"/>
        <v>Funded</v>
      </c>
      <c r="M1339">
        <f t="shared" si="104"/>
        <v>1.487220279709851</v>
      </c>
    </row>
    <row r="1340" spans="1:13" x14ac:dyDescent="0.25">
      <c r="A1340" t="s">
        <v>2892</v>
      </c>
      <c r="B1340" t="s">
        <v>125</v>
      </c>
      <c r="C1340" t="s">
        <v>1822</v>
      </c>
      <c r="D1340" t="s">
        <v>1843</v>
      </c>
      <c r="E1340" t="s">
        <v>10</v>
      </c>
      <c r="F1340" t="s">
        <v>11</v>
      </c>
      <c r="H1340">
        <v>1</v>
      </c>
      <c r="I1340">
        <f t="shared" si="100"/>
        <v>1</v>
      </c>
      <c r="J1340" s="2">
        <f t="shared" si="101"/>
        <v>0.23699999999999999</v>
      </c>
      <c r="K1340">
        <f t="shared" si="102"/>
        <v>4.2194092827004219</v>
      </c>
      <c r="L1340" t="str">
        <f t="shared" si="103"/>
        <v>Funded</v>
      </c>
      <c r="M1340">
        <f t="shared" si="104"/>
        <v>1.4396951378470058</v>
      </c>
    </row>
    <row r="1341" spans="1:13" x14ac:dyDescent="0.25">
      <c r="A1341" t="s">
        <v>2893</v>
      </c>
      <c r="B1341" t="s">
        <v>125</v>
      </c>
      <c r="C1341" t="s">
        <v>1498</v>
      </c>
      <c r="D1341" t="s">
        <v>816</v>
      </c>
      <c r="E1341" t="s">
        <v>10</v>
      </c>
      <c r="F1341" t="s">
        <v>11</v>
      </c>
      <c r="H1341">
        <v>1</v>
      </c>
      <c r="I1341">
        <f t="shared" si="100"/>
        <v>1</v>
      </c>
      <c r="J1341" s="2">
        <f t="shared" si="101"/>
        <v>0.26600000000000001</v>
      </c>
      <c r="K1341">
        <f t="shared" si="102"/>
        <v>3.7593984962406015</v>
      </c>
      <c r="L1341" t="str">
        <f t="shared" si="103"/>
        <v>Funded</v>
      </c>
      <c r="M1341">
        <f t="shared" si="104"/>
        <v>1.3242589702004379</v>
      </c>
    </row>
    <row r="1342" spans="1:13" x14ac:dyDescent="0.25">
      <c r="A1342" t="s">
        <v>2894</v>
      </c>
      <c r="B1342" t="s">
        <v>125</v>
      </c>
      <c r="C1342" s="1">
        <v>0</v>
      </c>
      <c r="E1342" t="s">
        <v>10</v>
      </c>
      <c r="F1342" t="s">
        <v>11</v>
      </c>
      <c r="H1342">
        <v>1</v>
      </c>
      <c r="I1342">
        <f t="shared" si="100"/>
        <v>1</v>
      </c>
      <c r="J1342" s="2">
        <f t="shared" si="101"/>
        <v>0</v>
      </c>
      <c r="K1342" t="str">
        <f t="shared" si="102"/>
        <v/>
      </c>
      <c r="L1342" t="str">
        <f t="shared" si="103"/>
        <v>Bootstrapped</v>
      </c>
      <c r="M1342" t="str">
        <f t="shared" si="104"/>
        <v/>
      </c>
    </row>
    <row r="1343" spans="1:13" x14ac:dyDescent="0.25">
      <c r="A1343" t="s">
        <v>2895</v>
      </c>
      <c r="B1343" t="s">
        <v>125</v>
      </c>
      <c r="C1343" t="s">
        <v>1619</v>
      </c>
      <c r="D1343" t="s">
        <v>2896</v>
      </c>
      <c r="E1343" t="s">
        <v>273</v>
      </c>
      <c r="F1343" t="s">
        <v>21</v>
      </c>
      <c r="H1343">
        <v>1</v>
      </c>
      <c r="I1343">
        <f t="shared" si="100"/>
        <v>1</v>
      </c>
      <c r="J1343" s="2">
        <f t="shared" si="101"/>
        <v>0.111</v>
      </c>
      <c r="K1343">
        <f t="shared" si="102"/>
        <v>9.0090090090090094</v>
      </c>
      <c r="L1343" t="str">
        <f t="shared" si="103"/>
        <v>Funded</v>
      </c>
      <c r="M1343">
        <f t="shared" si="104"/>
        <v>2.1982250776698029</v>
      </c>
    </row>
    <row r="1344" spans="1:13" x14ac:dyDescent="0.25">
      <c r="A1344" t="s">
        <v>2897</v>
      </c>
      <c r="B1344" t="s">
        <v>125</v>
      </c>
      <c r="C1344" t="s">
        <v>1950</v>
      </c>
      <c r="D1344" t="s">
        <v>1735</v>
      </c>
      <c r="E1344" t="s">
        <v>10</v>
      </c>
      <c r="F1344" t="s">
        <v>11</v>
      </c>
      <c r="H1344">
        <v>1</v>
      </c>
      <c r="I1344">
        <f t="shared" si="100"/>
        <v>1</v>
      </c>
      <c r="J1344" s="2">
        <f t="shared" si="101"/>
        <v>0.113</v>
      </c>
      <c r="K1344">
        <f t="shared" si="102"/>
        <v>8.8495575221238933</v>
      </c>
      <c r="L1344" t="str">
        <f t="shared" si="103"/>
        <v>Funded</v>
      </c>
      <c r="M1344">
        <f t="shared" si="104"/>
        <v>2.1803674602697964</v>
      </c>
    </row>
    <row r="1345" spans="1:13" x14ac:dyDescent="0.25">
      <c r="A1345" t="s">
        <v>2898</v>
      </c>
      <c r="B1345" t="s">
        <v>125</v>
      </c>
      <c r="C1345" t="s">
        <v>2012</v>
      </c>
      <c r="D1345" t="s">
        <v>2899</v>
      </c>
      <c r="E1345" t="s">
        <v>10</v>
      </c>
      <c r="F1345" t="s">
        <v>11</v>
      </c>
      <c r="H1345">
        <v>1</v>
      </c>
      <c r="I1345">
        <f t="shared" si="100"/>
        <v>1</v>
      </c>
      <c r="J1345" s="2">
        <f t="shared" si="101"/>
        <v>0.18099999999999999</v>
      </c>
      <c r="K1345">
        <f t="shared" si="102"/>
        <v>5.5248618784530388</v>
      </c>
      <c r="L1345" t="str">
        <f t="shared" si="103"/>
        <v>Funded</v>
      </c>
      <c r="M1345">
        <f t="shared" si="104"/>
        <v>1.7092582477163114</v>
      </c>
    </row>
    <row r="1346" spans="1:13" x14ac:dyDescent="0.25">
      <c r="A1346" t="s">
        <v>2900</v>
      </c>
      <c r="B1346" t="s">
        <v>125</v>
      </c>
      <c r="C1346" t="s">
        <v>1022</v>
      </c>
      <c r="D1346" t="s">
        <v>2901</v>
      </c>
      <c r="E1346" t="s">
        <v>44</v>
      </c>
      <c r="F1346" t="s">
        <v>21</v>
      </c>
      <c r="H1346">
        <v>1</v>
      </c>
      <c r="I1346">
        <f t="shared" si="100"/>
        <v>1</v>
      </c>
      <c r="J1346" s="2">
        <f t="shared" si="101"/>
        <v>9.2999999999999999E-2</v>
      </c>
      <c r="K1346">
        <f t="shared" si="102"/>
        <v>10.75268817204301</v>
      </c>
      <c r="L1346" t="str">
        <f t="shared" si="103"/>
        <v>Funded</v>
      </c>
      <c r="M1346">
        <f t="shared" si="104"/>
        <v>2.375155785828881</v>
      </c>
    </row>
    <row r="1347" spans="1:13" x14ac:dyDescent="0.25">
      <c r="A1347" t="s">
        <v>2902</v>
      </c>
      <c r="B1347" t="s">
        <v>125</v>
      </c>
      <c r="C1347" t="s">
        <v>2203</v>
      </c>
      <c r="D1347" t="s">
        <v>2903</v>
      </c>
      <c r="E1347" t="s">
        <v>10</v>
      </c>
      <c r="F1347" t="s">
        <v>11</v>
      </c>
      <c r="H1347">
        <v>1</v>
      </c>
      <c r="I1347">
        <f t="shared" ref="I1347:I1410" si="105">IF(B1347="","",
VALUE(SUBSTITUTE(SUBSTITUTE(B1347,"$",""),"B","")))</f>
        <v>1</v>
      </c>
      <c r="J1347" s="2">
        <f t="shared" ref="J1347:J1410" si="106">IF(C1347="","",
IF(C1347="$0",0,
IF(RIGHT(C1347,1)="B",
VALUE(SUBSTITUTE(SUBSTITUTE(C1347,"$",""),"B","")),
IF(RIGHT(C1347,1)="M",
VALUE(SUBSTITUTE(SUBSTITUTE(C1347,"$",""),"M",""))/1000,
IF(RIGHT(C1347,1)="K",
VALUE(SUBSTITUTE(SUBSTITUTE(C1347,"$",""),"K",""))/1000000,
VALUE(SUBSTITUTE(C1347,"$",""))
)))))</f>
        <v>0.182</v>
      </c>
      <c r="K1347">
        <f t="shared" ref="K1347:K1410" si="107">IF(J1347&gt;0,I1347/J1347,"")</f>
        <v>5.4945054945054945</v>
      </c>
      <c r="L1347" t="str">
        <f t="shared" ref="L1347:L1410" si="108">IF(J1347=0,"Bootstrapped","Funded")</f>
        <v>Funded</v>
      </c>
      <c r="M1347">
        <f t="shared" ref="M1347:M1410" si="109">IF(AND(I1347&gt;0,J1347&gt;0),LN(I1347/J1347),"")</f>
        <v>1.7037485919053417</v>
      </c>
    </row>
    <row r="1348" spans="1:13" x14ac:dyDescent="0.25">
      <c r="A1348" t="s">
        <v>2904</v>
      </c>
      <c r="B1348" t="s">
        <v>125</v>
      </c>
      <c r="C1348" t="s">
        <v>2328</v>
      </c>
      <c r="D1348" t="s">
        <v>225</v>
      </c>
      <c r="E1348" t="s">
        <v>49</v>
      </c>
      <c r="F1348" t="s">
        <v>50</v>
      </c>
      <c r="H1348">
        <v>1</v>
      </c>
      <c r="I1348">
        <f t="shared" si="105"/>
        <v>1</v>
      </c>
      <c r="J1348" s="2">
        <f t="shared" si="106"/>
        <v>0.10199999999999999</v>
      </c>
      <c r="K1348">
        <f t="shared" si="107"/>
        <v>9.8039215686274517</v>
      </c>
      <c r="L1348" t="str">
        <f t="shared" si="108"/>
        <v>Funded</v>
      </c>
      <c r="M1348">
        <f t="shared" si="109"/>
        <v>2.2827824656978661</v>
      </c>
    </row>
    <row r="1349" spans="1:13" x14ac:dyDescent="0.25">
      <c r="A1349" t="s">
        <v>2905</v>
      </c>
      <c r="B1349" t="s">
        <v>125</v>
      </c>
      <c r="C1349" t="s">
        <v>125</v>
      </c>
      <c r="D1349" t="s">
        <v>1068</v>
      </c>
      <c r="E1349" t="s">
        <v>10</v>
      </c>
      <c r="F1349" t="s">
        <v>11</v>
      </c>
      <c r="H1349">
        <v>1</v>
      </c>
      <c r="I1349">
        <f t="shared" si="105"/>
        <v>1</v>
      </c>
      <c r="J1349" s="2">
        <f t="shared" si="106"/>
        <v>1</v>
      </c>
      <c r="K1349">
        <f t="shared" si="107"/>
        <v>1</v>
      </c>
      <c r="L1349" t="str">
        <f t="shared" si="108"/>
        <v>Funded</v>
      </c>
      <c r="M1349">
        <f t="shared" si="109"/>
        <v>0</v>
      </c>
    </row>
    <row r="1350" spans="1:13" x14ac:dyDescent="0.25">
      <c r="A1350" t="s">
        <v>2906</v>
      </c>
      <c r="B1350" t="s">
        <v>125</v>
      </c>
      <c r="C1350" t="s">
        <v>174</v>
      </c>
      <c r="D1350" t="s">
        <v>469</v>
      </c>
      <c r="E1350" t="s">
        <v>10</v>
      </c>
      <c r="F1350" t="s">
        <v>11</v>
      </c>
      <c r="H1350">
        <v>1</v>
      </c>
      <c r="I1350">
        <f t="shared" si="105"/>
        <v>1</v>
      </c>
      <c r="J1350" s="2">
        <f t="shared" si="106"/>
        <v>0.255</v>
      </c>
      <c r="K1350">
        <f t="shared" si="107"/>
        <v>3.9215686274509802</v>
      </c>
      <c r="L1350" t="str">
        <f t="shared" si="108"/>
        <v>Funded</v>
      </c>
      <c r="M1350">
        <f t="shared" si="109"/>
        <v>1.3664917338237108</v>
      </c>
    </row>
    <row r="1351" spans="1:13" x14ac:dyDescent="0.25">
      <c r="A1351" t="s">
        <v>2907</v>
      </c>
      <c r="B1351" t="s">
        <v>125</v>
      </c>
      <c r="C1351" t="s">
        <v>2908</v>
      </c>
      <c r="D1351" t="s">
        <v>1398</v>
      </c>
      <c r="E1351" t="s">
        <v>10</v>
      </c>
      <c r="F1351" t="s">
        <v>11</v>
      </c>
      <c r="H1351">
        <v>1</v>
      </c>
      <c r="I1351">
        <f t="shared" si="105"/>
        <v>1</v>
      </c>
      <c r="J1351" s="2">
        <f t="shared" si="106"/>
        <v>1.9E-2</v>
      </c>
      <c r="K1351">
        <f t="shared" si="107"/>
        <v>52.631578947368425</v>
      </c>
      <c r="L1351" t="str">
        <f t="shared" si="108"/>
        <v>Funded</v>
      </c>
      <c r="M1351">
        <f t="shared" si="109"/>
        <v>3.9633162998156966</v>
      </c>
    </row>
    <row r="1352" spans="1:13" x14ac:dyDescent="0.25">
      <c r="A1352" t="s">
        <v>2909</v>
      </c>
      <c r="B1352" t="s">
        <v>125</v>
      </c>
      <c r="C1352" t="s">
        <v>2522</v>
      </c>
      <c r="D1352" t="s">
        <v>786</v>
      </c>
      <c r="E1352" t="s">
        <v>2910</v>
      </c>
      <c r="F1352" t="s">
        <v>63</v>
      </c>
      <c r="H1352">
        <v>1</v>
      </c>
      <c r="I1352">
        <f t="shared" si="105"/>
        <v>1</v>
      </c>
      <c r="J1352" s="2">
        <f t="shared" si="106"/>
        <v>0.19800000000000001</v>
      </c>
      <c r="K1352">
        <f t="shared" si="107"/>
        <v>5.0505050505050502</v>
      </c>
      <c r="L1352" t="str">
        <f t="shared" si="108"/>
        <v>Funded</v>
      </c>
      <c r="M1352">
        <f t="shared" si="109"/>
        <v>1.6194882482876019</v>
      </c>
    </row>
    <row r="1353" spans="1:13" x14ac:dyDescent="0.25">
      <c r="A1353" t="s">
        <v>2911</v>
      </c>
      <c r="B1353" t="s">
        <v>125</v>
      </c>
      <c r="C1353" t="s">
        <v>1955</v>
      </c>
      <c r="D1353" t="s">
        <v>2912</v>
      </c>
      <c r="E1353" t="s">
        <v>10</v>
      </c>
      <c r="F1353" t="s">
        <v>11</v>
      </c>
      <c r="H1353">
        <v>1</v>
      </c>
      <c r="I1353">
        <f t="shared" si="105"/>
        <v>1</v>
      </c>
      <c r="J1353" s="2">
        <f t="shared" si="106"/>
        <v>0.32200000000000001</v>
      </c>
      <c r="K1353">
        <f t="shared" si="107"/>
        <v>3.1055900621118013</v>
      </c>
      <c r="L1353" t="str">
        <f t="shared" si="108"/>
        <v>Funded</v>
      </c>
      <c r="M1353">
        <f t="shared" si="109"/>
        <v>1.1332037334377287</v>
      </c>
    </row>
    <row r="1354" spans="1:13" x14ac:dyDescent="0.25">
      <c r="A1354" t="s">
        <v>2913</v>
      </c>
      <c r="B1354" t="s">
        <v>125</v>
      </c>
      <c r="C1354" t="s">
        <v>2045</v>
      </c>
      <c r="D1354" t="s">
        <v>2914</v>
      </c>
      <c r="E1354" t="s">
        <v>44</v>
      </c>
      <c r="F1354" t="s">
        <v>21</v>
      </c>
      <c r="H1354">
        <v>1</v>
      </c>
      <c r="I1354">
        <f t="shared" si="105"/>
        <v>1</v>
      </c>
      <c r="J1354" s="2">
        <f t="shared" si="106"/>
        <v>0.28499999999999998</v>
      </c>
      <c r="K1354">
        <f t="shared" si="107"/>
        <v>3.5087719298245617</v>
      </c>
      <c r="L1354" t="str">
        <f t="shared" si="108"/>
        <v>Funded</v>
      </c>
      <c r="M1354">
        <f t="shared" si="109"/>
        <v>1.2552660987134865</v>
      </c>
    </row>
    <row r="1355" spans="1:13" x14ac:dyDescent="0.25">
      <c r="A1355" t="s">
        <v>2915</v>
      </c>
      <c r="B1355" t="s">
        <v>125</v>
      </c>
      <c r="C1355" t="s">
        <v>2268</v>
      </c>
      <c r="D1355" t="s">
        <v>2916</v>
      </c>
      <c r="E1355" t="s">
        <v>652</v>
      </c>
      <c r="F1355" t="s">
        <v>50</v>
      </c>
      <c r="H1355">
        <v>1</v>
      </c>
      <c r="I1355">
        <f t="shared" si="105"/>
        <v>1</v>
      </c>
      <c r="J1355" s="2">
        <f t="shared" si="106"/>
        <v>0.13900000000000001</v>
      </c>
      <c r="K1355">
        <f t="shared" si="107"/>
        <v>7.1942446043165464</v>
      </c>
      <c r="L1355" t="str">
        <f t="shared" si="108"/>
        <v>Funded</v>
      </c>
      <c r="M1355">
        <f t="shared" si="109"/>
        <v>1.9732813458514453</v>
      </c>
    </row>
    <row r="1356" spans="1:13" x14ac:dyDescent="0.25">
      <c r="A1356" t="s">
        <v>2917</v>
      </c>
      <c r="B1356" t="s">
        <v>125</v>
      </c>
      <c r="C1356" t="s">
        <v>976</v>
      </c>
      <c r="D1356" t="s">
        <v>2918</v>
      </c>
      <c r="E1356" t="s">
        <v>170</v>
      </c>
      <c r="F1356" t="s">
        <v>50</v>
      </c>
      <c r="H1356">
        <v>1</v>
      </c>
      <c r="I1356">
        <f t="shared" si="105"/>
        <v>1</v>
      </c>
      <c r="J1356" s="2">
        <f t="shared" si="106"/>
        <v>0.42</v>
      </c>
      <c r="K1356">
        <f t="shared" si="107"/>
        <v>2.3809523809523809</v>
      </c>
      <c r="L1356" t="str">
        <f t="shared" si="108"/>
        <v>Funded</v>
      </c>
      <c r="M1356">
        <f t="shared" si="109"/>
        <v>0.86750056770472306</v>
      </c>
    </row>
    <row r="1357" spans="1:13" x14ac:dyDescent="0.25">
      <c r="A1357" t="s">
        <v>2919</v>
      </c>
      <c r="B1357" t="s">
        <v>125</v>
      </c>
      <c r="C1357" t="s">
        <v>2920</v>
      </c>
      <c r="D1357" t="s">
        <v>1642</v>
      </c>
      <c r="E1357" t="s">
        <v>242</v>
      </c>
      <c r="F1357" t="s">
        <v>21</v>
      </c>
      <c r="H1357">
        <v>1</v>
      </c>
      <c r="I1357">
        <f t="shared" si="105"/>
        <v>1</v>
      </c>
      <c r="J1357" s="2">
        <f t="shared" si="106"/>
        <v>2.9000000000000001E-2</v>
      </c>
      <c r="K1357">
        <f t="shared" si="107"/>
        <v>34.482758620689651</v>
      </c>
      <c r="L1357" t="str">
        <f t="shared" si="108"/>
        <v>Funded</v>
      </c>
      <c r="M1357">
        <f t="shared" si="109"/>
        <v>3.5404594489956631</v>
      </c>
    </row>
    <row r="1358" spans="1:13" x14ac:dyDescent="0.25">
      <c r="A1358" t="s">
        <v>2921</v>
      </c>
      <c r="B1358" t="s">
        <v>125</v>
      </c>
      <c r="C1358" t="s">
        <v>1756</v>
      </c>
      <c r="D1358" t="s">
        <v>316</v>
      </c>
      <c r="E1358" t="s">
        <v>10</v>
      </c>
      <c r="F1358" t="s">
        <v>11</v>
      </c>
      <c r="H1358">
        <v>1</v>
      </c>
      <c r="I1358">
        <f t="shared" si="105"/>
        <v>1</v>
      </c>
      <c r="J1358" s="2">
        <f t="shared" si="106"/>
        <v>0.30499999999999999</v>
      </c>
      <c r="K1358">
        <f t="shared" si="107"/>
        <v>3.278688524590164</v>
      </c>
      <c r="L1358" t="str">
        <f t="shared" si="108"/>
        <v>Funded</v>
      </c>
      <c r="M1358">
        <f t="shared" si="109"/>
        <v>1.1874435023747254</v>
      </c>
    </row>
    <row r="1359" spans="1:13" x14ac:dyDescent="0.25">
      <c r="A1359" t="s">
        <v>2922</v>
      </c>
      <c r="B1359" t="s">
        <v>125</v>
      </c>
      <c r="C1359" t="s">
        <v>2923</v>
      </c>
      <c r="D1359" t="s">
        <v>595</v>
      </c>
      <c r="H1359">
        <v>1</v>
      </c>
      <c r="I1359">
        <f t="shared" si="105"/>
        <v>1</v>
      </c>
      <c r="J1359" s="2">
        <f t="shared" si="106"/>
        <v>0.28699999999999998</v>
      </c>
      <c r="K1359">
        <f t="shared" si="107"/>
        <v>3.4843205574912894</v>
      </c>
      <c r="L1359" t="str">
        <f t="shared" si="108"/>
        <v>Funded</v>
      </c>
      <c r="M1359">
        <f t="shared" si="109"/>
        <v>1.2482730632225161</v>
      </c>
    </row>
    <row r="1360" spans="1:13" x14ac:dyDescent="0.25">
      <c r="A1360" t="s">
        <v>2924</v>
      </c>
      <c r="B1360" t="s">
        <v>125</v>
      </c>
      <c r="C1360" t="s">
        <v>628</v>
      </c>
      <c r="D1360" t="s">
        <v>2925</v>
      </c>
      <c r="E1360" t="s">
        <v>10</v>
      </c>
      <c r="F1360" t="s">
        <v>11</v>
      </c>
      <c r="H1360">
        <v>1</v>
      </c>
      <c r="I1360">
        <f t="shared" si="105"/>
        <v>1</v>
      </c>
      <c r="J1360" s="2">
        <f t="shared" si="106"/>
        <v>0.17</v>
      </c>
      <c r="K1360">
        <f t="shared" si="107"/>
        <v>5.8823529411764701</v>
      </c>
      <c r="L1360" t="str">
        <f t="shared" si="108"/>
        <v>Funded</v>
      </c>
      <c r="M1360">
        <f t="shared" si="109"/>
        <v>1.7719568419318752</v>
      </c>
    </row>
    <row r="1361" spans="1:13" x14ac:dyDescent="0.25">
      <c r="A1361" t="s">
        <v>2926</v>
      </c>
      <c r="B1361" t="s">
        <v>125</v>
      </c>
      <c r="C1361" t="s">
        <v>1481</v>
      </c>
      <c r="D1361" t="s">
        <v>2676</v>
      </c>
      <c r="E1361" t="s">
        <v>10</v>
      </c>
      <c r="F1361" t="s">
        <v>11</v>
      </c>
      <c r="H1361">
        <v>1</v>
      </c>
      <c r="I1361">
        <f t="shared" si="105"/>
        <v>1</v>
      </c>
      <c r="J1361" s="2">
        <f t="shared" si="106"/>
        <v>0.51700000000000002</v>
      </c>
      <c r="K1361">
        <f t="shared" si="107"/>
        <v>1.9342359767891681</v>
      </c>
      <c r="L1361" t="str">
        <f t="shared" si="108"/>
        <v>Funded</v>
      </c>
      <c r="M1361">
        <f t="shared" si="109"/>
        <v>0.65971240447370783</v>
      </c>
    </row>
    <row r="1362" spans="1:13" x14ac:dyDescent="0.25">
      <c r="A1362" t="s">
        <v>2927</v>
      </c>
      <c r="B1362" t="s">
        <v>125</v>
      </c>
      <c r="C1362" t="s">
        <v>1108</v>
      </c>
      <c r="D1362" t="s">
        <v>2928</v>
      </c>
      <c r="E1362" t="s">
        <v>10</v>
      </c>
      <c r="F1362" t="s">
        <v>11</v>
      </c>
      <c r="H1362">
        <v>1</v>
      </c>
      <c r="I1362">
        <f t="shared" si="105"/>
        <v>1</v>
      </c>
      <c r="J1362" s="2">
        <f t="shared" si="106"/>
        <v>0.52200000000000002</v>
      </c>
      <c r="K1362">
        <f t="shared" si="107"/>
        <v>1.9157088122605364</v>
      </c>
      <c r="L1362" t="str">
        <f t="shared" si="108"/>
        <v>Funded</v>
      </c>
      <c r="M1362">
        <f t="shared" si="109"/>
        <v>0.65008769109949827</v>
      </c>
    </row>
    <row r="1363" spans="1:13" x14ac:dyDescent="0.25">
      <c r="A1363" t="s">
        <v>2929</v>
      </c>
      <c r="B1363" t="s">
        <v>125</v>
      </c>
      <c r="C1363" t="s">
        <v>2930</v>
      </c>
      <c r="D1363" t="s">
        <v>2931</v>
      </c>
      <c r="E1363" t="s">
        <v>10</v>
      </c>
      <c r="F1363" t="s">
        <v>11</v>
      </c>
      <c r="H1363">
        <v>1</v>
      </c>
      <c r="I1363">
        <f t="shared" si="105"/>
        <v>1</v>
      </c>
      <c r="J1363" s="2">
        <f t="shared" si="106"/>
        <v>0.27500000000000002</v>
      </c>
      <c r="K1363">
        <f t="shared" si="107"/>
        <v>3.6363636363636362</v>
      </c>
      <c r="L1363" t="str">
        <f t="shared" si="108"/>
        <v>Funded</v>
      </c>
      <c r="M1363">
        <f t="shared" si="109"/>
        <v>1.2909841813155658</v>
      </c>
    </row>
    <row r="1364" spans="1:13" x14ac:dyDescent="0.25">
      <c r="A1364" t="s">
        <v>2932</v>
      </c>
      <c r="B1364" t="s">
        <v>125</v>
      </c>
      <c r="C1364" t="s">
        <v>1537</v>
      </c>
      <c r="D1364" t="s">
        <v>2933</v>
      </c>
      <c r="E1364" t="s">
        <v>273</v>
      </c>
      <c r="F1364" t="s">
        <v>21</v>
      </c>
      <c r="H1364">
        <v>1</v>
      </c>
      <c r="I1364">
        <f t="shared" si="105"/>
        <v>1</v>
      </c>
      <c r="J1364" s="2">
        <f t="shared" si="106"/>
        <v>0.19400000000000001</v>
      </c>
      <c r="K1364">
        <f t="shared" si="107"/>
        <v>5.1546391752577314</v>
      </c>
      <c r="L1364" t="str">
        <f t="shared" si="108"/>
        <v>Funded</v>
      </c>
      <c r="M1364">
        <f t="shared" si="109"/>
        <v>1.6398971199188088</v>
      </c>
    </row>
    <row r="1365" spans="1:13" x14ac:dyDescent="0.25">
      <c r="A1365" t="s">
        <v>2934</v>
      </c>
      <c r="B1365" t="s">
        <v>125</v>
      </c>
      <c r="C1365" t="s">
        <v>2935</v>
      </c>
      <c r="D1365" t="s">
        <v>2032</v>
      </c>
      <c r="E1365" t="s">
        <v>10</v>
      </c>
      <c r="F1365" t="s">
        <v>11</v>
      </c>
      <c r="H1365">
        <v>1</v>
      </c>
      <c r="I1365">
        <f t="shared" si="105"/>
        <v>1</v>
      </c>
      <c r="J1365" s="2">
        <f t="shared" si="106"/>
        <v>0.23400000000000001</v>
      </c>
      <c r="K1365">
        <f t="shared" si="107"/>
        <v>4.2735042735042734</v>
      </c>
      <c r="L1365" t="str">
        <f t="shared" si="108"/>
        <v>Funded</v>
      </c>
      <c r="M1365">
        <f t="shared" si="109"/>
        <v>1.4524341636244356</v>
      </c>
    </row>
    <row r="1366" spans="1:13" x14ac:dyDescent="0.25">
      <c r="A1366" t="s">
        <v>2936</v>
      </c>
      <c r="B1366" t="s">
        <v>125</v>
      </c>
      <c r="C1366" t="s">
        <v>1875</v>
      </c>
      <c r="D1366" t="s">
        <v>2937</v>
      </c>
      <c r="E1366" t="s">
        <v>10</v>
      </c>
      <c r="F1366" t="s">
        <v>11</v>
      </c>
      <c r="H1366">
        <v>1</v>
      </c>
      <c r="I1366">
        <f t="shared" si="105"/>
        <v>1</v>
      </c>
      <c r="J1366" s="2">
        <f t="shared" si="106"/>
        <v>0.1</v>
      </c>
      <c r="K1366">
        <f t="shared" si="107"/>
        <v>10</v>
      </c>
      <c r="L1366" t="str">
        <f t="shared" si="108"/>
        <v>Funded</v>
      </c>
      <c r="M1366">
        <f t="shared" si="109"/>
        <v>2.3025850929940459</v>
      </c>
    </row>
    <row r="1367" spans="1:13" x14ac:dyDescent="0.25">
      <c r="A1367" t="s">
        <v>2938</v>
      </c>
      <c r="B1367" t="s">
        <v>125</v>
      </c>
      <c r="C1367" t="s">
        <v>2214</v>
      </c>
      <c r="D1367" t="s">
        <v>1074</v>
      </c>
      <c r="E1367" t="s">
        <v>10</v>
      </c>
      <c r="F1367" t="s">
        <v>11</v>
      </c>
      <c r="H1367">
        <v>1</v>
      </c>
      <c r="I1367">
        <f t="shared" si="105"/>
        <v>1</v>
      </c>
      <c r="J1367" s="2">
        <f t="shared" si="106"/>
        <v>0.16400000000000001</v>
      </c>
      <c r="K1367">
        <f t="shared" si="107"/>
        <v>6.0975609756097562</v>
      </c>
      <c r="L1367" t="str">
        <f t="shared" si="108"/>
        <v>Funded</v>
      </c>
      <c r="M1367">
        <f t="shared" si="109"/>
        <v>1.8078888511579387</v>
      </c>
    </row>
    <row r="1368" spans="1:13" x14ac:dyDescent="0.25">
      <c r="A1368" t="s">
        <v>2939</v>
      </c>
      <c r="B1368" t="s">
        <v>125</v>
      </c>
      <c r="C1368" s="1">
        <v>0</v>
      </c>
      <c r="D1368" t="s">
        <v>2940</v>
      </c>
      <c r="E1368" t="s">
        <v>2941</v>
      </c>
      <c r="F1368" t="s">
        <v>50</v>
      </c>
      <c r="H1368">
        <v>1</v>
      </c>
      <c r="I1368">
        <f t="shared" si="105"/>
        <v>1</v>
      </c>
      <c r="J1368" s="2">
        <f t="shared" si="106"/>
        <v>0</v>
      </c>
      <c r="K1368" t="str">
        <f t="shared" si="107"/>
        <v/>
      </c>
      <c r="L1368" t="str">
        <f t="shared" si="108"/>
        <v>Bootstrapped</v>
      </c>
      <c r="M1368" t="str">
        <f t="shared" si="109"/>
        <v/>
      </c>
    </row>
    <row r="1369" spans="1:13" x14ac:dyDescent="0.25">
      <c r="A1369" t="s">
        <v>2942</v>
      </c>
      <c r="B1369" t="s">
        <v>125</v>
      </c>
      <c r="C1369" t="s">
        <v>871</v>
      </c>
      <c r="E1369" t="s">
        <v>49</v>
      </c>
      <c r="F1369" t="s">
        <v>50</v>
      </c>
      <c r="H1369">
        <v>1</v>
      </c>
      <c r="I1369">
        <f t="shared" si="105"/>
        <v>1</v>
      </c>
      <c r="J1369" s="2">
        <f t="shared" si="106"/>
        <v>0.05</v>
      </c>
      <c r="K1369">
        <f t="shared" si="107"/>
        <v>20</v>
      </c>
      <c r="L1369" t="str">
        <f t="shared" si="108"/>
        <v>Funded</v>
      </c>
      <c r="M1369">
        <f t="shared" si="109"/>
        <v>2.9957322735539909</v>
      </c>
    </row>
    <row r="1370" spans="1:13" x14ac:dyDescent="0.25">
      <c r="A1370" t="s">
        <v>2943</v>
      </c>
      <c r="B1370" t="s">
        <v>125</v>
      </c>
      <c r="C1370" t="s">
        <v>1875</v>
      </c>
      <c r="E1370" t="s">
        <v>10</v>
      </c>
      <c r="F1370" t="s">
        <v>11</v>
      </c>
      <c r="H1370">
        <v>1</v>
      </c>
      <c r="I1370">
        <f t="shared" si="105"/>
        <v>1</v>
      </c>
      <c r="J1370" s="2">
        <f t="shared" si="106"/>
        <v>0.1</v>
      </c>
      <c r="K1370">
        <f t="shared" si="107"/>
        <v>10</v>
      </c>
      <c r="L1370" t="str">
        <f t="shared" si="108"/>
        <v>Funded</v>
      </c>
      <c r="M1370">
        <f t="shared" si="109"/>
        <v>2.3025850929940459</v>
      </c>
    </row>
    <row r="1371" spans="1:13" x14ac:dyDescent="0.25">
      <c r="A1371" t="s">
        <v>2944</v>
      </c>
      <c r="B1371" t="s">
        <v>125</v>
      </c>
      <c r="C1371" t="s">
        <v>785</v>
      </c>
      <c r="D1371" t="s">
        <v>2945</v>
      </c>
      <c r="E1371" t="s">
        <v>365</v>
      </c>
      <c r="F1371" t="s">
        <v>11</v>
      </c>
      <c r="H1371">
        <v>1</v>
      </c>
      <c r="I1371">
        <f t="shared" si="105"/>
        <v>1</v>
      </c>
      <c r="J1371" s="2">
        <f t="shared" si="106"/>
        <v>0.25</v>
      </c>
      <c r="K1371">
        <f t="shared" si="107"/>
        <v>4</v>
      </c>
      <c r="L1371" t="str">
        <f t="shared" si="108"/>
        <v>Funded</v>
      </c>
      <c r="M1371">
        <f t="shared" si="109"/>
        <v>1.3862943611198906</v>
      </c>
    </row>
    <row r="1372" spans="1:13" x14ac:dyDescent="0.25">
      <c r="A1372" t="s">
        <v>2946</v>
      </c>
      <c r="B1372" t="s">
        <v>125</v>
      </c>
      <c r="C1372" t="s">
        <v>136</v>
      </c>
      <c r="D1372" t="s">
        <v>2947</v>
      </c>
      <c r="E1372" t="s">
        <v>273</v>
      </c>
      <c r="F1372" t="s">
        <v>21</v>
      </c>
      <c r="H1372">
        <v>1</v>
      </c>
      <c r="I1372">
        <f t="shared" si="105"/>
        <v>1</v>
      </c>
      <c r="J1372" s="2">
        <f t="shared" si="106"/>
        <v>0.47599999999999998</v>
      </c>
      <c r="K1372">
        <f t="shared" si="107"/>
        <v>2.1008403361344539</v>
      </c>
      <c r="L1372" t="str">
        <f t="shared" si="108"/>
        <v>Funded</v>
      </c>
      <c r="M1372">
        <f t="shared" si="109"/>
        <v>0.74233742475071707</v>
      </c>
    </row>
    <row r="1373" spans="1:13" x14ac:dyDescent="0.25">
      <c r="A1373" t="s">
        <v>2948</v>
      </c>
      <c r="B1373" t="s">
        <v>125</v>
      </c>
      <c r="C1373" t="s">
        <v>666</v>
      </c>
      <c r="D1373" t="s">
        <v>2259</v>
      </c>
      <c r="E1373" t="s">
        <v>10</v>
      </c>
      <c r="F1373" t="s">
        <v>11</v>
      </c>
      <c r="H1373">
        <v>1</v>
      </c>
      <c r="I1373">
        <f t="shared" si="105"/>
        <v>1</v>
      </c>
      <c r="J1373" s="2">
        <f t="shared" si="106"/>
        <v>0.59899999999999998</v>
      </c>
      <c r="K1373">
        <f t="shared" si="107"/>
        <v>1.669449081803005</v>
      </c>
      <c r="L1373" t="str">
        <f t="shared" si="108"/>
        <v>Funded</v>
      </c>
      <c r="M1373">
        <f t="shared" si="109"/>
        <v>0.51249368086668767</v>
      </c>
    </row>
    <row r="1374" spans="1:13" x14ac:dyDescent="0.25">
      <c r="A1374" t="s">
        <v>2949</v>
      </c>
      <c r="B1374" t="s">
        <v>125</v>
      </c>
      <c r="C1374" t="s">
        <v>88</v>
      </c>
      <c r="D1374" t="s">
        <v>2950</v>
      </c>
      <c r="H1374">
        <v>1</v>
      </c>
      <c r="I1374">
        <f t="shared" si="105"/>
        <v>1</v>
      </c>
      <c r="J1374" s="2">
        <f t="shared" si="106"/>
        <v>6</v>
      </c>
      <c r="K1374">
        <f t="shared" si="107"/>
        <v>0.16666666666666666</v>
      </c>
      <c r="L1374" t="str">
        <f t="shared" si="108"/>
        <v>Funded</v>
      </c>
      <c r="M1374">
        <f t="shared" si="109"/>
        <v>-1.791759469228055</v>
      </c>
    </row>
    <row r="1375" spans="1:13" x14ac:dyDescent="0.25">
      <c r="A1375" t="s">
        <v>2951</v>
      </c>
      <c r="B1375" t="s">
        <v>125</v>
      </c>
      <c r="C1375" t="s">
        <v>2952</v>
      </c>
      <c r="D1375" t="s">
        <v>2953</v>
      </c>
      <c r="E1375" t="s">
        <v>10</v>
      </c>
      <c r="F1375" t="s">
        <v>11</v>
      </c>
      <c r="H1375">
        <v>1</v>
      </c>
      <c r="I1375">
        <f t="shared" si="105"/>
        <v>1</v>
      </c>
      <c r="J1375" s="2">
        <f t="shared" si="106"/>
        <v>0.45500000000000002</v>
      </c>
      <c r="K1375">
        <f t="shared" si="107"/>
        <v>2.1978021978021975</v>
      </c>
      <c r="L1375" t="str">
        <f t="shared" si="108"/>
        <v>Funded</v>
      </c>
      <c r="M1375">
        <f t="shared" si="109"/>
        <v>0.78745786003118656</v>
      </c>
    </row>
    <row r="1376" spans="1:13" x14ac:dyDescent="0.25">
      <c r="A1376" t="s">
        <v>2954</v>
      </c>
      <c r="B1376" t="s">
        <v>125</v>
      </c>
      <c r="C1376" t="s">
        <v>645</v>
      </c>
      <c r="D1376" t="s">
        <v>79</v>
      </c>
      <c r="E1376" t="s">
        <v>350</v>
      </c>
      <c r="F1376" t="s">
        <v>21</v>
      </c>
      <c r="H1376">
        <v>1</v>
      </c>
      <c r="I1376">
        <f t="shared" si="105"/>
        <v>1</v>
      </c>
      <c r="J1376" s="2">
        <f t="shared" si="106"/>
        <v>0.2</v>
      </c>
      <c r="K1376">
        <f t="shared" si="107"/>
        <v>5</v>
      </c>
      <c r="L1376" t="str">
        <f t="shared" si="108"/>
        <v>Funded</v>
      </c>
      <c r="M1376">
        <f t="shared" si="109"/>
        <v>1.6094379124341003</v>
      </c>
    </row>
    <row r="1377" spans="1:13" x14ac:dyDescent="0.25">
      <c r="A1377" t="s">
        <v>2955</v>
      </c>
      <c r="B1377" t="s">
        <v>125</v>
      </c>
      <c r="C1377" t="s">
        <v>1875</v>
      </c>
      <c r="D1377" t="s">
        <v>2956</v>
      </c>
      <c r="E1377" t="s">
        <v>10</v>
      </c>
      <c r="F1377" t="s">
        <v>11</v>
      </c>
      <c r="H1377">
        <v>1</v>
      </c>
      <c r="I1377">
        <f t="shared" si="105"/>
        <v>1</v>
      </c>
      <c r="J1377" s="2">
        <f t="shared" si="106"/>
        <v>0.1</v>
      </c>
      <c r="K1377">
        <f t="shared" si="107"/>
        <v>10</v>
      </c>
      <c r="L1377" t="str">
        <f t="shared" si="108"/>
        <v>Funded</v>
      </c>
      <c r="M1377">
        <f t="shared" si="109"/>
        <v>2.3025850929940459</v>
      </c>
    </row>
    <row r="1378" spans="1:13" x14ac:dyDescent="0.25">
      <c r="A1378" t="s">
        <v>2957</v>
      </c>
      <c r="B1378" t="s">
        <v>125</v>
      </c>
      <c r="C1378" t="s">
        <v>2296</v>
      </c>
      <c r="D1378" t="s">
        <v>287</v>
      </c>
      <c r="E1378" t="s">
        <v>10</v>
      </c>
      <c r="F1378" t="s">
        <v>11</v>
      </c>
      <c r="H1378">
        <v>1</v>
      </c>
      <c r="I1378">
        <f t="shared" si="105"/>
        <v>1</v>
      </c>
      <c r="J1378" s="2">
        <f t="shared" si="106"/>
        <v>0.56499999999999995</v>
      </c>
      <c r="K1378">
        <f t="shared" si="107"/>
        <v>1.7699115044247788</v>
      </c>
      <c r="L1378" t="str">
        <f t="shared" si="108"/>
        <v>Funded</v>
      </c>
      <c r="M1378">
        <f t="shared" si="109"/>
        <v>0.57092954783569616</v>
      </c>
    </row>
    <row r="1379" spans="1:13" x14ac:dyDescent="0.25">
      <c r="A1379" t="s">
        <v>2958</v>
      </c>
      <c r="B1379" t="s">
        <v>125</v>
      </c>
      <c r="C1379" t="s">
        <v>2687</v>
      </c>
      <c r="D1379" t="s">
        <v>2959</v>
      </c>
      <c r="E1379" t="s">
        <v>20</v>
      </c>
      <c r="F1379" t="s">
        <v>21</v>
      </c>
      <c r="H1379">
        <v>1</v>
      </c>
      <c r="I1379">
        <f t="shared" si="105"/>
        <v>1</v>
      </c>
      <c r="J1379" s="2">
        <f t="shared" si="106"/>
        <v>0.215</v>
      </c>
      <c r="K1379">
        <f t="shared" si="107"/>
        <v>4.6511627906976747</v>
      </c>
      <c r="L1379" t="str">
        <f t="shared" si="108"/>
        <v>Funded</v>
      </c>
      <c r="M1379">
        <f t="shared" si="109"/>
        <v>1.5371172508544744</v>
      </c>
    </row>
    <row r="1380" spans="1:13" x14ac:dyDescent="0.25">
      <c r="A1380" t="s">
        <v>2960</v>
      </c>
      <c r="B1380" t="s">
        <v>125</v>
      </c>
      <c r="C1380" t="s">
        <v>2961</v>
      </c>
      <c r="D1380" t="s">
        <v>2962</v>
      </c>
      <c r="E1380" t="s">
        <v>10</v>
      </c>
      <c r="F1380" t="s">
        <v>11</v>
      </c>
      <c r="H1380">
        <v>1</v>
      </c>
      <c r="I1380">
        <f t="shared" si="105"/>
        <v>1</v>
      </c>
      <c r="J1380" s="2">
        <f t="shared" si="106"/>
        <v>0.29699999999999999</v>
      </c>
      <c r="K1380">
        <f t="shared" si="107"/>
        <v>3.3670033670033672</v>
      </c>
      <c r="L1380" t="str">
        <f t="shared" si="108"/>
        <v>Funded</v>
      </c>
      <c r="M1380">
        <f t="shared" si="109"/>
        <v>1.2140231401794375</v>
      </c>
    </row>
    <row r="1381" spans="1:13" x14ac:dyDescent="0.25">
      <c r="A1381" t="s">
        <v>2963</v>
      </c>
      <c r="B1381" t="s">
        <v>125</v>
      </c>
      <c r="C1381" t="s">
        <v>1975</v>
      </c>
      <c r="D1381" t="s">
        <v>2964</v>
      </c>
      <c r="E1381" t="s">
        <v>10</v>
      </c>
      <c r="F1381" t="s">
        <v>11</v>
      </c>
      <c r="H1381">
        <v>1</v>
      </c>
      <c r="I1381">
        <f t="shared" si="105"/>
        <v>1</v>
      </c>
      <c r="J1381" s="2">
        <f t="shared" si="106"/>
        <v>0.30599999999999999</v>
      </c>
      <c r="K1381">
        <f t="shared" si="107"/>
        <v>3.2679738562091503</v>
      </c>
      <c r="L1381" t="str">
        <f t="shared" si="108"/>
        <v>Funded</v>
      </c>
      <c r="M1381">
        <f t="shared" si="109"/>
        <v>1.1841701770297564</v>
      </c>
    </row>
    <row r="1382" spans="1:13" x14ac:dyDescent="0.25">
      <c r="A1382" t="s">
        <v>2965</v>
      </c>
      <c r="B1382" t="s">
        <v>125</v>
      </c>
      <c r="C1382" t="s">
        <v>1205</v>
      </c>
      <c r="D1382" t="s">
        <v>2947</v>
      </c>
      <c r="E1382" t="s">
        <v>20</v>
      </c>
      <c r="F1382" t="s">
        <v>21</v>
      </c>
      <c r="H1382">
        <v>1</v>
      </c>
      <c r="I1382">
        <f t="shared" si="105"/>
        <v>1</v>
      </c>
      <c r="J1382" s="2">
        <f t="shared" si="106"/>
        <v>0.3</v>
      </c>
      <c r="K1382">
        <f t="shared" si="107"/>
        <v>3.3333333333333335</v>
      </c>
      <c r="L1382" t="str">
        <f t="shared" si="108"/>
        <v>Funded</v>
      </c>
      <c r="M1382">
        <f t="shared" si="109"/>
        <v>1.2039728043259361</v>
      </c>
    </row>
    <row r="1383" spans="1:13" x14ac:dyDescent="0.25">
      <c r="A1383" t="s">
        <v>2966</v>
      </c>
      <c r="B1383" t="s">
        <v>125</v>
      </c>
      <c r="C1383" t="s">
        <v>2967</v>
      </c>
      <c r="E1383" t="s">
        <v>294</v>
      </c>
      <c r="F1383" t="s">
        <v>21</v>
      </c>
      <c r="H1383">
        <v>1</v>
      </c>
      <c r="I1383">
        <f t="shared" si="105"/>
        <v>1</v>
      </c>
      <c r="J1383" s="2">
        <f t="shared" si="106"/>
        <v>3.9E-2</v>
      </c>
      <c r="K1383">
        <f t="shared" si="107"/>
        <v>25.641025641025642</v>
      </c>
      <c r="L1383" t="str">
        <f t="shared" si="108"/>
        <v>Funded</v>
      </c>
      <c r="M1383">
        <f t="shared" si="109"/>
        <v>3.2441936328524905</v>
      </c>
    </row>
    <row r="1384" spans="1:13" x14ac:dyDescent="0.25">
      <c r="A1384" t="s">
        <v>2968</v>
      </c>
      <c r="B1384" t="s">
        <v>125</v>
      </c>
      <c r="C1384" t="s">
        <v>2969</v>
      </c>
      <c r="D1384" t="s">
        <v>2970</v>
      </c>
      <c r="E1384" t="s">
        <v>210</v>
      </c>
      <c r="F1384" t="s">
        <v>50</v>
      </c>
      <c r="H1384">
        <v>1</v>
      </c>
      <c r="I1384">
        <f t="shared" si="105"/>
        <v>1</v>
      </c>
      <c r="J1384" s="2">
        <f t="shared" si="106"/>
        <v>0.22700000000000001</v>
      </c>
      <c r="K1384">
        <f t="shared" si="107"/>
        <v>4.4052863436123344</v>
      </c>
      <c r="L1384" t="str">
        <f t="shared" si="108"/>
        <v>Funded</v>
      </c>
      <c r="M1384">
        <f t="shared" si="109"/>
        <v>1.4828052615007343</v>
      </c>
    </row>
    <row r="1385" spans="1:13" x14ac:dyDescent="0.25">
      <c r="A1385" t="s">
        <v>2971</v>
      </c>
      <c r="B1385" t="s">
        <v>125</v>
      </c>
      <c r="C1385" t="s">
        <v>2972</v>
      </c>
      <c r="D1385" t="s">
        <v>1074</v>
      </c>
      <c r="E1385" t="s">
        <v>360</v>
      </c>
      <c r="F1385" t="s">
        <v>50</v>
      </c>
      <c r="H1385">
        <v>1</v>
      </c>
      <c r="I1385">
        <f t="shared" si="105"/>
        <v>1</v>
      </c>
      <c r="J1385" s="2">
        <f t="shared" si="106"/>
        <v>2.4E-2</v>
      </c>
      <c r="K1385">
        <f t="shared" si="107"/>
        <v>41.666666666666664</v>
      </c>
      <c r="L1385" t="str">
        <f t="shared" si="108"/>
        <v>Funded</v>
      </c>
      <c r="M1385">
        <f t="shared" si="109"/>
        <v>3.7297014486341915</v>
      </c>
    </row>
    <row r="1386" spans="1:13" x14ac:dyDescent="0.25">
      <c r="A1386" t="s">
        <v>2973</v>
      </c>
      <c r="B1386" t="s">
        <v>125</v>
      </c>
      <c r="C1386" t="s">
        <v>1478</v>
      </c>
      <c r="D1386" t="s">
        <v>2974</v>
      </c>
      <c r="E1386" t="s">
        <v>525</v>
      </c>
      <c r="F1386" t="s">
        <v>526</v>
      </c>
      <c r="H1386">
        <v>1</v>
      </c>
      <c r="I1386">
        <f t="shared" si="105"/>
        <v>1</v>
      </c>
      <c r="J1386" s="2">
        <f t="shared" si="106"/>
        <v>0.316</v>
      </c>
      <c r="K1386">
        <f t="shared" si="107"/>
        <v>3.1645569620253164</v>
      </c>
      <c r="L1386" t="str">
        <f t="shared" si="108"/>
        <v>Funded</v>
      </c>
      <c r="M1386">
        <f t="shared" si="109"/>
        <v>1.152013065395225</v>
      </c>
    </row>
    <row r="1387" spans="1:13" x14ac:dyDescent="0.25">
      <c r="A1387" t="s">
        <v>2975</v>
      </c>
      <c r="B1387" t="s">
        <v>125</v>
      </c>
      <c r="C1387" t="s">
        <v>1440</v>
      </c>
      <c r="D1387" t="s">
        <v>2976</v>
      </c>
      <c r="E1387" t="s">
        <v>384</v>
      </c>
      <c r="F1387" t="s">
        <v>21</v>
      </c>
      <c r="H1387">
        <v>1</v>
      </c>
      <c r="I1387">
        <f t="shared" si="105"/>
        <v>1</v>
      </c>
      <c r="J1387" s="2">
        <f t="shared" si="106"/>
        <v>0.22</v>
      </c>
      <c r="K1387">
        <f t="shared" si="107"/>
        <v>4.5454545454545459</v>
      </c>
      <c r="L1387" t="str">
        <f t="shared" si="108"/>
        <v>Funded</v>
      </c>
      <c r="M1387">
        <f t="shared" si="109"/>
        <v>1.5141277326297755</v>
      </c>
    </row>
    <row r="1388" spans="1:13" x14ac:dyDescent="0.25">
      <c r="A1388" t="s">
        <v>2977</v>
      </c>
      <c r="B1388" t="s">
        <v>125</v>
      </c>
      <c r="C1388" t="s">
        <v>1615</v>
      </c>
      <c r="D1388" t="s">
        <v>2978</v>
      </c>
      <c r="E1388" t="s">
        <v>10</v>
      </c>
      <c r="F1388" t="s">
        <v>11</v>
      </c>
      <c r="H1388">
        <v>1</v>
      </c>
      <c r="I1388">
        <f t="shared" si="105"/>
        <v>1</v>
      </c>
      <c r="J1388" s="2">
        <f t="shared" si="106"/>
        <v>0.373</v>
      </c>
      <c r="K1388">
        <f t="shared" si="107"/>
        <v>2.6809651474530831</v>
      </c>
      <c r="L1388" t="str">
        <f t="shared" si="108"/>
        <v>Funded</v>
      </c>
      <c r="M1388">
        <f t="shared" si="109"/>
        <v>0.98617685933832155</v>
      </c>
    </row>
    <row r="1389" spans="1:13" x14ac:dyDescent="0.25">
      <c r="A1389" t="s">
        <v>2979</v>
      </c>
      <c r="B1389" t="s">
        <v>125</v>
      </c>
      <c r="C1389" t="s">
        <v>2335</v>
      </c>
      <c r="D1389" t="s">
        <v>2980</v>
      </c>
      <c r="E1389" t="s">
        <v>787</v>
      </c>
      <c r="F1389" t="s">
        <v>50</v>
      </c>
      <c r="H1389">
        <v>1</v>
      </c>
      <c r="I1389">
        <f t="shared" si="105"/>
        <v>1</v>
      </c>
      <c r="J1389" s="2">
        <f t="shared" si="106"/>
        <v>0.13</v>
      </c>
      <c r="K1389">
        <f t="shared" si="107"/>
        <v>7.6923076923076916</v>
      </c>
      <c r="L1389" t="str">
        <f t="shared" si="108"/>
        <v>Funded</v>
      </c>
      <c r="M1389">
        <f t="shared" si="109"/>
        <v>2.0402208285265546</v>
      </c>
    </row>
    <row r="1390" spans="1:13" x14ac:dyDescent="0.25">
      <c r="A1390" t="s">
        <v>2981</v>
      </c>
      <c r="B1390" t="s">
        <v>125</v>
      </c>
      <c r="C1390" t="s">
        <v>623</v>
      </c>
      <c r="D1390" t="s">
        <v>2982</v>
      </c>
      <c r="E1390" t="s">
        <v>10</v>
      </c>
      <c r="F1390" t="s">
        <v>11</v>
      </c>
      <c r="H1390">
        <v>1</v>
      </c>
      <c r="I1390">
        <f t="shared" si="105"/>
        <v>1</v>
      </c>
      <c r="J1390" s="2">
        <f t="shared" si="106"/>
        <v>0.5</v>
      </c>
      <c r="K1390">
        <f t="shared" si="107"/>
        <v>2</v>
      </c>
      <c r="L1390" t="str">
        <f t="shared" si="108"/>
        <v>Funded</v>
      </c>
      <c r="M1390">
        <f t="shared" si="109"/>
        <v>0.69314718055994529</v>
      </c>
    </row>
    <row r="1391" spans="1:13" x14ac:dyDescent="0.25">
      <c r="A1391" t="s">
        <v>2983</v>
      </c>
      <c r="B1391" t="s">
        <v>125</v>
      </c>
      <c r="C1391" t="s">
        <v>1157</v>
      </c>
      <c r="D1391" t="s">
        <v>2984</v>
      </c>
      <c r="E1391" t="s">
        <v>10</v>
      </c>
      <c r="F1391" t="s">
        <v>11</v>
      </c>
      <c r="H1391">
        <v>1</v>
      </c>
      <c r="I1391">
        <f t="shared" si="105"/>
        <v>1</v>
      </c>
      <c r="J1391" s="2">
        <f t="shared" si="106"/>
        <v>0.11899999999999999</v>
      </c>
      <c r="K1391">
        <f t="shared" si="107"/>
        <v>8.4033613445378155</v>
      </c>
      <c r="L1391" t="str">
        <f t="shared" si="108"/>
        <v>Funded</v>
      </c>
      <c r="M1391">
        <f t="shared" si="109"/>
        <v>2.1286317858706076</v>
      </c>
    </row>
    <row r="1392" spans="1:13" x14ac:dyDescent="0.25">
      <c r="A1392" t="s">
        <v>2985</v>
      </c>
      <c r="B1392" t="s">
        <v>125</v>
      </c>
      <c r="C1392" t="s">
        <v>393</v>
      </c>
      <c r="E1392" t="s">
        <v>10</v>
      </c>
      <c r="F1392" t="s">
        <v>11</v>
      </c>
      <c r="H1392">
        <v>1</v>
      </c>
      <c r="I1392">
        <f t="shared" si="105"/>
        <v>1</v>
      </c>
      <c r="J1392" s="2">
        <f t="shared" si="106"/>
        <v>0.6</v>
      </c>
      <c r="K1392">
        <f t="shared" si="107"/>
        <v>1.6666666666666667</v>
      </c>
      <c r="L1392" t="str">
        <f t="shared" si="108"/>
        <v>Funded</v>
      </c>
      <c r="M1392">
        <f t="shared" si="109"/>
        <v>0.51082562376599072</v>
      </c>
    </row>
    <row r="1393" spans="1:13" x14ac:dyDescent="0.25">
      <c r="A1393" t="s">
        <v>2986</v>
      </c>
      <c r="B1393" t="s">
        <v>125</v>
      </c>
      <c r="C1393" t="s">
        <v>1291</v>
      </c>
      <c r="D1393" t="s">
        <v>2021</v>
      </c>
      <c r="E1393" t="s">
        <v>10</v>
      </c>
      <c r="F1393" t="s">
        <v>11</v>
      </c>
      <c r="H1393">
        <v>1</v>
      </c>
      <c r="I1393">
        <f t="shared" si="105"/>
        <v>1</v>
      </c>
      <c r="J1393" s="2">
        <f t="shared" si="106"/>
        <v>0.25800000000000001</v>
      </c>
      <c r="K1393">
        <f t="shared" si="107"/>
        <v>3.8759689922480618</v>
      </c>
      <c r="L1393" t="str">
        <f t="shared" si="108"/>
        <v>Funded</v>
      </c>
      <c r="M1393">
        <f t="shared" si="109"/>
        <v>1.3547956940605195</v>
      </c>
    </row>
    <row r="1394" spans="1:13" x14ac:dyDescent="0.25">
      <c r="A1394" t="s">
        <v>2987</v>
      </c>
      <c r="B1394" t="s">
        <v>125</v>
      </c>
      <c r="C1394" t="s">
        <v>1817</v>
      </c>
      <c r="D1394" t="s">
        <v>2988</v>
      </c>
      <c r="E1394" t="s">
        <v>187</v>
      </c>
      <c r="F1394" t="s">
        <v>50</v>
      </c>
      <c r="H1394">
        <v>1</v>
      </c>
      <c r="I1394">
        <f t="shared" si="105"/>
        <v>1</v>
      </c>
      <c r="J1394" s="2">
        <f t="shared" si="106"/>
        <v>0.73299999999999998</v>
      </c>
      <c r="K1394">
        <f t="shared" si="107"/>
        <v>1.3642564802182811</v>
      </c>
      <c r="L1394" t="str">
        <f t="shared" si="108"/>
        <v>Funded</v>
      </c>
      <c r="M1394">
        <f t="shared" si="109"/>
        <v>0.31060957709548559</v>
      </c>
    </row>
    <row r="1395" spans="1:13" x14ac:dyDescent="0.25">
      <c r="A1395" t="s">
        <v>2989</v>
      </c>
      <c r="B1395" t="s">
        <v>125</v>
      </c>
      <c r="C1395" t="s">
        <v>1609</v>
      </c>
      <c r="D1395" t="s">
        <v>2990</v>
      </c>
      <c r="E1395" t="s">
        <v>10</v>
      </c>
      <c r="F1395" t="s">
        <v>11</v>
      </c>
      <c r="H1395">
        <v>1</v>
      </c>
      <c r="I1395">
        <f t="shared" si="105"/>
        <v>1</v>
      </c>
      <c r="J1395" s="2">
        <f t="shared" si="106"/>
        <v>0.216</v>
      </c>
      <c r="K1395">
        <f t="shared" si="107"/>
        <v>4.6296296296296298</v>
      </c>
      <c r="L1395" t="str">
        <f t="shared" si="108"/>
        <v>Funded</v>
      </c>
      <c r="M1395">
        <f t="shared" si="109"/>
        <v>1.5324768712979722</v>
      </c>
    </row>
    <row r="1396" spans="1:13" x14ac:dyDescent="0.25">
      <c r="A1396" t="s">
        <v>2991</v>
      </c>
      <c r="B1396" t="s">
        <v>125</v>
      </c>
      <c r="C1396" t="s">
        <v>1498</v>
      </c>
      <c r="D1396" t="s">
        <v>2992</v>
      </c>
      <c r="E1396" t="s">
        <v>10</v>
      </c>
      <c r="F1396" t="s">
        <v>11</v>
      </c>
      <c r="H1396">
        <v>1</v>
      </c>
      <c r="I1396">
        <f t="shared" si="105"/>
        <v>1</v>
      </c>
      <c r="J1396" s="2">
        <f t="shared" si="106"/>
        <v>0.26600000000000001</v>
      </c>
      <c r="K1396">
        <f t="shared" si="107"/>
        <v>3.7593984962406015</v>
      </c>
      <c r="L1396" t="str">
        <f t="shared" si="108"/>
        <v>Funded</v>
      </c>
      <c r="M1396">
        <f t="shared" si="109"/>
        <v>1.3242589702004379</v>
      </c>
    </row>
    <row r="1397" spans="1:13" x14ac:dyDescent="0.25">
      <c r="A1397" t="s">
        <v>2993</v>
      </c>
      <c r="B1397" t="s">
        <v>125</v>
      </c>
      <c r="C1397" t="s">
        <v>2920</v>
      </c>
      <c r="D1397" t="s">
        <v>2994</v>
      </c>
      <c r="E1397" t="s">
        <v>10</v>
      </c>
      <c r="F1397" t="s">
        <v>11</v>
      </c>
      <c r="H1397">
        <v>1</v>
      </c>
      <c r="I1397">
        <f t="shared" si="105"/>
        <v>1</v>
      </c>
      <c r="J1397" s="2">
        <f t="shared" si="106"/>
        <v>2.9000000000000001E-2</v>
      </c>
      <c r="K1397">
        <f t="shared" si="107"/>
        <v>34.482758620689651</v>
      </c>
      <c r="L1397" t="str">
        <f t="shared" si="108"/>
        <v>Funded</v>
      </c>
      <c r="M1397">
        <f t="shared" si="109"/>
        <v>3.5404594489956631</v>
      </c>
    </row>
    <row r="1398" spans="1:13" x14ac:dyDescent="0.25">
      <c r="A1398" t="s">
        <v>2995</v>
      </c>
      <c r="B1398" t="s">
        <v>125</v>
      </c>
      <c r="C1398" t="s">
        <v>2654</v>
      </c>
      <c r="D1398" t="s">
        <v>2996</v>
      </c>
      <c r="E1398" t="s">
        <v>20</v>
      </c>
      <c r="F1398" t="s">
        <v>21</v>
      </c>
      <c r="H1398">
        <v>1</v>
      </c>
      <c r="I1398">
        <f t="shared" si="105"/>
        <v>1</v>
      </c>
      <c r="J1398" s="2">
        <f t="shared" si="106"/>
        <v>0.376</v>
      </c>
      <c r="K1398">
        <f t="shared" si="107"/>
        <v>2.6595744680851063</v>
      </c>
      <c r="L1398" t="str">
        <f t="shared" si="108"/>
        <v>Funded</v>
      </c>
      <c r="M1398">
        <f t="shared" si="109"/>
        <v>0.97816613559224252</v>
      </c>
    </row>
    <row r="1399" spans="1:13" x14ac:dyDescent="0.25">
      <c r="A1399" t="s">
        <v>2997</v>
      </c>
      <c r="B1399" t="s">
        <v>125</v>
      </c>
      <c r="C1399" t="s">
        <v>1545</v>
      </c>
      <c r="D1399" t="s">
        <v>752</v>
      </c>
      <c r="E1399" t="s">
        <v>20</v>
      </c>
      <c r="F1399" t="s">
        <v>21</v>
      </c>
      <c r="H1399">
        <v>1</v>
      </c>
      <c r="I1399">
        <f t="shared" si="105"/>
        <v>1</v>
      </c>
      <c r="J1399" s="2">
        <f t="shared" si="106"/>
        <v>0.121</v>
      </c>
      <c r="K1399">
        <f t="shared" si="107"/>
        <v>8.2644628099173563</v>
      </c>
      <c r="L1399" t="str">
        <f t="shared" si="108"/>
        <v>Funded</v>
      </c>
      <c r="M1399">
        <f t="shared" si="109"/>
        <v>2.1119647333853959</v>
      </c>
    </row>
    <row r="1400" spans="1:13" x14ac:dyDescent="0.25">
      <c r="A1400" t="s">
        <v>2998</v>
      </c>
      <c r="B1400" t="s">
        <v>125</v>
      </c>
      <c r="C1400" t="s">
        <v>2999</v>
      </c>
      <c r="D1400" t="s">
        <v>3000</v>
      </c>
      <c r="E1400" t="s">
        <v>10</v>
      </c>
      <c r="F1400" t="s">
        <v>11</v>
      </c>
      <c r="H1400">
        <v>1</v>
      </c>
      <c r="I1400">
        <f t="shared" si="105"/>
        <v>1</v>
      </c>
      <c r="J1400" s="2">
        <f t="shared" si="106"/>
        <v>0.38300000000000001</v>
      </c>
      <c r="K1400">
        <f t="shared" si="107"/>
        <v>2.6109660574412534</v>
      </c>
      <c r="L1400" t="str">
        <f t="shared" si="108"/>
        <v>Funded</v>
      </c>
      <c r="M1400">
        <f t="shared" si="109"/>
        <v>0.95972028980149116</v>
      </c>
    </row>
    <row r="1401" spans="1:13" x14ac:dyDescent="0.25">
      <c r="A1401" t="s">
        <v>3001</v>
      </c>
      <c r="B1401" t="s">
        <v>125</v>
      </c>
      <c r="C1401" t="s">
        <v>2256</v>
      </c>
      <c r="D1401" t="s">
        <v>2901</v>
      </c>
      <c r="E1401" t="s">
        <v>10</v>
      </c>
      <c r="F1401" t="s">
        <v>11</v>
      </c>
      <c r="H1401">
        <v>1</v>
      </c>
      <c r="I1401">
        <f t="shared" si="105"/>
        <v>1</v>
      </c>
      <c r="J1401" s="2">
        <f t="shared" si="106"/>
        <v>0.24199999999999999</v>
      </c>
      <c r="K1401">
        <f t="shared" si="107"/>
        <v>4.1322314049586781</v>
      </c>
      <c r="L1401" t="str">
        <f t="shared" si="108"/>
        <v>Funded</v>
      </c>
      <c r="M1401">
        <f t="shared" si="109"/>
        <v>1.4188175528254507</v>
      </c>
    </row>
    <row r="1402" spans="1:13" x14ac:dyDescent="0.25">
      <c r="A1402" t="s">
        <v>3002</v>
      </c>
      <c r="B1402" t="s">
        <v>125</v>
      </c>
      <c r="C1402" t="s">
        <v>2832</v>
      </c>
      <c r="D1402" t="s">
        <v>1555</v>
      </c>
      <c r="E1402" t="s">
        <v>10</v>
      </c>
      <c r="F1402" t="s">
        <v>11</v>
      </c>
      <c r="H1402">
        <v>1</v>
      </c>
      <c r="I1402">
        <f t="shared" si="105"/>
        <v>1</v>
      </c>
      <c r="J1402" s="2">
        <f t="shared" si="106"/>
        <v>0.26300000000000001</v>
      </c>
      <c r="K1402">
        <f t="shared" si="107"/>
        <v>3.8022813688212924</v>
      </c>
      <c r="L1402" t="str">
        <f t="shared" si="108"/>
        <v>Funded</v>
      </c>
      <c r="M1402">
        <f t="shared" si="109"/>
        <v>1.3356012468043723</v>
      </c>
    </row>
    <row r="1403" spans="1:13" x14ac:dyDescent="0.25">
      <c r="A1403" t="s">
        <v>3003</v>
      </c>
      <c r="B1403" t="s">
        <v>125</v>
      </c>
      <c r="C1403" t="s">
        <v>3004</v>
      </c>
      <c r="D1403" t="s">
        <v>3005</v>
      </c>
      <c r="E1403" t="s">
        <v>10</v>
      </c>
      <c r="F1403" t="s">
        <v>11</v>
      </c>
      <c r="H1403">
        <v>1</v>
      </c>
      <c r="I1403">
        <f t="shared" si="105"/>
        <v>1</v>
      </c>
      <c r="J1403" s="2">
        <f t="shared" si="106"/>
        <v>0.38700000000000001</v>
      </c>
      <c r="K1403">
        <f t="shared" si="107"/>
        <v>2.5839793281653747</v>
      </c>
      <c r="L1403" t="str">
        <f t="shared" si="108"/>
        <v>Funded</v>
      </c>
      <c r="M1403">
        <f t="shared" si="109"/>
        <v>0.9493305859523552</v>
      </c>
    </row>
    <row r="1404" spans="1:13" x14ac:dyDescent="0.25">
      <c r="A1404" t="s">
        <v>3006</v>
      </c>
      <c r="B1404" t="s">
        <v>125</v>
      </c>
      <c r="C1404" t="s">
        <v>3007</v>
      </c>
      <c r="D1404" t="s">
        <v>559</v>
      </c>
      <c r="E1404" t="s">
        <v>20</v>
      </c>
      <c r="F1404" t="s">
        <v>21</v>
      </c>
      <c r="H1404">
        <v>1</v>
      </c>
      <c r="I1404">
        <f t="shared" si="105"/>
        <v>1</v>
      </c>
      <c r="J1404" s="2">
        <f t="shared" si="106"/>
        <v>0.09</v>
      </c>
      <c r="K1404">
        <f t="shared" si="107"/>
        <v>11.111111111111111</v>
      </c>
      <c r="L1404" t="str">
        <f t="shared" si="108"/>
        <v>Funded</v>
      </c>
      <c r="M1404">
        <f t="shared" si="109"/>
        <v>2.4079456086518718</v>
      </c>
    </row>
    <row r="1405" spans="1:13" x14ac:dyDescent="0.25">
      <c r="A1405" t="s">
        <v>3008</v>
      </c>
      <c r="B1405" t="s">
        <v>125</v>
      </c>
      <c r="C1405" t="s">
        <v>1875</v>
      </c>
      <c r="D1405" t="s">
        <v>3009</v>
      </c>
      <c r="E1405" t="s">
        <v>10</v>
      </c>
      <c r="F1405" t="s">
        <v>11</v>
      </c>
      <c r="H1405">
        <v>1</v>
      </c>
      <c r="I1405">
        <f t="shared" si="105"/>
        <v>1</v>
      </c>
      <c r="J1405" s="2">
        <f t="shared" si="106"/>
        <v>0.1</v>
      </c>
      <c r="K1405">
        <f t="shared" si="107"/>
        <v>10</v>
      </c>
      <c r="L1405" t="str">
        <f t="shared" si="108"/>
        <v>Funded</v>
      </c>
      <c r="M1405">
        <f t="shared" si="109"/>
        <v>2.3025850929940459</v>
      </c>
    </row>
    <row r="1406" spans="1:13" x14ac:dyDescent="0.25">
      <c r="A1406" t="s">
        <v>3010</v>
      </c>
      <c r="B1406" t="s">
        <v>125</v>
      </c>
      <c r="C1406" t="s">
        <v>1286</v>
      </c>
      <c r="D1406" t="s">
        <v>1958</v>
      </c>
      <c r="E1406" t="s">
        <v>10</v>
      </c>
      <c r="F1406" t="s">
        <v>11</v>
      </c>
      <c r="H1406">
        <v>1</v>
      </c>
      <c r="I1406">
        <f t="shared" si="105"/>
        <v>1</v>
      </c>
      <c r="J1406" s="2">
        <f t="shared" si="106"/>
        <v>0.06</v>
      </c>
      <c r="K1406">
        <f t="shared" si="107"/>
        <v>16.666666666666668</v>
      </c>
      <c r="L1406" t="str">
        <f t="shared" si="108"/>
        <v>Funded</v>
      </c>
      <c r="M1406">
        <f t="shared" si="109"/>
        <v>2.8134107167600364</v>
      </c>
    </row>
    <row r="1407" spans="1:13" x14ac:dyDescent="0.25">
      <c r="A1407" t="s">
        <v>3011</v>
      </c>
      <c r="B1407" t="s">
        <v>125</v>
      </c>
      <c r="C1407" t="s">
        <v>2705</v>
      </c>
      <c r="D1407" t="s">
        <v>2605</v>
      </c>
      <c r="E1407" t="s">
        <v>10</v>
      </c>
      <c r="F1407" t="s">
        <v>11</v>
      </c>
      <c r="H1407">
        <v>1</v>
      </c>
      <c r="I1407">
        <f t="shared" si="105"/>
        <v>1</v>
      </c>
      <c r="J1407" s="2">
        <f t="shared" si="106"/>
        <v>9.8000000000000004E-2</v>
      </c>
      <c r="K1407">
        <f t="shared" si="107"/>
        <v>10.204081632653061</v>
      </c>
      <c r="L1407" t="str">
        <f t="shared" si="108"/>
        <v>Funded</v>
      </c>
      <c r="M1407">
        <f t="shared" si="109"/>
        <v>2.322787800311565</v>
      </c>
    </row>
    <row r="1408" spans="1:13" x14ac:dyDescent="0.25">
      <c r="A1408" t="s">
        <v>3012</v>
      </c>
      <c r="B1408" t="s">
        <v>125</v>
      </c>
      <c r="C1408" t="s">
        <v>125</v>
      </c>
      <c r="D1408" t="s">
        <v>3013</v>
      </c>
      <c r="E1408" t="s">
        <v>10</v>
      </c>
      <c r="F1408" t="s">
        <v>11</v>
      </c>
      <c r="H1408">
        <v>1</v>
      </c>
      <c r="I1408">
        <f t="shared" si="105"/>
        <v>1</v>
      </c>
      <c r="J1408" s="2">
        <f t="shared" si="106"/>
        <v>1</v>
      </c>
      <c r="K1408">
        <f t="shared" si="107"/>
        <v>1</v>
      </c>
      <c r="L1408" t="str">
        <f t="shared" si="108"/>
        <v>Funded</v>
      </c>
      <c r="M1408">
        <f t="shared" si="109"/>
        <v>0</v>
      </c>
    </row>
    <row r="1409" spans="1:13" x14ac:dyDescent="0.25">
      <c r="A1409" t="s">
        <v>3014</v>
      </c>
      <c r="B1409" t="s">
        <v>125</v>
      </c>
      <c r="C1409" t="s">
        <v>1615</v>
      </c>
      <c r="D1409" t="s">
        <v>3015</v>
      </c>
      <c r="E1409" t="s">
        <v>20</v>
      </c>
      <c r="F1409" t="s">
        <v>21</v>
      </c>
      <c r="H1409">
        <v>1</v>
      </c>
      <c r="I1409">
        <f t="shared" si="105"/>
        <v>1</v>
      </c>
      <c r="J1409" s="2">
        <f t="shared" si="106"/>
        <v>0.373</v>
      </c>
      <c r="K1409">
        <f t="shared" si="107"/>
        <v>2.6809651474530831</v>
      </c>
      <c r="L1409" t="str">
        <f t="shared" si="108"/>
        <v>Funded</v>
      </c>
      <c r="M1409">
        <f t="shared" si="109"/>
        <v>0.98617685933832155</v>
      </c>
    </row>
    <row r="1410" spans="1:13" x14ac:dyDescent="0.25">
      <c r="A1410" t="s">
        <v>3016</v>
      </c>
      <c r="B1410" t="s">
        <v>125</v>
      </c>
      <c r="C1410" t="s">
        <v>125</v>
      </c>
      <c r="D1410" t="s">
        <v>3017</v>
      </c>
      <c r="E1410" t="s">
        <v>10</v>
      </c>
      <c r="F1410" t="s">
        <v>11</v>
      </c>
      <c r="H1410">
        <v>1</v>
      </c>
      <c r="I1410">
        <f t="shared" si="105"/>
        <v>1</v>
      </c>
      <c r="J1410" s="2">
        <f t="shared" si="106"/>
        <v>1</v>
      </c>
      <c r="K1410">
        <f t="shared" si="107"/>
        <v>1</v>
      </c>
      <c r="L1410" t="str">
        <f t="shared" si="108"/>
        <v>Funded</v>
      </c>
      <c r="M1410">
        <f t="shared" si="109"/>
        <v>0</v>
      </c>
    </row>
    <row r="1411" spans="1:13" x14ac:dyDescent="0.25">
      <c r="A1411" t="s">
        <v>3018</v>
      </c>
      <c r="B1411" t="s">
        <v>125</v>
      </c>
      <c r="C1411" t="s">
        <v>3019</v>
      </c>
      <c r="D1411" t="s">
        <v>3020</v>
      </c>
      <c r="E1411" t="s">
        <v>10</v>
      </c>
      <c r="F1411" t="s">
        <v>11</v>
      </c>
      <c r="H1411">
        <v>1</v>
      </c>
      <c r="I1411">
        <f t="shared" ref="I1411:I1474" si="110">IF(B1411="","",
VALUE(SUBSTITUTE(SUBSTITUTE(B1411,"$",""),"B","")))</f>
        <v>1</v>
      </c>
      <c r="J1411" s="2">
        <f t="shared" ref="J1411:J1474" si="111">IF(C1411="","",
IF(C1411="$0",0,
IF(RIGHT(C1411,1)="B",
VALUE(SUBSTITUTE(SUBSTITUTE(C1411,"$",""),"B","")),
IF(RIGHT(C1411,1)="M",
VALUE(SUBSTITUTE(SUBSTITUTE(C1411,"$",""),"M",""))/1000,
IF(RIGHT(C1411,1)="K",
VALUE(SUBSTITUTE(SUBSTITUTE(C1411,"$",""),"K",""))/1000000,
VALUE(SUBSTITUTE(C1411,"$",""))
)))))</f>
        <v>4.2999999999999997E-2</v>
      </c>
      <c r="K1411">
        <f t="shared" ref="K1411:K1474" si="112">IF(J1411&gt;0,I1411/J1411,"")</f>
        <v>23.255813953488374</v>
      </c>
      <c r="L1411" t="str">
        <f t="shared" ref="L1411:L1474" si="113">IF(J1411=0,"Bootstrapped","Funded")</f>
        <v>Funded</v>
      </c>
      <c r="M1411">
        <f t="shared" ref="M1411:M1474" si="114">IF(AND(I1411&gt;0,J1411&gt;0),LN(I1411/J1411),"")</f>
        <v>3.1465551632885749</v>
      </c>
    </row>
    <row r="1412" spans="1:13" x14ac:dyDescent="0.25">
      <c r="A1412" t="s">
        <v>3021</v>
      </c>
      <c r="B1412" t="s">
        <v>125</v>
      </c>
      <c r="C1412" t="s">
        <v>125</v>
      </c>
      <c r="D1412" t="s">
        <v>3022</v>
      </c>
      <c r="E1412" t="s">
        <v>10</v>
      </c>
      <c r="F1412" t="s">
        <v>11</v>
      </c>
      <c r="H1412">
        <v>1</v>
      </c>
      <c r="I1412">
        <f t="shared" si="110"/>
        <v>1</v>
      </c>
      <c r="J1412" s="2">
        <f t="shared" si="111"/>
        <v>1</v>
      </c>
      <c r="K1412">
        <f t="shared" si="112"/>
        <v>1</v>
      </c>
      <c r="L1412" t="str">
        <f t="shared" si="113"/>
        <v>Funded</v>
      </c>
      <c r="M1412">
        <f t="shared" si="114"/>
        <v>0</v>
      </c>
    </row>
    <row r="1413" spans="1:13" x14ac:dyDescent="0.25">
      <c r="A1413" t="s">
        <v>3023</v>
      </c>
      <c r="B1413" t="s">
        <v>125</v>
      </c>
      <c r="C1413" t="s">
        <v>1609</v>
      </c>
      <c r="D1413" t="s">
        <v>3024</v>
      </c>
      <c r="E1413" t="s">
        <v>10</v>
      </c>
      <c r="F1413" t="s">
        <v>11</v>
      </c>
      <c r="H1413">
        <v>1</v>
      </c>
      <c r="I1413">
        <f t="shared" si="110"/>
        <v>1</v>
      </c>
      <c r="J1413" s="2">
        <f t="shared" si="111"/>
        <v>0.216</v>
      </c>
      <c r="K1413">
        <f t="shared" si="112"/>
        <v>4.6296296296296298</v>
      </c>
      <c r="L1413" t="str">
        <f t="shared" si="113"/>
        <v>Funded</v>
      </c>
      <c r="M1413">
        <f t="shared" si="114"/>
        <v>1.5324768712979722</v>
      </c>
    </row>
    <row r="1414" spans="1:13" x14ac:dyDescent="0.25">
      <c r="A1414" t="s">
        <v>3025</v>
      </c>
      <c r="B1414" t="s">
        <v>125</v>
      </c>
      <c r="C1414" t="s">
        <v>1311</v>
      </c>
      <c r="D1414" t="s">
        <v>3026</v>
      </c>
      <c r="E1414" t="s">
        <v>1488</v>
      </c>
      <c r="F1414" t="s">
        <v>21</v>
      </c>
      <c r="H1414">
        <v>1</v>
      </c>
      <c r="I1414">
        <f t="shared" si="110"/>
        <v>1</v>
      </c>
      <c r="J1414" s="2">
        <f t="shared" si="111"/>
        <v>0.375</v>
      </c>
      <c r="K1414">
        <f t="shared" si="112"/>
        <v>2.6666666666666665</v>
      </c>
      <c r="L1414" t="str">
        <f t="shared" si="113"/>
        <v>Funded</v>
      </c>
      <c r="M1414">
        <f t="shared" si="114"/>
        <v>0.98082925301172619</v>
      </c>
    </row>
    <row r="1415" spans="1:13" x14ac:dyDescent="0.25">
      <c r="A1415" t="s">
        <v>3027</v>
      </c>
      <c r="B1415" t="s">
        <v>125</v>
      </c>
      <c r="C1415" t="s">
        <v>2218</v>
      </c>
      <c r="D1415" t="s">
        <v>341</v>
      </c>
      <c r="E1415" t="s">
        <v>222</v>
      </c>
      <c r="F1415" t="s">
        <v>50</v>
      </c>
      <c r="H1415">
        <v>1</v>
      </c>
      <c r="I1415">
        <f t="shared" si="110"/>
        <v>1</v>
      </c>
      <c r="J1415" s="2">
        <f t="shared" si="111"/>
        <v>0.53200000000000003</v>
      </c>
      <c r="K1415">
        <f t="shared" si="112"/>
        <v>1.8796992481203008</v>
      </c>
      <c r="L1415" t="str">
        <f t="shared" si="113"/>
        <v>Funded</v>
      </c>
      <c r="M1415">
        <f t="shared" si="114"/>
        <v>0.63111178964049264</v>
      </c>
    </row>
    <row r="1416" spans="1:13" x14ac:dyDescent="0.25">
      <c r="A1416" t="s">
        <v>3028</v>
      </c>
      <c r="B1416" t="s">
        <v>125</v>
      </c>
      <c r="C1416" t="s">
        <v>2012</v>
      </c>
      <c r="D1416" t="s">
        <v>3029</v>
      </c>
      <c r="E1416" t="s">
        <v>49</v>
      </c>
      <c r="F1416" t="s">
        <v>50</v>
      </c>
      <c r="H1416">
        <v>1</v>
      </c>
      <c r="I1416">
        <f t="shared" si="110"/>
        <v>1</v>
      </c>
      <c r="J1416" s="2">
        <f t="shared" si="111"/>
        <v>0.18099999999999999</v>
      </c>
      <c r="K1416">
        <f t="shared" si="112"/>
        <v>5.5248618784530388</v>
      </c>
      <c r="L1416" t="str">
        <f t="shared" si="113"/>
        <v>Funded</v>
      </c>
      <c r="M1416">
        <f t="shared" si="114"/>
        <v>1.7092582477163114</v>
      </c>
    </row>
    <row r="1417" spans="1:13" x14ac:dyDescent="0.25">
      <c r="A1417" t="s">
        <v>3030</v>
      </c>
      <c r="B1417" t="s">
        <v>125</v>
      </c>
      <c r="C1417" t="s">
        <v>3031</v>
      </c>
      <c r="D1417" t="s">
        <v>2104</v>
      </c>
      <c r="E1417" t="s">
        <v>365</v>
      </c>
      <c r="F1417" t="s">
        <v>11</v>
      </c>
      <c r="H1417">
        <v>1</v>
      </c>
      <c r="I1417">
        <f t="shared" si="110"/>
        <v>1</v>
      </c>
      <c r="J1417" s="2">
        <f t="shared" si="111"/>
        <v>0.23100000000000001</v>
      </c>
      <c r="K1417">
        <f t="shared" si="112"/>
        <v>4.329004329004329</v>
      </c>
      <c r="L1417" t="str">
        <f t="shared" si="113"/>
        <v>Funded</v>
      </c>
      <c r="M1417">
        <f t="shared" si="114"/>
        <v>1.4653375684603436</v>
      </c>
    </row>
    <row r="1418" spans="1:13" x14ac:dyDescent="0.25">
      <c r="A1418" t="s">
        <v>3032</v>
      </c>
      <c r="B1418" t="s">
        <v>125</v>
      </c>
      <c r="C1418" t="s">
        <v>558</v>
      </c>
      <c r="D1418" t="s">
        <v>254</v>
      </c>
      <c r="E1418" t="s">
        <v>10</v>
      </c>
      <c r="F1418" t="s">
        <v>11</v>
      </c>
      <c r="H1418">
        <v>1</v>
      </c>
      <c r="I1418">
        <f t="shared" si="110"/>
        <v>1</v>
      </c>
      <c r="J1418" s="2">
        <f t="shared" si="111"/>
        <v>0.503</v>
      </c>
      <c r="K1418">
        <f t="shared" si="112"/>
        <v>1.9880715705765408</v>
      </c>
      <c r="L1418" t="str">
        <f t="shared" si="113"/>
        <v>Funded</v>
      </c>
      <c r="M1418">
        <f t="shared" si="114"/>
        <v>0.6871651088823979</v>
      </c>
    </row>
    <row r="1419" spans="1:13" x14ac:dyDescent="0.25">
      <c r="A1419" t="s">
        <v>3033</v>
      </c>
      <c r="B1419" t="s">
        <v>125</v>
      </c>
      <c r="C1419" t="s">
        <v>1991</v>
      </c>
      <c r="D1419" t="s">
        <v>3034</v>
      </c>
      <c r="E1419" t="s">
        <v>384</v>
      </c>
      <c r="F1419" t="s">
        <v>21</v>
      </c>
      <c r="H1419">
        <v>1</v>
      </c>
      <c r="I1419">
        <f t="shared" si="110"/>
        <v>1</v>
      </c>
      <c r="J1419" s="2">
        <f t="shared" si="111"/>
        <v>0.62</v>
      </c>
      <c r="K1419">
        <f t="shared" si="112"/>
        <v>1.6129032258064517</v>
      </c>
      <c r="L1419" t="str">
        <f t="shared" si="113"/>
        <v>Funded</v>
      </c>
      <c r="M1419">
        <f t="shared" si="114"/>
        <v>0.47803580094299991</v>
      </c>
    </row>
    <row r="1420" spans="1:13" x14ac:dyDescent="0.25">
      <c r="A1420" t="s">
        <v>3035</v>
      </c>
      <c r="B1420" t="s">
        <v>125</v>
      </c>
      <c r="C1420" t="s">
        <v>2537</v>
      </c>
      <c r="D1420" t="s">
        <v>3036</v>
      </c>
      <c r="E1420" t="s">
        <v>3037</v>
      </c>
      <c r="F1420" t="s">
        <v>109</v>
      </c>
      <c r="H1420">
        <v>1</v>
      </c>
      <c r="I1420">
        <f t="shared" si="110"/>
        <v>1</v>
      </c>
      <c r="J1420" s="2">
        <f t="shared" si="111"/>
        <v>0.47799999999999998</v>
      </c>
      <c r="K1420">
        <f t="shared" si="112"/>
        <v>2.0920502092050208</v>
      </c>
      <c r="L1420" t="str">
        <f t="shared" si="113"/>
        <v>Funded</v>
      </c>
      <c r="M1420">
        <f t="shared" si="114"/>
        <v>0.73814454649068106</v>
      </c>
    </row>
    <row r="1421" spans="1:13" x14ac:dyDescent="0.25">
      <c r="A1421" t="s">
        <v>3038</v>
      </c>
      <c r="B1421" t="s">
        <v>125</v>
      </c>
      <c r="C1421" t="s">
        <v>1537</v>
      </c>
      <c r="D1421" t="s">
        <v>3039</v>
      </c>
      <c r="E1421" t="s">
        <v>10</v>
      </c>
      <c r="F1421" t="s">
        <v>11</v>
      </c>
      <c r="H1421">
        <v>1</v>
      </c>
      <c r="I1421">
        <f t="shared" si="110"/>
        <v>1</v>
      </c>
      <c r="J1421" s="2">
        <f t="shared" si="111"/>
        <v>0.19400000000000001</v>
      </c>
      <c r="K1421">
        <f t="shared" si="112"/>
        <v>5.1546391752577314</v>
      </c>
      <c r="L1421" t="str">
        <f t="shared" si="113"/>
        <v>Funded</v>
      </c>
      <c r="M1421">
        <f t="shared" si="114"/>
        <v>1.6398971199188088</v>
      </c>
    </row>
    <row r="1422" spans="1:13" x14ac:dyDescent="0.25">
      <c r="A1422" t="s">
        <v>3040</v>
      </c>
      <c r="B1422" t="s">
        <v>125</v>
      </c>
      <c r="C1422" t="s">
        <v>2220</v>
      </c>
      <c r="D1422" t="s">
        <v>832</v>
      </c>
      <c r="E1422" t="s">
        <v>20</v>
      </c>
      <c r="F1422" t="s">
        <v>21</v>
      </c>
      <c r="H1422">
        <v>1</v>
      </c>
      <c r="I1422">
        <f t="shared" si="110"/>
        <v>1</v>
      </c>
      <c r="J1422" s="2">
        <f t="shared" si="111"/>
        <v>0.27100000000000002</v>
      </c>
      <c r="K1422">
        <f t="shared" si="112"/>
        <v>3.6900369003690034</v>
      </c>
      <c r="L1422" t="str">
        <f t="shared" si="113"/>
        <v>Funded</v>
      </c>
      <c r="M1422">
        <f t="shared" si="114"/>
        <v>1.305636458102436</v>
      </c>
    </row>
    <row r="1423" spans="1:13" x14ac:dyDescent="0.25">
      <c r="A1423" t="s">
        <v>3041</v>
      </c>
      <c r="B1423" t="s">
        <v>125</v>
      </c>
      <c r="C1423" t="s">
        <v>936</v>
      </c>
      <c r="D1423" t="s">
        <v>15</v>
      </c>
      <c r="H1423">
        <v>1</v>
      </c>
      <c r="I1423">
        <f t="shared" si="110"/>
        <v>1</v>
      </c>
      <c r="J1423" s="2">
        <f t="shared" si="111"/>
        <v>0.15</v>
      </c>
      <c r="K1423">
        <f t="shared" si="112"/>
        <v>6.666666666666667</v>
      </c>
      <c r="L1423" t="str">
        <f t="shared" si="113"/>
        <v>Funded</v>
      </c>
      <c r="M1423">
        <f t="shared" si="114"/>
        <v>1.8971199848858813</v>
      </c>
    </row>
    <row r="1424" spans="1:13" x14ac:dyDescent="0.25">
      <c r="A1424" t="s">
        <v>3042</v>
      </c>
      <c r="B1424" t="s">
        <v>125</v>
      </c>
      <c r="C1424" t="s">
        <v>1440</v>
      </c>
      <c r="D1424" t="s">
        <v>3043</v>
      </c>
      <c r="E1424" t="s">
        <v>20</v>
      </c>
      <c r="F1424" t="s">
        <v>21</v>
      </c>
      <c r="H1424">
        <v>1</v>
      </c>
      <c r="I1424">
        <f t="shared" si="110"/>
        <v>1</v>
      </c>
      <c r="J1424" s="2">
        <f t="shared" si="111"/>
        <v>0.22</v>
      </c>
      <c r="K1424">
        <f t="shared" si="112"/>
        <v>4.5454545454545459</v>
      </c>
      <c r="L1424" t="str">
        <f t="shared" si="113"/>
        <v>Funded</v>
      </c>
      <c r="M1424">
        <f t="shared" si="114"/>
        <v>1.5141277326297755</v>
      </c>
    </row>
    <row r="1425" spans="1:13" x14ac:dyDescent="0.25">
      <c r="A1425" t="s">
        <v>3044</v>
      </c>
      <c r="B1425" t="s">
        <v>125</v>
      </c>
      <c r="C1425" t="s">
        <v>487</v>
      </c>
      <c r="D1425" t="s">
        <v>3045</v>
      </c>
      <c r="E1425" t="s">
        <v>10</v>
      </c>
      <c r="F1425" t="s">
        <v>11</v>
      </c>
      <c r="H1425">
        <v>1</v>
      </c>
      <c r="I1425">
        <f t="shared" si="110"/>
        <v>1</v>
      </c>
      <c r="J1425" s="2">
        <f t="shared" si="111"/>
        <v>0.41499999999999998</v>
      </c>
      <c r="K1425">
        <f t="shared" si="112"/>
        <v>2.4096385542168677</v>
      </c>
      <c r="L1425" t="str">
        <f t="shared" si="113"/>
        <v>Funded</v>
      </c>
      <c r="M1425">
        <f t="shared" si="114"/>
        <v>0.87947675875143883</v>
      </c>
    </row>
    <row r="1426" spans="1:13" x14ac:dyDescent="0.25">
      <c r="A1426" t="s">
        <v>3046</v>
      </c>
      <c r="B1426" t="s">
        <v>125</v>
      </c>
      <c r="C1426" t="s">
        <v>1566</v>
      </c>
      <c r="D1426" t="s">
        <v>3047</v>
      </c>
      <c r="E1426" t="s">
        <v>230</v>
      </c>
      <c r="F1426" t="s">
        <v>50</v>
      </c>
      <c r="H1426">
        <v>1</v>
      </c>
      <c r="I1426">
        <f t="shared" si="110"/>
        <v>1</v>
      </c>
      <c r="J1426" s="2">
        <f t="shared" si="111"/>
        <v>0.52700000000000002</v>
      </c>
      <c r="K1426">
        <f t="shared" si="112"/>
        <v>1.8975332068311195</v>
      </c>
      <c r="L1426" t="str">
        <f t="shared" si="113"/>
        <v>Funded</v>
      </c>
      <c r="M1426">
        <f t="shared" si="114"/>
        <v>0.64055473044077471</v>
      </c>
    </row>
    <row r="1427" spans="1:13" x14ac:dyDescent="0.25">
      <c r="A1427" t="s">
        <v>3048</v>
      </c>
      <c r="B1427" t="s">
        <v>125</v>
      </c>
      <c r="C1427" t="s">
        <v>1762</v>
      </c>
      <c r="D1427" t="s">
        <v>3049</v>
      </c>
      <c r="E1427" t="s">
        <v>1172</v>
      </c>
      <c r="F1427" t="s">
        <v>21</v>
      </c>
      <c r="H1427">
        <v>1</v>
      </c>
      <c r="I1427">
        <f t="shared" si="110"/>
        <v>1</v>
      </c>
      <c r="J1427" s="2">
        <f t="shared" si="111"/>
        <v>0.19700000000000001</v>
      </c>
      <c r="K1427">
        <f t="shared" si="112"/>
        <v>5.0761421319796955</v>
      </c>
      <c r="L1427" t="str">
        <f t="shared" si="113"/>
        <v>Funded</v>
      </c>
      <c r="M1427">
        <f t="shared" si="114"/>
        <v>1.6245515502441485</v>
      </c>
    </row>
    <row r="1428" spans="1:13" x14ac:dyDescent="0.25">
      <c r="A1428" t="s">
        <v>3050</v>
      </c>
      <c r="B1428" t="s">
        <v>125</v>
      </c>
      <c r="C1428" t="s">
        <v>1185</v>
      </c>
      <c r="D1428" t="s">
        <v>3051</v>
      </c>
      <c r="E1428" t="s">
        <v>10</v>
      </c>
      <c r="F1428" t="s">
        <v>11</v>
      </c>
      <c r="H1428">
        <v>1</v>
      </c>
      <c r="I1428">
        <f t="shared" si="110"/>
        <v>1</v>
      </c>
      <c r="J1428" s="2">
        <f t="shared" si="111"/>
        <v>0.23499999999999999</v>
      </c>
      <c r="K1428">
        <f t="shared" si="112"/>
        <v>4.2553191489361701</v>
      </c>
      <c r="L1428" t="str">
        <f t="shared" si="113"/>
        <v>Funded</v>
      </c>
      <c r="M1428">
        <f t="shared" si="114"/>
        <v>1.4481697648379781</v>
      </c>
    </row>
    <row r="1429" spans="1:13" x14ac:dyDescent="0.25">
      <c r="A1429" t="s">
        <v>3052</v>
      </c>
      <c r="B1429" t="s">
        <v>125</v>
      </c>
      <c r="C1429" t="s">
        <v>1898</v>
      </c>
      <c r="D1429" t="s">
        <v>177</v>
      </c>
      <c r="E1429" t="s">
        <v>49</v>
      </c>
      <c r="F1429" t="s">
        <v>50</v>
      </c>
      <c r="H1429">
        <v>1</v>
      </c>
      <c r="I1429">
        <f t="shared" si="110"/>
        <v>1</v>
      </c>
      <c r="J1429" s="2">
        <f t="shared" si="111"/>
        <v>0.27600000000000002</v>
      </c>
      <c r="K1429">
        <f t="shared" si="112"/>
        <v>3.6231884057971011</v>
      </c>
      <c r="L1429" t="str">
        <f t="shared" si="113"/>
        <v>Funded</v>
      </c>
      <c r="M1429">
        <f t="shared" si="114"/>
        <v>1.287354413264987</v>
      </c>
    </row>
    <row r="1430" spans="1:13" x14ac:dyDescent="0.25">
      <c r="A1430" t="s">
        <v>3053</v>
      </c>
      <c r="B1430" t="s">
        <v>125</v>
      </c>
      <c r="C1430" t="s">
        <v>2446</v>
      </c>
      <c r="D1430" t="s">
        <v>987</v>
      </c>
      <c r="E1430" t="s">
        <v>652</v>
      </c>
      <c r="F1430" t="s">
        <v>50</v>
      </c>
      <c r="H1430">
        <v>1</v>
      </c>
      <c r="I1430">
        <f t="shared" si="110"/>
        <v>1</v>
      </c>
      <c r="J1430" s="2">
        <f t="shared" si="111"/>
        <v>0.188</v>
      </c>
      <c r="K1430">
        <f t="shared" si="112"/>
        <v>5.3191489361702127</v>
      </c>
      <c r="L1430" t="str">
        <f t="shared" si="113"/>
        <v>Funded</v>
      </c>
      <c r="M1430">
        <f t="shared" si="114"/>
        <v>1.6713133161521878</v>
      </c>
    </row>
    <row r="1431" spans="1:13" x14ac:dyDescent="0.25">
      <c r="A1431" t="s">
        <v>3054</v>
      </c>
      <c r="B1431" t="s">
        <v>125</v>
      </c>
      <c r="C1431" t="s">
        <v>2832</v>
      </c>
      <c r="D1431" t="s">
        <v>3055</v>
      </c>
      <c r="E1431" t="s">
        <v>10</v>
      </c>
      <c r="F1431" t="s">
        <v>11</v>
      </c>
      <c r="H1431">
        <v>1</v>
      </c>
      <c r="I1431">
        <f t="shared" si="110"/>
        <v>1</v>
      </c>
      <c r="J1431" s="2">
        <f t="shared" si="111"/>
        <v>0.26300000000000001</v>
      </c>
      <c r="K1431">
        <f t="shared" si="112"/>
        <v>3.8022813688212924</v>
      </c>
      <c r="L1431" t="str">
        <f t="shared" si="113"/>
        <v>Funded</v>
      </c>
      <c r="M1431">
        <f t="shared" si="114"/>
        <v>1.3356012468043723</v>
      </c>
    </row>
    <row r="1432" spans="1:13" x14ac:dyDescent="0.25">
      <c r="A1432" t="s">
        <v>3056</v>
      </c>
      <c r="B1432" t="s">
        <v>125</v>
      </c>
      <c r="C1432" t="s">
        <v>891</v>
      </c>
      <c r="D1432" t="s">
        <v>3057</v>
      </c>
      <c r="E1432" t="s">
        <v>20</v>
      </c>
      <c r="F1432" t="s">
        <v>21</v>
      </c>
      <c r="H1432">
        <v>1</v>
      </c>
      <c r="I1432">
        <f t="shared" si="110"/>
        <v>1</v>
      </c>
      <c r="J1432" s="2">
        <f t="shared" si="111"/>
        <v>0.434</v>
      </c>
      <c r="K1432">
        <f t="shared" si="112"/>
        <v>2.3041474654377883</v>
      </c>
      <c r="L1432" t="str">
        <f t="shared" si="113"/>
        <v>Funded</v>
      </c>
      <c r="M1432">
        <f t="shared" si="114"/>
        <v>0.83471074488173225</v>
      </c>
    </row>
    <row r="1433" spans="1:13" x14ac:dyDescent="0.25">
      <c r="A1433" t="s">
        <v>3058</v>
      </c>
      <c r="B1433" t="s">
        <v>125</v>
      </c>
      <c r="C1433" s="1">
        <v>0</v>
      </c>
      <c r="D1433" t="s">
        <v>517</v>
      </c>
      <c r="E1433" t="s">
        <v>10</v>
      </c>
      <c r="F1433" t="s">
        <v>11</v>
      </c>
      <c r="H1433">
        <v>1</v>
      </c>
      <c r="I1433">
        <f t="shared" si="110"/>
        <v>1</v>
      </c>
      <c r="J1433" s="2">
        <f t="shared" si="111"/>
        <v>0</v>
      </c>
      <c r="K1433" t="str">
        <f t="shared" si="112"/>
        <v/>
      </c>
      <c r="L1433" t="str">
        <f t="shared" si="113"/>
        <v>Bootstrapped</v>
      </c>
      <c r="M1433" t="str">
        <f t="shared" si="114"/>
        <v/>
      </c>
    </row>
    <row r="1434" spans="1:13" x14ac:dyDescent="0.25">
      <c r="A1434" t="s">
        <v>3059</v>
      </c>
      <c r="B1434" t="s">
        <v>125</v>
      </c>
      <c r="C1434" t="s">
        <v>2961</v>
      </c>
      <c r="D1434" t="s">
        <v>3060</v>
      </c>
      <c r="E1434" t="s">
        <v>10</v>
      </c>
      <c r="F1434" t="s">
        <v>11</v>
      </c>
      <c r="H1434">
        <v>1</v>
      </c>
      <c r="I1434">
        <f t="shared" si="110"/>
        <v>1</v>
      </c>
      <c r="J1434" s="2">
        <f t="shared" si="111"/>
        <v>0.29699999999999999</v>
      </c>
      <c r="K1434">
        <f t="shared" si="112"/>
        <v>3.3670033670033672</v>
      </c>
      <c r="L1434" t="str">
        <f t="shared" si="113"/>
        <v>Funded</v>
      </c>
      <c r="M1434">
        <f t="shared" si="114"/>
        <v>1.2140231401794375</v>
      </c>
    </row>
    <row r="1435" spans="1:13" x14ac:dyDescent="0.25">
      <c r="A1435" t="s">
        <v>3061</v>
      </c>
      <c r="B1435" t="s">
        <v>125</v>
      </c>
      <c r="C1435" t="s">
        <v>1875</v>
      </c>
      <c r="D1435" t="s">
        <v>413</v>
      </c>
      <c r="E1435" t="s">
        <v>10</v>
      </c>
      <c r="F1435" t="s">
        <v>11</v>
      </c>
      <c r="H1435">
        <v>1</v>
      </c>
      <c r="I1435">
        <f t="shared" si="110"/>
        <v>1</v>
      </c>
      <c r="J1435" s="2">
        <f t="shared" si="111"/>
        <v>0.1</v>
      </c>
      <c r="K1435">
        <f t="shared" si="112"/>
        <v>10</v>
      </c>
      <c r="L1435" t="str">
        <f t="shared" si="113"/>
        <v>Funded</v>
      </c>
      <c r="M1435">
        <f t="shared" si="114"/>
        <v>2.3025850929940459</v>
      </c>
    </row>
    <row r="1436" spans="1:13" x14ac:dyDescent="0.25">
      <c r="A1436" t="s">
        <v>3062</v>
      </c>
      <c r="B1436" t="s">
        <v>125</v>
      </c>
      <c r="C1436" t="s">
        <v>1400</v>
      </c>
      <c r="D1436" t="s">
        <v>3063</v>
      </c>
      <c r="E1436" t="s">
        <v>10</v>
      </c>
      <c r="F1436" t="s">
        <v>11</v>
      </c>
      <c r="H1436">
        <v>1</v>
      </c>
      <c r="I1436">
        <f t="shared" si="110"/>
        <v>1</v>
      </c>
      <c r="J1436" s="2">
        <f t="shared" si="111"/>
        <v>0.39200000000000002</v>
      </c>
      <c r="K1436">
        <f t="shared" si="112"/>
        <v>2.5510204081632653</v>
      </c>
      <c r="L1436" t="str">
        <f t="shared" si="113"/>
        <v>Funded</v>
      </c>
      <c r="M1436">
        <f t="shared" si="114"/>
        <v>0.93649343919167449</v>
      </c>
    </row>
    <row r="1437" spans="1:13" x14ac:dyDescent="0.25">
      <c r="A1437" t="s">
        <v>3064</v>
      </c>
      <c r="B1437" t="s">
        <v>125</v>
      </c>
      <c r="C1437" t="s">
        <v>3065</v>
      </c>
      <c r="D1437" t="s">
        <v>137</v>
      </c>
      <c r="E1437" t="s">
        <v>10</v>
      </c>
      <c r="F1437" t="s">
        <v>11</v>
      </c>
      <c r="H1437">
        <v>1</v>
      </c>
      <c r="I1437">
        <f t="shared" si="110"/>
        <v>1</v>
      </c>
      <c r="J1437" s="2">
        <f t="shared" si="111"/>
        <v>0.438</v>
      </c>
      <c r="K1437">
        <f t="shared" si="112"/>
        <v>2.2831050228310503</v>
      </c>
      <c r="L1437" t="str">
        <f t="shared" si="113"/>
        <v>Funded</v>
      </c>
      <c r="M1437">
        <f t="shared" si="114"/>
        <v>0.82553636860569102</v>
      </c>
    </row>
    <row r="1438" spans="1:13" x14ac:dyDescent="0.25">
      <c r="A1438" t="s">
        <v>3066</v>
      </c>
      <c r="B1438" t="s">
        <v>125</v>
      </c>
      <c r="C1438" t="s">
        <v>2841</v>
      </c>
      <c r="D1438" t="s">
        <v>3067</v>
      </c>
      <c r="E1438" t="s">
        <v>384</v>
      </c>
      <c r="F1438" t="s">
        <v>21</v>
      </c>
      <c r="H1438">
        <v>1</v>
      </c>
      <c r="I1438">
        <f t="shared" si="110"/>
        <v>1</v>
      </c>
      <c r="J1438" s="2">
        <f t="shared" si="111"/>
        <v>7.1999999999999995E-2</v>
      </c>
      <c r="K1438">
        <f t="shared" si="112"/>
        <v>13.888888888888889</v>
      </c>
      <c r="L1438" t="str">
        <f t="shared" si="113"/>
        <v>Funded</v>
      </c>
      <c r="M1438">
        <f t="shared" si="114"/>
        <v>2.6310891599660819</v>
      </c>
    </row>
    <row r="1439" spans="1:13" x14ac:dyDescent="0.25">
      <c r="A1439" t="s">
        <v>3068</v>
      </c>
      <c r="B1439" t="s">
        <v>125</v>
      </c>
      <c r="C1439" t="s">
        <v>2643</v>
      </c>
      <c r="D1439" t="s">
        <v>3069</v>
      </c>
      <c r="E1439" t="s">
        <v>3070</v>
      </c>
      <c r="F1439" t="s">
        <v>50</v>
      </c>
      <c r="H1439">
        <v>1</v>
      </c>
      <c r="I1439">
        <f t="shared" si="110"/>
        <v>1</v>
      </c>
      <c r="J1439" s="2">
        <f t="shared" si="111"/>
        <v>0.14000000000000001</v>
      </c>
      <c r="K1439">
        <f t="shared" si="112"/>
        <v>7.1428571428571423</v>
      </c>
      <c r="L1439" t="str">
        <f t="shared" si="113"/>
        <v>Funded</v>
      </c>
      <c r="M1439">
        <f t="shared" si="114"/>
        <v>1.9661128563728327</v>
      </c>
    </row>
    <row r="1440" spans="1:13" x14ac:dyDescent="0.25">
      <c r="A1440" t="s">
        <v>3071</v>
      </c>
      <c r="B1440" t="s">
        <v>125</v>
      </c>
      <c r="C1440" t="s">
        <v>2118</v>
      </c>
      <c r="D1440" t="s">
        <v>3072</v>
      </c>
      <c r="E1440" t="s">
        <v>10</v>
      </c>
      <c r="F1440" t="s">
        <v>11</v>
      </c>
      <c r="H1440">
        <v>1</v>
      </c>
      <c r="I1440">
        <f t="shared" si="110"/>
        <v>1</v>
      </c>
      <c r="J1440" s="2">
        <f t="shared" si="111"/>
        <v>6.5000000000000002E-2</v>
      </c>
      <c r="K1440">
        <f t="shared" si="112"/>
        <v>15.384615384615383</v>
      </c>
      <c r="L1440" t="str">
        <f t="shared" si="113"/>
        <v>Funded</v>
      </c>
      <c r="M1440">
        <f t="shared" si="114"/>
        <v>2.7333680090865</v>
      </c>
    </row>
    <row r="1441" spans="1:13" x14ac:dyDescent="0.25">
      <c r="A1441" t="s">
        <v>3073</v>
      </c>
      <c r="B1441" t="s">
        <v>125</v>
      </c>
      <c r="C1441" t="s">
        <v>1369</v>
      </c>
      <c r="D1441" t="s">
        <v>3074</v>
      </c>
      <c r="E1441" t="s">
        <v>10</v>
      </c>
      <c r="F1441" t="s">
        <v>11</v>
      </c>
      <c r="H1441">
        <v>1</v>
      </c>
      <c r="I1441">
        <f t="shared" si="110"/>
        <v>1</v>
      </c>
      <c r="J1441" s="2">
        <f t="shared" si="111"/>
        <v>5.8000000000000003E-2</v>
      </c>
      <c r="K1441">
        <f t="shared" si="112"/>
        <v>17.241379310344826</v>
      </c>
      <c r="L1441" t="str">
        <f t="shared" si="113"/>
        <v>Funded</v>
      </c>
      <c r="M1441">
        <f t="shared" si="114"/>
        <v>2.8473122684357177</v>
      </c>
    </row>
    <row r="1442" spans="1:13" x14ac:dyDescent="0.25">
      <c r="A1442" t="s">
        <v>3075</v>
      </c>
      <c r="B1442" t="s">
        <v>125</v>
      </c>
      <c r="C1442" t="s">
        <v>678</v>
      </c>
      <c r="D1442" t="s">
        <v>3076</v>
      </c>
      <c r="E1442" t="s">
        <v>170</v>
      </c>
      <c r="F1442" t="s">
        <v>50</v>
      </c>
      <c r="H1442">
        <v>1</v>
      </c>
      <c r="I1442">
        <f t="shared" si="110"/>
        <v>1</v>
      </c>
      <c r="J1442" s="2">
        <f t="shared" si="111"/>
        <v>0.64700000000000002</v>
      </c>
      <c r="K1442">
        <f t="shared" si="112"/>
        <v>1.5455950540958268</v>
      </c>
      <c r="L1442" t="str">
        <f t="shared" si="113"/>
        <v>Funded</v>
      </c>
      <c r="M1442">
        <f t="shared" si="114"/>
        <v>0.43540898448123638</v>
      </c>
    </row>
    <row r="1443" spans="1:13" x14ac:dyDescent="0.25">
      <c r="A1443" t="s">
        <v>3077</v>
      </c>
      <c r="B1443" t="s">
        <v>125</v>
      </c>
      <c r="C1443" t="s">
        <v>2155</v>
      </c>
      <c r="D1443" t="s">
        <v>292</v>
      </c>
      <c r="E1443" t="s">
        <v>10</v>
      </c>
      <c r="F1443" t="s">
        <v>11</v>
      </c>
      <c r="H1443">
        <v>1</v>
      </c>
      <c r="I1443">
        <f t="shared" si="110"/>
        <v>1</v>
      </c>
      <c r="J1443" s="2">
        <f t="shared" si="111"/>
        <v>0.16500000000000001</v>
      </c>
      <c r="K1443">
        <f t="shared" si="112"/>
        <v>6.0606060606060606</v>
      </c>
      <c r="L1443" t="str">
        <f t="shared" si="113"/>
        <v>Funded</v>
      </c>
      <c r="M1443">
        <f t="shared" si="114"/>
        <v>1.8018098050815565</v>
      </c>
    </row>
    <row r="1444" spans="1:13" x14ac:dyDescent="0.25">
      <c r="A1444" t="s">
        <v>3078</v>
      </c>
      <c r="B1444" t="s">
        <v>125</v>
      </c>
      <c r="C1444" t="s">
        <v>1456</v>
      </c>
      <c r="D1444" t="s">
        <v>137</v>
      </c>
      <c r="E1444" t="s">
        <v>187</v>
      </c>
      <c r="F1444" t="s">
        <v>50</v>
      </c>
      <c r="H1444">
        <v>1</v>
      </c>
      <c r="I1444">
        <f t="shared" si="110"/>
        <v>1</v>
      </c>
      <c r="J1444" s="2">
        <f t="shared" si="111"/>
        <v>0.39700000000000002</v>
      </c>
      <c r="K1444">
        <f t="shared" si="112"/>
        <v>2.5188916876574305</v>
      </c>
      <c r="L1444" t="str">
        <f t="shared" si="113"/>
        <v>Funded</v>
      </c>
      <c r="M1444">
        <f t="shared" si="114"/>
        <v>0.92381899829494651</v>
      </c>
    </row>
    <row r="1445" spans="1:13" x14ac:dyDescent="0.25">
      <c r="A1445" t="s">
        <v>3079</v>
      </c>
      <c r="B1445" t="s">
        <v>125</v>
      </c>
      <c r="C1445" t="s">
        <v>1227</v>
      </c>
      <c r="D1445" t="s">
        <v>3080</v>
      </c>
      <c r="E1445" t="s">
        <v>10</v>
      </c>
      <c r="F1445" t="s">
        <v>11</v>
      </c>
      <c r="H1445">
        <v>1</v>
      </c>
      <c r="I1445">
        <f t="shared" si="110"/>
        <v>1</v>
      </c>
      <c r="J1445" s="2">
        <f t="shared" si="111"/>
        <v>0.54500000000000004</v>
      </c>
      <c r="K1445">
        <f t="shared" si="112"/>
        <v>1.8348623853211008</v>
      </c>
      <c r="L1445" t="str">
        <f t="shared" si="113"/>
        <v>Funded</v>
      </c>
      <c r="M1445">
        <f t="shared" si="114"/>
        <v>0.60696948431889286</v>
      </c>
    </row>
    <row r="1446" spans="1:13" x14ac:dyDescent="0.25">
      <c r="A1446" t="s">
        <v>3081</v>
      </c>
      <c r="B1446" t="s">
        <v>125</v>
      </c>
      <c r="C1446" t="s">
        <v>1286</v>
      </c>
      <c r="D1446" t="s">
        <v>3082</v>
      </c>
      <c r="E1446" t="s">
        <v>1279</v>
      </c>
      <c r="F1446" t="s">
        <v>11</v>
      </c>
      <c r="H1446">
        <v>1</v>
      </c>
      <c r="I1446">
        <f t="shared" si="110"/>
        <v>1</v>
      </c>
      <c r="J1446" s="2">
        <f t="shared" si="111"/>
        <v>0.06</v>
      </c>
      <c r="K1446">
        <f t="shared" si="112"/>
        <v>16.666666666666668</v>
      </c>
      <c r="L1446" t="str">
        <f t="shared" si="113"/>
        <v>Funded</v>
      </c>
      <c r="M1446">
        <f t="shared" si="114"/>
        <v>2.8134107167600364</v>
      </c>
    </row>
    <row r="1447" spans="1:13" x14ac:dyDescent="0.25">
      <c r="A1447" t="s">
        <v>3083</v>
      </c>
      <c r="B1447" t="s">
        <v>125</v>
      </c>
      <c r="C1447" t="s">
        <v>3084</v>
      </c>
      <c r="D1447" t="s">
        <v>3085</v>
      </c>
      <c r="E1447" t="s">
        <v>20</v>
      </c>
      <c r="F1447" t="s">
        <v>21</v>
      </c>
      <c r="H1447">
        <v>1</v>
      </c>
      <c r="I1447">
        <f t="shared" si="110"/>
        <v>1</v>
      </c>
      <c r="J1447" s="2">
        <f t="shared" si="111"/>
        <v>0.158</v>
      </c>
      <c r="K1447">
        <f t="shared" si="112"/>
        <v>6.3291139240506329</v>
      </c>
      <c r="L1447" t="str">
        <f t="shared" si="113"/>
        <v>Funded</v>
      </c>
      <c r="M1447">
        <f t="shared" si="114"/>
        <v>1.8451602459551701</v>
      </c>
    </row>
    <row r="1448" spans="1:13" x14ac:dyDescent="0.25">
      <c r="A1448" t="s">
        <v>3086</v>
      </c>
      <c r="B1448" t="s">
        <v>125</v>
      </c>
      <c r="C1448" t="s">
        <v>3087</v>
      </c>
      <c r="D1448" t="s">
        <v>3088</v>
      </c>
      <c r="E1448" t="s">
        <v>10</v>
      </c>
      <c r="F1448" t="s">
        <v>11</v>
      </c>
      <c r="H1448">
        <v>1</v>
      </c>
      <c r="I1448">
        <f t="shared" si="110"/>
        <v>1</v>
      </c>
      <c r="J1448" s="2">
        <f t="shared" si="111"/>
        <v>0.23200000000000001</v>
      </c>
      <c r="K1448">
        <f t="shared" si="112"/>
        <v>4.3103448275862064</v>
      </c>
      <c r="L1448" t="str">
        <f t="shared" si="113"/>
        <v>Funded</v>
      </c>
      <c r="M1448">
        <f t="shared" si="114"/>
        <v>1.4610179073158269</v>
      </c>
    </row>
    <row r="1449" spans="1:13" x14ac:dyDescent="0.25">
      <c r="A1449" t="s">
        <v>3089</v>
      </c>
      <c r="B1449" t="s">
        <v>125</v>
      </c>
      <c r="C1449" t="s">
        <v>81</v>
      </c>
      <c r="D1449" t="s">
        <v>3090</v>
      </c>
      <c r="E1449" t="s">
        <v>210</v>
      </c>
      <c r="F1449" t="s">
        <v>50</v>
      </c>
      <c r="H1449">
        <v>1</v>
      </c>
      <c r="I1449">
        <f t="shared" si="110"/>
        <v>1</v>
      </c>
      <c r="J1449" s="2">
        <f t="shared" si="111"/>
        <v>3</v>
      </c>
      <c r="K1449">
        <f t="shared" si="112"/>
        <v>0.33333333333333331</v>
      </c>
      <c r="L1449" t="str">
        <f t="shared" si="113"/>
        <v>Funded</v>
      </c>
      <c r="M1449">
        <f t="shared" si="114"/>
        <v>-1.0986122886681098</v>
      </c>
    </row>
    <row r="1450" spans="1:13" x14ac:dyDescent="0.25">
      <c r="A1450" t="s">
        <v>3091</v>
      </c>
      <c r="B1450" t="s">
        <v>125</v>
      </c>
      <c r="C1450" t="s">
        <v>125</v>
      </c>
      <c r="D1450" t="s">
        <v>3092</v>
      </c>
      <c r="E1450" t="s">
        <v>187</v>
      </c>
      <c r="F1450" t="s">
        <v>50</v>
      </c>
      <c r="H1450">
        <v>1</v>
      </c>
      <c r="I1450">
        <f t="shared" si="110"/>
        <v>1</v>
      </c>
      <c r="J1450" s="2">
        <f t="shared" si="111"/>
        <v>1</v>
      </c>
      <c r="K1450">
        <f t="shared" si="112"/>
        <v>1</v>
      </c>
      <c r="L1450" t="str">
        <f t="shared" si="113"/>
        <v>Funded</v>
      </c>
      <c r="M1450">
        <f t="shared" si="114"/>
        <v>0</v>
      </c>
    </row>
    <row r="1451" spans="1:13" x14ac:dyDescent="0.25">
      <c r="A1451" t="s">
        <v>3093</v>
      </c>
      <c r="B1451" t="s">
        <v>125</v>
      </c>
      <c r="C1451" t="s">
        <v>906</v>
      </c>
      <c r="D1451" t="s">
        <v>3094</v>
      </c>
      <c r="E1451" t="s">
        <v>10</v>
      </c>
      <c r="F1451" t="s">
        <v>11</v>
      </c>
      <c r="H1451">
        <v>1</v>
      </c>
      <c r="I1451">
        <f t="shared" si="110"/>
        <v>1</v>
      </c>
      <c r="J1451" s="2">
        <f t="shared" si="111"/>
        <v>0.60199999999999998</v>
      </c>
      <c r="K1451">
        <f t="shared" si="112"/>
        <v>1.6611295681063123</v>
      </c>
      <c r="L1451" t="str">
        <f t="shared" si="113"/>
        <v>Funded</v>
      </c>
      <c r="M1451">
        <f t="shared" si="114"/>
        <v>0.50749783367331602</v>
      </c>
    </row>
    <row r="1452" spans="1:13" x14ac:dyDescent="0.25">
      <c r="A1452" t="s">
        <v>3095</v>
      </c>
      <c r="B1452" t="s">
        <v>125</v>
      </c>
      <c r="C1452" t="s">
        <v>1104</v>
      </c>
      <c r="D1452" t="s">
        <v>3096</v>
      </c>
      <c r="E1452" t="s">
        <v>10</v>
      </c>
      <c r="F1452" t="s">
        <v>11</v>
      </c>
      <c r="H1452">
        <v>1</v>
      </c>
      <c r="I1452">
        <f t="shared" si="110"/>
        <v>1</v>
      </c>
      <c r="J1452" s="2">
        <f t="shared" si="111"/>
        <v>0.36</v>
      </c>
      <c r="K1452">
        <f t="shared" si="112"/>
        <v>2.7777777777777777</v>
      </c>
      <c r="L1452" t="str">
        <f t="shared" si="113"/>
        <v>Funded</v>
      </c>
      <c r="M1452">
        <f t="shared" si="114"/>
        <v>1.0216512475319812</v>
      </c>
    </row>
    <row r="1453" spans="1:13" x14ac:dyDescent="0.25">
      <c r="A1453" t="s">
        <v>3097</v>
      </c>
      <c r="B1453" t="s">
        <v>125</v>
      </c>
      <c r="C1453" t="s">
        <v>3098</v>
      </c>
      <c r="D1453" t="s">
        <v>3099</v>
      </c>
      <c r="E1453" t="s">
        <v>10</v>
      </c>
      <c r="F1453" t="s">
        <v>11</v>
      </c>
      <c r="H1453">
        <v>1</v>
      </c>
      <c r="I1453">
        <f t="shared" si="110"/>
        <v>1</v>
      </c>
      <c r="J1453" s="2">
        <f t="shared" si="111"/>
        <v>0.246</v>
      </c>
      <c r="K1453">
        <f t="shared" si="112"/>
        <v>4.0650406504065044</v>
      </c>
      <c r="L1453" t="str">
        <f t="shared" si="113"/>
        <v>Funded</v>
      </c>
      <c r="M1453">
        <f t="shared" si="114"/>
        <v>1.4024237430497744</v>
      </c>
    </row>
    <row r="1454" spans="1:13" x14ac:dyDescent="0.25">
      <c r="A1454" t="s">
        <v>3100</v>
      </c>
      <c r="B1454" t="s">
        <v>125</v>
      </c>
      <c r="C1454" s="1">
        <v>0</v>
      </c>
      <c r="D1454" t="s">
        <v>3101</v>
      </c>
      <c r="E1454" t="s">
        <v>20</v>
      </c>
      <c r="F1454" t="s">
        <v>21</v>
      </c>
      <c r="H1454">
        <v>1</v>
      </c>
      <c r="I1454">
        <f t="shared" si="110"/>
        <v>1</v>
      </c>
      <c r="J1454" s="2">
        <f t="shared" si="111"/>
        <v>0</v>
      </c>
      <c r="K1454" t="str">
        <f t="shared" si="112"/>
        <v/>
      </c>
      <c r="L1454" t="str">
        <f t="shared" si="113"/>
        <v>Bootstrapped</v>
      </c>
      <c r="M1454" t="str">
        <f t="shared" si="114"/>
        <v/>
      </c>
    </row>
    <row r="1455" spans="1:13" x14ac:dyDescent="0.25">
      <c r="A1455" t="s">
        <v>3102</v>
      </c>
      <c r="B1455" t="s">
        <v>125</v>
      </c>
      <c r="C1455" t="s">
        <v>3103</v>
      </c>
      <c r="D1455" t="s">
        <v>3104</v>
      </c>
      <c r="E1455" t="s">
        <v>20</v>
      </c>
      <c r="F1455" t="s">
        <v>21</v>
      </c>
      <c r="H1455">
        <v>1</v>
      </c>
      <c r="I1455">
        <f t="shared" si="110"/>
        <v>1</v>
      </c>
      <c r="J1455" s="2">
        <f t="shared" si="111"/>
        <v>0.66900000000000004</v>
      </c>
      <c r="K1455">
        <f t="shared" si="112"/>
        <v>1.4947683109118086</v>
      </c>
      <c r="L1455" t="str">
        <f t="shared" si="113"/>
        <v>Funded</v>
      </c>
      <c r="M1455">
        <f t="shared" si="114"/>
        <v>0.40197121885390857</v>
      </c>
    </row>
    <row r="1456" spans="1:13" x14ac:dyDescent="0.25">
      <c r="A1456" t="s">
        <v>3105</v>
      </c>
      <c r="B1456" t="s">
        <v>125</v>
      </c>
      <c r="C1456" s="1">
        <v>0</v>
      </c>
      <c r="D1456" t="s">
        <v>3106</v>
      </c>
      <c r="H1456">
        <v>1</v>
      </c>
      <c r="I1456">
        <f t="shared" si="110"/>
        <v>1</v>
      </c>
      <c r="J1456" s="2">
        <f t="shared" si="111"/>
        <v>0</v>
      </c>
      <c r="K1456" t="str">
        <f t="shared" si="112"/>
        <v/>
      </c>
      <c r="L1456" t="str">
        <f t="shared" si="113"/>
        <v>Bootstrapped</v>
      </c>
      <c r="M1456" t="str">
        <f t="shared" si="114"/>
        <v/>
      </c>
    </row>
    <row r="1457" spans="1:13" x14ac:dyDescent="0.25">
      <c r="A1457" t="s">
        <v>3107</v>
      </c>
      <c r="B1457" t="s">
        <v>125</v>
      </c>
      <c r="C1457" t="s">
        <v>715</v>
      </c>
      <c r="D1457" t="s">
        <v>3108</v>
      </c>
      <c r="E1457" t="s">
        <v>10</v>
      </c>
      <c r="F1457" t="s">
        <v>11</v>
      </c>
      <c r="H1457">
        <v>1</v>
      </c>
      <c r="I1457">
        <f t="shared" si="110"/>
        <v>1</v>
      </c>
      <c r="J1457" s="2">
        <f t="shared" si="111"/>
        <v>0.64300000000000002</v>
      </c>
      <c r="K1457">
        <f t="shared" si="112"/>
        <v>1.5552099533437014</v>
      </c>
      <c r="L1457" t="str">
        <f t="shared" si="113"/>
        <v>Funded</v>
      </c>
      <c r="M1457">
        <f t="shared" si="114"/>
        <v>0.44161055474451766</v>
      </c>
    </row>
    <row r="1458" spans="1:13" x14ac:dyDescent="0.25">
      <c r="A1458" t="s">
        <v>3109</v>
      </c>
      <c r="B1458" t="s">
        <v>125</v>
      </c>
      <c r="C1458" t="s">
        <v>2637</v>
      </c>
      <c r="D1458" t="s">
        <v>79</v>
      </c>
      <c r="E1458" t="s">
        <v>10</v>
      </c>
      <c r="F1458" t="s">
        <v>11</v>
      </c>
      <c r="H1458">
        <v>1</v>
      </c>
      <c r="I1458">
        <f t="shared" si="110"/>
        <v>1</v>
      </c>
      <c r="J1458" s="2">
        <f t="shared" si="111"/>
        <v>5.1999999999999998E-2</v>
      </c>
      <c r="K1458">
        <f t="shared" si="112"/>
        <v>19.23076923076923</v>
      </c>
      <c r="L1458" t="str">
        <f t="shared" si="113"/>
        <v>Funded</v>
      </c>
      <c r="M1458">
        <f t="shared" si="114"/>
        <v>2.9565115604007097</v>
      </c>
    </row>
    <row r="1459" spans="1:13" x14ac:dyDescent="0.25">
      <c r="A1459" t="s">
        <v>3110</v>
      </c>
      <c r="B1459" t="s">
        <v>125</v>
      </c>
      <c r="C1459" t="s">
        <v>3111</v>
      </c>
      <c r="D1459" t="s">
        <v>3112</v>
      </c>
      <c r="E1459" t="s">
        <v>275</v>
      </c>
      <c r="F1459" t="s">
        <v>21</v>
      </c>
      <c r="H1459">
        <v>1</v>
      </c>
      <c r="I1459">
        <f t="shared" si="110"/>
        <v>1</v>
      </c>
      <c r="J1459" s="2">
        <f t="shared" si="111"/>
        <v>0.55600000000000005</v>
      </c>
      <c r="K1459">
        <f t="shared" si="112"/>
        <v>1.7985611510791366</v>
      </c>
      <c r="L1459" t="str">
        <f t="shared" si="113"/>
        <v>Funded</v>
      </c>
      <c r="M1459">
        <f t="shared" si="114"/>
        <v>0.58698698473155464</v>
      </c>
    </row>
    <row r="1460" spans="1:13" x14ac:dyDescent="0.25">
      <c r="A1460" t="s">
        <v>3113</v>
      </c>
      <c r="B1460" t="s">
        <v>125</v>
      </c>
      <c r="C1460" t="s">
        <v>456</v>
      </c>
      <c r="D1460" t="s">
        <v>581</v>
      </c>
      <c r="E1460" t="s">
        <v>20</v>
      </c>
      <c r="F1460" t="s">
        <v>21</v>
      </c>
      <c r="H1460">
        <v>1</v>
      </c>
      <c r="I1460">
        <f t="shared" si="110"/>
        <v>1</v>
      </c>
      <c r="J1460" s="2">
        <f t="shared" si="111"/>
        <v>0.41199999999999998</v>
      </c>
      <c r="K1460">
        <f t="shared" si="112"/>
        <v>2.4271844660194177</v>
      </c>
      <c r="L1460" t="str">
        <f t="shared" si="113"/>
        <v>Funded</v>
      </c>
      <c r="M1460">
        <f t="shared" si="114"/>
        <v>0.88673192963261072</v>
      </c>
    </row>
    <row r="1461" spans="1:13" x14ac:dyDescent="0.25">
      <c r="A1461" t="s">
        <v>3114</v>
      </c>
      <c r="B1461" t="s">
        <v>125</v>
      </c>
      <c r="C1461" t="s">
        <v>1453</v>
      </c>
      <c r="D1461" t="s">
        <v>1030</v>
      </c>
      <c r="E1461" t="s">
        <v>1035</v>
      </c>
      <c r="F1461" t="s">
        <v>21</v>
      </c>
      <c r="H1461">
        <v>1</v>
      </c>
      <c r="I1461">
        <f t="shared" si="110"/>
        <v>1</v>
      </c>
      <c r="J1461" s="2">
        <f t="shared" si="111"/>
        <v>0.50700000000000001</v>
      </c>
      <c r="K1461">
        <f t="shared" si="112"/>
        <v>1.9723865877712032</v>
      </c>
      <c r="L1461" t="str">
        <f t="shared" si="113"/>
        <v>Funded</v>
      </c>
      <c r="M1461">
        <f t="shared" si="114"/>
        <v>0.67924427539095389</v>
      </c>
    </row>
    <row r="1462" spans="1:13" x14ac:dyDescent="0.25">
      <c r="A1462" t="s">
        <v>3115</v>
      </c>
      <c r="B1462" t="s">
        <v>125</v>
      </c>
      <c r="C1462" t="s">
        <v>715</v>
      </c>
      <c r="D1462" t="s">
        <v>1350</v>
      </c>
      <c r="E1462" t="s">
        <v>10</v>
      </c>
      <c r="F1462" t="s">
        <v>11</v>
      </c>
      <c r="H1462">
        <v>1</v>
      </c>
      <c r="I1462">
        <f t="shared" si="110"/>
        <v>1</v>
      </c>
      <c r="J1462" s="2">
        <f t="shared" si="111"/>
        <v>0.64300000000000002</v>
      </c>
      <c r="K1462">
        <f t="shared" si="112"/>
        <v>1.5552099533437014</v>
      </c>
      <c r="L1462" t="str">
        <f t="shared" si="113"/>
        <v>Funded</v>
      </c>
      <c r="M1462">
        <f t="shared" si="114"/>
        <v>0.44161055474451766</v>
      </c>
    </row>
    <row r="1463" spans="1:13" x14ac:dyDescent="0.25">
      <c r="A1463" t="s">
        <v>3116</v>
      </c>
      <c r="B1463" t="s">
        <v>125</v>
      </c>
      <c r="C1463" t="s">
        <v>47</v>
      </c>
      <c r="D1463" t="s">
        <v>3117</v>
      </c>
      <c r="E1463" t="s">
        <v>445</v>
      </c>
      <c r="F1463" t="s">
        <v>50</v>
      </c>
      <c r="H1463">
        <v>1</v>
      </c>
      <c r="I1463">
        <f t="shared" si="110"/>
        <v>1</v>
      </c>
      <c r="J1463" s="2">
        <f t="shared" si="111"/>
        <v>2</v>
      </c>
      <c r="K1463">
        <f t="shared" si="112"/>
        <v>0.5</v>
      </c>
      <c r="L1463" t="str">
        <f t="shared" si="113"/>
        <v>Funded</v>
      </c>
      <c r="M1463">
        <f t="shared" si="114"/>
        <v>-0.69314718055994529</v>
      </c>
    </row>
    <row r="1464" spans="1:13" x14ac:dyDescent="0.25">
      <c r="A1464" t="s">
        <v>3118</v>
      </c>
      <c r="B1464" t="s">
        <v>125</v>
      </c>
      <c r="C1464" t="s">
        <v>2081</v>
      </c>
      <c r="D1464" t="s">
        <v>3119</v>
      </c>
      <c r="E1464" t="s">
        <v>44</v>
      </c>
      <c r="F1464" t="s">
        <v>21</v>
      </c>
      <c r="H1464">
        <v>1</v>
      </c>
      <c r="I1464">
        <f t="shared" si="110"/>
        <v>1</v>
      </c>
      <c r="J1464" s="2">
        <f t="shared" si="111"/>
        <v>0.28000000000000003</v>
      </c>
      <c r="K1464">
        <f t="shared" si="112"/>
        <v>3.5714285714285712</v>
      </c>
      <c r="L1464" t="str">
        <f t="shared" si="113"/>
        <v>Funded</v>
      </c>
      <c r="M1464">
        <f t="shared" si="114"/>
        <v>1.2729656758128873</v>
      </c>
    </row>
    <row r="1465" spans="1:13" x14ac:dyDescent="0.25">
      <c r="A1465" t="s">
        <v>3120</v>
      </c>
      <c r="B1465" t="s">
        <v>125</v>
      </c>
      <c r="C1465" t="s">
        <v>1875</v>
      </c>
      <c r="D1465" t="s">
        <v>1507</v>
      </c>
      <c r="E1465" t="s">
        <v>445</v>
      </c>
      <c r="F1465" t="s">
        <v>50</v>
      </c>
      <c r="H1465">
        <v>1</v>
      </c>
      <c r="I1465">
        <f t="shared" si="110"/>
        <v>1</v>
      </c>
      <c r="J1465" s="2">
        <f t="shared" si="111"/>
        <v>0.1</v>
      </c>
      <c r="K1465">
        <f t="shared" si="112"/>
        <v>10</v>
      </c>
      <c r="L1465" t="str">
        <f t="shared" si="113"/>
        <v>Funded</v>
      </c>
      <c r="M1465">
        <f t="shared" si="114"/>
        <v>2.3025850929940459</v>
      </c>
    </row>
    <row r="1466" spans="1:13" x14ac:dyDescent="0.25">
      <c r="A1466" t="s">
        <v>3121</v>
      </c>
      <c r="B1466" t="s">
        <v>125</v>
      </c>
      <c r="C1466" t="s">
        <v>3122</v>
      </c>
      <c r="D1466" t="s">
        <v>3123</v>
      </c>
      <c r="E1466" t="s">
        <v>20</v>
      </c>
      <c r="F1466" t="s">
        <v>21</v>
      </c>
      <c r="H1466">
        <v>1</v>
      </c>
      <c r="I1466">
        <f t="shared" si="110"/>
        <v>1</v>
      </c>
      <c r="J1466" s="2">
        <f t="shared" si="111"/>
        <v>0.94399999999999995</v>
      </c>
      <c r="K1466">
        <f t="shared" si="112"/>
        <v>1.0593220338983051</v>
      </c>
      <c r="L1466" t="str">
        <f t="shared" si="113"/>
        <v>Funded</v>
      </c>
      <c r="M1466">
        <f t="shared" si="114"/>
        <v>5.7629112836636423E-2</v>
      </c>
    </row>
    <row r="1467" spans="1:13" x14ac:dyDescent="0.25">
      <c r="A1467" t="s">
        <v>3124</v>
      </c>
      <c r="B1467" t="s">
        <v>125</v>
      </c>
      <c r="C1467" t="s">
        <v>2012</v>
      </c>
      <c r="D1467" t="s">
        <v>469</v>
      </c>
      <c r="E1467" t="s">
        <v>10</v>
      </c>
      <c r="F1467" t="s">
        <v>11</v>
      </c>
      <c r="H1467">
        <v>1</v>
      </c>
      <c r="I1467">
        <f t="shared" si="110"/>
        <v>1</v>
      </c>
      <c r="J1467" s="2">
        <f t="shared" si="111"/>
        <v>0.18099999999999999</v>
      </c>
      <c r="K1467">
        <f t="shared" si="112"/>
        <v>5.5248618784530388</v>
      </c>
      <c r="L1467" t="str">
        <f t="shared" si="113"/>
        <v>Funded</v>
      </c>
      <c r="M1467">
        <f t="shared" si="114"/>
        <v>1.7092582477163114</v>
      </c>
    </row>
    <row r="1468" spans="1:13" x14ac:dyDescent="0.25">
      <c r="A1468" t="s">
        <v>3125</v>
      </c>
      <c r="B1468" t="s">
        <v>125</v>
      </c>
      <c r="C1468" t="s">
        <v>3126</v>
      </c>
      <c r="D1468" t="s">
        <v>1873</v>
      </c>
      <c r="E1468" t="s">
        <v>10</v>
      </c>
      <c r="F1468" t="s">
        <v>11</v>
      </c>
      <c r="H1468">
        <v>1</v>
      </c>
      <c r="I1468">
        <f t="shared" si="110"/>
        <v>1</v>
      </c>
      <c r="J1468" s="2">
        <f t="shared" si="111"/>
        <v>4.4999999999999998E-2</v>
      </c>
      <c r="K1468">
        <f t="shared" si="112"/>
        <v>22.222222222222221</v>
      </c>
      <c r="L1468" t="str">
        <f t="shared" si="113"/>
        <v>Funded</v>
      </c>
      <c r="M1468">
        <f t="shared" si="114"/>
        <v>3.1010927892118172</v>
      </c>
    </row>
    <row r="1469" spans="1:13" x14ac:dyDescent="0.25">
      <c r="A1469" t="s">
        <v>3127</v>
      </c>
      <c r="B1469" t="s">
        <v>125</v>
      </c>
      <c r="C1469" t="s">
        <v>3128</v>
      </c>
      <c r="E1469" t="s">
        <v>49</v>
      </c>
      <c r="F1469" t="s">
        <v>50</v>
      </c>
      <c r="H1469">
        <v>1</v>
      </c>
      <c r="I1469">
        <f t="shared" si="110"/>
        <v>1</v>
      </c>
      <c r="J1469" s="2">
        <f t="shared" si="111"/>
        <v>5.0999999999999997E-2</v>
      </c>
      <c r="K1469">
        <f t="shared" si="112"/>
        <v>19.607843137254903</v>
      </c>
      <c r="L1469" t="str">
        <f t="shared" si="113"/>
        <v>Funded</v>
      </c>
      <c r="M1469">
        <f t="shared" si="114"/>
        <v>2.9759296462578115</v>
      </c>
    </row>
    <row r="1470" spans="1:13" x14ac:dyDescent="0.25">
      <c r="A1470" t="s">
        <v>3129</v>
      </c>
      <c r="B1470" t="s">
        <v>125</v>
      </c>
      <c r="C1470" t="s">
        <v>2694</v>
      </c>
      <c r="D1470" t="s">
        <v>3130</v>
      </c>
      <c r="E1470" t="s">
        <v>10</v>
      </c>
      <c r="F1470" t="s">
        <v>11</v>
      </c>
      <c r="H1470">
        <v>1</v>
      </c>
      <c r="I1470">
        <f t="shared" si="110"/>
        <v>1</v>
      </c>
      <c r="J1470" s="2">
        <f t="shared" si="111"/>
        <v>0.03</v>
      </c>
      <c r="K1470">
        <f t="shared" si="112"/>
        <v>33.333333333333336</v>
      </c>
      <c r="L1470" t="str">
        <f t="shared" si="113"/>
        <v>Funded</v>
      </c>
      <c r="M1470">
        <f t="shared" si="114"/>
        <v>3.5065578973199818</v>
      </c>
    </row>
    <row r="1471" spans="1:13" x14ac:dyDescent="0.25">
      <c r="A1471" t="s">
        <v>3131</v>
      </c>
      <c r="B1471" t="s">
        <v>125</v>
      </c>
      <c r="C1471" t="s">
        <v>1311</v>
      </c>
      <c r="D1471" t="s">
        <v>177</v>
      </c>
      <c r="E1471" t="s">
        <v>554</v>
      </c>
      <c r="F1471" t="s">
        <v>526</v>
      </c>
      <c r="H1471">
        <v>1</v>
      </c>
      <c r="I1471">
        <f t="shared" si="110"/>
        <v>1</v>
      </c>
      <c r="J1471" s="2">
        <f t="shared" si="111"/>
        <v>0.375</v>
      </c>
      <c r="K1471">
        <f t="shared" si="112"/>
        <v>2.6666666666666665</v>
      </c>
      <c r="L1471" t="str">
        <f t="shared" si="113"/>
        <v>Funded</v>
      </c>
      <c r="M1471">
        <f t="shared" si="114"/>
        <v>0.98082925301172619</v>
      </c>
    </row>
    <row r="1472" spans="1:13" x14ac:dyDescent="0.25">
      <c r="A1472" t="s">
        <v>3132</v>
      </c>
      <c r="B1472" t="s">
        <v>125</v>
      </c>
      <c r="C1472" t="s">
        <v>125</v>
      </c>
      <c r="D1472" t="s">
        <v>3133</v>
      </c>
      <c r="E1472" t="s">
        <v>10</v>
      </c>
      <c r="F1472" t="s">
        <v>11</v>
      </c>
      <c r="H1472">
        <v>1</v>
      </c>
      <c r="I1472">
        <f t="shared" si="110"/>
        <v>1</v>
      </c>
      <c r="J1472" s="2">
        <f t="shared" si="111"/>
        <v>1</v>
      </c>
      <c r="K1472">
        <f t="shared" si="112"/>
        <v>1</v>
      </c>
      <c r="L1472" t="str">
        <f t="shared" si="113"/>
        <v>Funded</v>
      </c>
      <c r="M1472">
        <f t="shared" si="114"/>
        <v>0</v>
      </c>
    </row>
    <row r="1473" spans="1:13" x14ac:dyDescent="0.25">
      <c r="A1473" t="s">
        <v>3134</v>
      </c>
      <c r="B1473" t="s">
        <v>125</v>
      </c>
      <c r="C1473" t="s">
        <v>2495</v>
      </c>
      <c r="D1473" t="s">
        <v>3135</v>
      </c>
      <c r="E1473" t="s">
        <v>10</v>
      </c>
      <c r="F1473" t="s">
        <v>11</v>
      </c>
      <c r="H1473">
        <v>1</v>
      </c>
      <c r="I1473">
        <f t="shared" si="110"/>
        <v>1</v>
      </c>
      <c r="J1473" s="2">
        <f t="shared" si="111"/>
        <v>0.24399999999999999</v>
      </c>
      <c r="K1473">
        <f t="shared" si="112"/>
        <v>4.0983606557377046</v>
      </c>
      <c r="L1473" t="str">
        <f t="shared" si="113"/>
        <v>Funded</v>
      </c>
      <c r="M1473">
        <f t="shared" si="114"/>
        <v>1.4105870536889351</v>
      </c>
    </row>
    <row r="1474" spans="1:13" x14ac:dyDescent="0.25">
      <c r="A1474" t="s">
        <v>3136</v>
      </c>
      <c r="B1474" t="s">
        <v>125</v>
      </c>
      <c r="C1474" t="s">
        <v>47</v>
      </c>
      <c r="D1474" t="s">
        <v>3137</v>
      </c>
      <c r="E1474" t="s">
        <v>20</v>
      </c>
      <c r="F1474" t="s">
        <v>21</v>
      </c>
      <c r="H1474">
        <v>1</v>
      </c>
      <c r="I1474">
        <f t="shared" si="110"/>
        <v>1</v>
      </c>
      <c r="J1474" s="2">
        <f t="shared" si="111"/>
        <v>2</v>
      </c>
      <c r="K1474">
        <f t="shared" si="112"/>
        <v>0.5</v>
      </c>
      <c r="L1474" t="str">
        <f t="shared" si="113"/>
        <v>Funded</v>
      </c>
      <c r="M1474">
        <f t="shared" si="114"/>
        <v>-0.69314718055994529</v>
      </c>
    </row>
    <row r="1475" spans="1:13" x14ac:dyDescent="0.25">
      <c r="A1475" t="s">
        <v>3138</v>
      </c>
      <c r="B1475" t="s">
        <v>125</v>
      </c>
      <c r="C1475" t="s">
        <v>3139</v>
      </c>
      <c r="D1475" t="s">
        <v>79</v>
      </c>
      <c r="E1475" t="s">
        <v>10</v>
      </c>
      <c r="F1475" t="s">
        <v>11</v>
      </c>
      <c r="H1475">
        <v>1</v>
      </c>
      <c r="I1475">
        <f t="shared" ref="I1475:I1538" si="115">IF(B1475="","",
VALUE(SUBSTITUTE(SUBSTITUTE(B1475,"$",""),"B","")))</f>
        <v>1</v>
      </c>
      <c r="J1475" s="2">
        <f t="shared" ref="J1475:J1538" si="116">IF(C1475="","",
IF(C1475="$0",0,
IF(RIGHT(C1475,1)="B",
VALUE(SUBSTITUTE(SUBSTITUTE(C1475,"$",""),"B","")),
IF(RIGHT(C1475,1)="M",
VALUE(SUBSTITUTE(SUBSTITUTE(C1475,"$",""),"M",""))/1000,
IF(RIGHT(C1475,1)="K",
VALUE(SUBSTITUTE(SUBSTITUTE(C1475,"$",""),"K",""))/1000000,
VALUE(SUBSTITUTE(C1475,"$",""))
)))))</f>
        <v>0.155</v>
      </c>
      <c r="K1475">
        <f t="shared" ref="K1475:K1538" si="117">IF(J1475&gt;0,I1475/J1475,"")</f>
        <v>6.4516129032258069</v>
      </c>
      <c r="L1475" t="str">
        <f t="shared" ref="L1475:L1538" si="118">IF(J1475=0,"Bootstrapped","Funded")</f>
        <v>Funded</v>
      </c>
      <c r="M1475">
        <f t="shared" ref="M1475:M1538" si="119">IF(AND(I1475&gt;0,J1475&gt;0),LN(I1475/J1475),"")</f>
        <v>1.8643301620628905</v>
      </c>
    </row>
    <row r="1476" spans="1:13" x14ac:dyDescent="0.25">
      <c r="A1476" t="s">
        <v>3140</v>
      </c>
      <c r="B1476" t="s">
        <v>125</v>
      </c>
      <c r="C1476" t="s">
        <v>610</v>
      </c>
      <c r="D1476" t="s">
        <v>3141</v>
      </c>
      <c r="E1476" t="s">
        <v>10</v>
      </c>
      <c r="F1476" t="s">
        <v>11</v>
      </c>
      <c r="H1476">
        <v>1</v>
      </c>
      <c r="I1476">
        <f t="shared" si="115"/>
        <v>1</v>
      </c>
      <c r="J1476" s="2">
        <f t="shared" si="116"/>
        <v>0.625</v>
      </c>
      <c r="K1476">
        <f t="shared" si="117"/>
        <v>1.6</v>
      </c>
      <c r="L1476" t="str">
        <f t="shared" si="118"/>
        <v>Funded</v>
      </c>
      <c r="M1476">
        <f t="shared" si="119"/>
        <v>0.47000362924573563</v>
      </c>
    </row>
    <row r="1477" spans="1:13" x14ac:dyDescent="0.25">
      <c r="A1477" t="s">
        <v>3142</v>
      </c>
      <c r="B1477" t="s">
        <v>125</v>
      </c>
      <c r="C1477" t="s">
        <v>1896</v>
      </c>
      <c r="D1477" t="s">
        <v>3143</v>
      </c>
      <c r="E1477" t="s">
        <v>10</v>
      </c>
      <c r="F1477" t="s">
        <v>11</v>
      </c>
      <c r="H1477">
        <v>1</v>
      </c>
      <c r="I1477">
        <f t="shared" si="115"/>
        <v>1</v>
      </c>
      <c r="J1477" s="2">
        <f t="shared" si="116"/>
        <v>0.19500000000000001</v>
      </c>
      <c r="K1477">
        <f t="shared" si="117"/>
        <v>5.1282051282051277</v>
      </c>
      <c r="L1477" t="str">
        <f t="shared" si="118"/>
        <v>Funded</v>
      </c>
      <c r="M1477">
        <f t="shared" si="119"/>
        <v>1.6347557204183902</v>
      </c>
    </row>
    <row r="1478" spans="1:13" x14ac:dyDescent="0.25">
      <c r="A1478" t="s">
        <v>3144</v>
      </c>
      <c r="B1478" t="s">
        <v>125</v>
      </c>
      <c r="C1478" t="s">
        <v>575</v>
      </c>
      <c r="D1478" t="s">
        <v>245</v>
      </c>
      <c r="E1478" t="s">
        <v>10</v>
      </c>
      <c r="F1478" t="s">
        <v>11</v>
      </c>
      <c r="H1478">
        <v>1</v>
      </c>
      <c r="I1478">
        <f t="shared" si="115"/>
        <v>1</v>
      </c>
      <c r="J1478" s="2">
        <f t="shared" si="116"/>
        <v>0.183</v>
      </c>
      <c r="K1478">
        <f t="shared" si="117"/>
        <v>5.4644808743169397</v>
      </c>
      <c r="L1478" t="str">
        <f t="shared" si="118"/>
        <v>Funded</v>
      </c>
      <c r="M1478">
        <f t="shared" si="119"/>
        <v>1.6982691261407161</v>
      </c>
    </row>
    <row r="1479" spans="1:13" x14ac:dyDescent="0.25">
      <c r="A1479" t="s">
        <v>3145</v>
      </c>
      <c r="B1479" t="s">
        <v>125</v>
      </c>
      <c r="C1479" t="s">
        <v>871</v>
      </c>
      <c r="D1479" t="s">
        <v>3146</v>
      </c>
      <c r="E1479" t="s">
        <v>49</v>
      </c>
      <c r="F1479" t="s">
        <v>50</v>
      </c>
      <c r="H1479">
        <v>1</v>
      </c>
      <c r="I1479">
        <f t="shared" si="115"/>
        <v>1</v>
      </c>
      <c r="J1479" s="2">
        <f t="shared" si="116"/>
        <v>0.05</v>
      </c>
      <c r="K1479">
        <f t="shared" si="117"/>
        <v>20</v>
      </c>
      <c r="L1479" t="str">
        <f t="shared" si="118"/>
        <v>Funded</v>
      </c>
      <c r="M1479">
        <f t="shared" si="119"/>
        <v>2.9957322735539909</v>
      </c>
    </row>
    <row r="1480" spans="1:13" x14ac:dyDescent="0.25">
      <c r="A1480" t="s">
        <v>3147</v>
      </c>
      <c r="B1480" t="s">
        <v>125</v>
      </c>
      <c r="C1480" t="s">
        <v>645</v>
      </c>
      <c r="D1480" t="s">
        <v>3148</v>
      </c>
      <c r="E1480" t="s">
        <v>10</v>
      </c>
      <c r="F1480" t="s">
        <v>11</v>
      </c>
      <c r="H1480">
        <v>1</v>
      </c>
      <c r="I1480">
        <f t="shared" si="115"/>
        <v>1</v>
      </c>
      <c r="J1480" s="2">
        <f t="shared" si="116"/>
        <v>0.2</v>
      </c>
      <c r="K1480">
        <f t="shared" si="117"/>
        <v>5</v>
      </c>
      <c r="L1480" t="str">
        <f t="shared" si="118"/>
        <v>Funded</v>
      </c>
      <c r="M1480">
        <f t="shared" si="119"/>
        <v>1.6094379124341003</v>
      </c>
    </row>
    <row r="1481" spans="1:13" x14ac:dyDescent="0.25">
      <c r="A1481" t="s">
        <v>3149</v>
      </c>
      <c r="B1481" t="s">
        <v>125</v>
      </c>
      <c r="C1481" t="s">
        <v>1205</v>
      </c>
      <c r="D1481" t="s">
        <v>3150</v>
      </c>
      <c r="E1481" t="s">
        <v>10</v>
      </c>
      <c r="F1481" t="s">
        <v>11</v>
      </c>
      <c r="H1481">
        <v>1</v>
      </c>
      <c r="I1481">
        <f t="shared" si="115"/>
        <v>1</v>
      </c>
      <c r="J1481" s="2">
        <f t="shared" si="116"/>
        <v>0.3</v>
      </c>
      <c r="K1481">
        <f t="shared" si="117"/>
        <v>3.3333333333333335</v>
      </c>
      <c r="L1481" t="str">
        <f t="shared" si="118"/>
        <v>Funded</v>
      </c>
      <c r="M1481">
        <f t="shared" si="119"/>
        <v>1.2039728043259361</v>
      </c>
    </row>
    <row r="1482" spans="1:13" x14ac:dyDescent="0.25">
      <c r="A1482" t="s">
        <v>3151</v>
      </c>
      <c r="B1482" t="s">
        <v>125</v>
      </c>
      <c r="C1482" s="1">
        <v>0</v>
      </c>
      <c r="D1482" t="s">
        <v>1125</v>
      </c>
      <c r="E1482" t="s">
        <v>10</v>
      </c>
      <c r="F1482" t="s">
        <v>11</v>
      </c>
      <c r="H1482">
        <v>1</v>
      </c>
      <c r="I1482">
        <f t="shared" si="115"/>
        <v>1</v>
      </c>
      <c r="J1482" s="2">
        <f t="shared" si="116"/>
        <v>0</v>
      </c>
      <c r="K1482" t="str">
        <f t="shared" si="117"/>
        <v/>
      </c>
      <c r="L1482" t="str">
        <f t="shared" si="118"/>
        <v>Bootstrapped</v>
      </c>
      <c r="M1482" t="str">
        <f t="shared" si="119"/>
        <v/>
      </c>
    </row>
    <row r="1483" spans="1:13" x14ac:dyDescent="0.25">
      <c r="A1483" t="s">
        <v>3152</v>
      </c>
      <c r="B1483" t="s">
        <v>125</v>
      </c>
      <c r="C1483" t="s">
        <v>2062</v>
      </c>
      <c r="D1483" t="s">
        <v>3153</v>
      </c>
      <c r="E1483" t="s">
        <v>20</v>
      </c>
      <c r="F1483" t="s">
        <v>21</v>
      </c>
      <c r="H1483">
        <v>1</v>
      </c>
      <c r="I1483">
        <f t="shared" si="115"/>
        <v>1</v>
      </c>
      <c r="J1483" s="2">
        <f t="shared" si="116"/>
        <v>0.25700000000000001</v>
      </c>
      <c r="K1483">
        <f t="shared" si="117"/>
        <v>3.8910505836575875</v>
      </c>
      <c r="L1483" t="str">
        <f t="shared" si="118"/>
        <v>Funded</v>
      </c>
      <c r="M1483">
        <f t="shared" si="119"/>
        <v>1.3586791940869172</v>
      </c>
    </row>
    <row r="1484" spans="1:13" x14ac:dyDescent="0.25">
      <c r="A1484" t="s">
        <v>3154</v>
      </c>
      <c r="B1484" t="s">
        <v>125</v>
      </c>
      <c r="C1484" t="s">
        <v>3155</v>
      </c>
      <c r="D1484" t="s">
        <v>225</v>
      </c>
      <c r="E1484" t="s">
        <v>10</v>
      </c>
      <c r="F1484" t="s">
        <v>11</v>
      </c>
      <c r="H1484">
        <v>1</v>
      </c>
      <c r="I1484">
        <f t="shared" si="115"/>
        <v>1</v>
      </c>
      <c r="J1484" s="2">
        <f t="shared" si="116"/>
        <v>0.122</v>
      </c>
      <c r="K1484">
        <f t="shared" si="117"/>
        <v>8.1967213114754092</v>
      </c>
      <c r="L1484" t="str">
        <f t="shared" si="118"/>
        <v>Funded</v>
      </c>
      <c r="M1484">
        <f t="shared" si="119"/>
        <v>2.1037342342488805</v>
      </c>
    </row>
    <row r="1485" spans="1:13" x14ac:dyDescent="0.25">
      <c r="A1485" t="s">
        <v>3156</v>
      </c>
      <c r="B1485" t="s">
        <v>125</v>
      </c>
      <c r="C1485" t="s">
        <v>2495</v>
      </c>
      <c r="D1485" t="s">
        <v>3157</v>
      </c>
      <c r="E1485" t="s">
        <v>10</v>
      </c>
      <c r="F1485" t="s">
        <v>11</v>
      </c>
      <c r="H1485">
        <v>1</v>
      </c>
      <c r="I1485">
        <f t="shared" si="115"/>
        <v>1</v>
      </c>
      <c r="J1485" s="2">
        <f t="shared" si="116"/>
        <v>0.24399999999999999</v>
      </c>
      <c r="K1485">
        <f t="shared" si="117"/>
        <v>4.0983606557377046</v>
      </c>
      <c r="L1485" t="str">
        <f t="shared" si="118"/>
        <v>Funded</v>
      </c>
      <c r="M1485">
        <f t="shared" si="119"/>
        <v>1.4105870536889351</v>
      </c>
    </row>
    <row r="1486" spans="1:13" x14ac:dyDescent="0.25">
      <c r="A1486" t="s">
        <v>3158</v>
      </c>
      <c r="B1486" t="s">
        <v>125</v>
      </c>
      <c r="C1486" t="s">
        <v>2423</v>
      </c>
      <c r="D1486" t="s">
        <v>79</v>
      </c>
      <c r="E1486" t="s">
        <v>10</v>
      </c>
      <c r="F1486" t="s">
        <v>11</v>
      </c>
      <c r="H1486">
        <v>1</v>
      </c>
      <c r="I1486">
        <f t="shared" si="115"/>
        <v>1</v>
      </c>
      <c r="J1486" s="2">
        <f t="shared" si="116"/>
        <v>0.16</v>
      </c>
      <c r="K1486">
        <f t="shared" si="117"/>
        <v>6.25</v>
      </c>
      <c r="L1486" t="str">
        <f t="shared" si="118"/>
        <v>Funded</v>
      </c>
      <c r="M1486">
        <f t="shared" si="119"/>
        <v>1.8325814637483102</v>
      </c>
    </row>
    <row r="1487" spans="1:13" x14ac:dyDescent="0.25">
      <c r="A1487" t="s">
        <v>3159</v>
      </c>
      <c r="B1487" t="s">
        <v>125</v>
      </c>
      <c r="C1487" t="s">
        <v>1875</v>
      </c>
      <c r="E1487" t="s">
        <v>10</v>
      </c>
      <c r="F1487" t="s">
        <v>11</v>
      </c>
      <c r="H1487">
        <v>1</v>
      </c>
      <c r="I1487">
        <f t="shared" si="115"/>
        <v>1</v>
      </c>
      <c r="J1487" s="2">
        <f t="shared" si="116"/>
        <v>0.1</v>
      </c>
      <c r="K1487">
        <f t="shared" si="117"/>
        <v>10</v>
      </c>
      <c r="L1487" t="str">
        <f t="shared" si="118"/>
        <v>Funded</v>
      </c>
      <c r="M1487">
        <f t="shared" si="119"/>
        <v>2.3025850929940459</v>
      </c>
    </row>
    <row r="1488" spans="1:13" x14ac:dyDescent="0.25">
      <c r="A1488" t="s">
        <v>3160</v>
      </c>
      <c r="B1488" t="s">
        <v>125</v>
      </c>
      <c r="C1488" t="s">
        <v>125</v>
      </c>
      <c r="D1488" t="s">
        <v>3161</v>
      </c>
      <c r="E1488" t="s">
        <v>10</v>
      </c>
      <c r="F1488" t="s">
        <v>11</v>
      </c>
      <c r="H1488">
        <v>1</v>
      </c>
      <c r="I1488">
        <f t="shared" si="115"/>
        <v>1</v>
      </c>
      <c r="J1488" s="2">
        <f t="shared" si="116"/>
        <v>1</v>
      </c>
      <c r="K1488">
        <f t="shared" si="117"/>
        <v>1</v>
      </c>
      <c r="L1488" t="str">
        <f t="shared" si="118"/>
        <v>Funded</v>
      </c>
      <c r="M1488">
        <f t="shared" si="119"/>
        <v>0</v>
      </c>
    </row>
    <row r="1489" spans="1:13" x14ac:dyDescent="0.25">
      <c r="A1489" t="s">
        <v>3162</v>
      </c>
      <c r="B1489" t="s">
        <v>125</v>
      </c>
      <c r="C1489" t="s">
        <v>2319</v>
      </c>
      <c r="D1489" t="s">
        <v>2731</v>
      </c>
      <c r="E1489" t="s">
        <v>10</v>
      </c>
      <c r="F1489" t="s">
        <v>11</v>
      </c>
      <c r="H1489">
        <v>1</v>
      </c>
      <c r="I1489">
        <f t="shared" si="115"/>
        <v>1</v>
      </c>
      <c r="J1489" s="2">
        <f t="shared" si="116"/>
        <v>0.17199999999999999</v>
      </c>
      <c r="K1489">
        <f t="shared" si="117"/>
        <v>5.8139534883720936</v>
      </c>
      <c r="L1489" t="str">
        <f t="shared" si="118"/>
        <v>Funded</v>
      </c>
      <c r="M1489">
        <f t="shared" si="119"/>
        <v>1.7602608021686841</v>
      </c>
    </row>
    <row r="1490" spans="1:13" x14ac:dyDescent="0.25">
      <c r="A1490" t="s">
        <v>3163</v>
      </c>
      <c r="B1490" t="s">
        <v>125</v>
      </c>
      <c r="C1490" t="s">
        <v>2282</v>
      </c>
      <c r="D1490" t="s">
        <v>1186</v>
      </c>
      <c r="E1490" t="s">
        <v>329</v>
      </c>
      <c r="F1490" t="s">
        <v>50</v>
      </c>
      <c r="H1490">
        <v>1</v>
      </c>
      <c r="I1490">
        <f t="shared" si="115"/>
        <v>1</v>
      </c>
      <c r="J1490" s="2">
        <f t="shared" si="116"/>
        <v>8.5000000000000006E-2</v>
      </c>
      <c r="K1490">
        <f t="shared" si="117"/>
        <v>11.76470588235294</v>
      </c>
      <c r="L1490" t="str">
        <f t="shared" si="118"/>
        <v>Funded</v>
      </c>
      <c r="M1490">
        <f t="shared" si="119"/>
        <v>2.4651040224918206</v>
      </c>
    </row>
    <row r="1491" spans="1:13" x14ac:dyDescent="0.25">
      <c r="A1491" t="s">
        <v>3164</v>
      </c>
      <c r="B1491" t="s">
        <v>125</v>
      </c>
      <c r="C1491" t="s">
        <v>1917</v>
      </c>
      <c r="D1491" t="s">
        <v>3165</v>
      </c>
      <c r="E1491" t="s">
        <v>10</v>
      </c>
      <c r="F1491" t="s">
        <v>11</v>
      </c>
      <c r="H1491">
        <v>1</v>
      </c>
      <c r="I1491">
        <f t="shared" si="115"/>
        <v>1</v>
      </c>
      <c r="J1491" s="2">
        <f t="shared" si="116"/>
        <v>0.11700000000000001</v>
      </c>
      <c r="K1491">
        <f t="shared" si="117"/>
        <v>8.5470085470085468</v>
      </c>
      <c r="L1491" t="str">
        <f t="shared" si="118"/>
        <v>Funded</v>
      </c>
      <c r="M1491">
        <f t="shared" si="119"/>
        <v>2.145581344184381</v>
      </c>
    </row>
    <row r="1492" spans="1:13" x14ac:dyDescent="0.25">
      <c r="A1492" t="s">
        <v>3166</v>
      </c>
      <c r="B1492" t="s">
        <v>125</v>
      </c>
      <c r="C1492" t="s">
        <v>2012</v>
      </c>
      <c r="D1492" t="s">
        <v>1507</v>
      </c>
      <c r="E1492" t="s">
        <v>10</v>
      </c>
      <c r="F1492" t="s">
        <v>11</v>
      </c>
      <c r="H1492">
        <v>1</v>
      </c>
      <c r="I1492">
        <f t="shared" si="115"/>
        <v>1</v>
      </c>
      <c r="J1492" s="2">
        <f t="shared" si="116"/>
        <v>0.18099999999999999</v>
      </c>
      <c r="K1492">
        <f t="shared" si="117"/>
        <v>5.5248618784530388</v>
      </c>
      <c r="L1492" t="str">
        <f t="shared" si="118"/>
        <v>Funded</v>
      </c>
      <c r="M1492">
        <f t="shared" si="119"/>
        <v>1.7092582477163114</v>
      </c>
    </row>
    <row r="1493" spans="1:13" x14ac:dyDescent="0.25">
      <c r="A1493" t="s">
        <v>3167</v>
      </c>
      <c r="B1493" t="s">
        <v>125</v>
      </c>
      <c r="C1493" s="1">
        <v>0</v>
      </c>
      <c r="D1493" t="s">
        <v>130</v>
      </c>
      <c r="E1493" t="s">
        <v>10</v>
      </c>
      <c r="F1493" t="s">
        <v>11</v>
      </c>
      <c r="H1493">
        <v>1</v>
      </c>
      <c r="I1493">
        <f t="shared" si="115"/>
        <v>1</v>
      </c>
      <c r="J1493" s="2">
        <f t="shared" si="116"/>
        <v>0</v>
      </c>
      <c r="K1493" t="str">
        <f t="shared" si="117"/>
        <v/>
      </c>
      <c r="L1493" t="str">
        <f t="shared" si="118"/>
        <v>Bootstrapped</v>
      </c>
      <c r="M1493" t="str">
        <f t="shared" si="119"/>
        <v/>
      </c>
    </row>
    <row r="1494" spans="1:13" x14ac:dyDescent="0.25">
      <c r="A1494" t="s">
        <v>3168</v>
      </c>
      <c r="B1494" t="s">
        <v>125</v>
      </c>
      <c r="C1494" t="s">
        <v>2423</v>
      </c>
      <c r="D1494" t="s">
        <v>1068</v>
      </c>
      <c r="E1494" t="s">
        <v>10</v>
      </c>
      <c r="F1494" t="s">
        <v>11</v>
      </c>
      <c r="H1494">
        <v>1</v>
      </c>
      <c r="I1494">
        <f t="shared" si="115"/>
        <v>1</v>
      </c>
      <c r="J1494" s="2">
        <f t="shared" si="116"/>
        <v>0.16</v>
      </c>
      <c r="K1494">
        <f t="shared" si="117"/>
        <v>6.25</v>
      </c>
      <c r="L1494" t="str">
        <f t="shared" si="118"/>
        <v>Funded</v>
      </c>
      <c r="M1494">
        <f t="shared" si="119"/>
        <v>1.8325814637483102</v>
      </c>
    </row>
    <row r="1495" spans="1:13" x14ac:dyDescent="0.25">
      <c r="A1495" t="s">
        <v>3169</v>
      </c>
      <c r="B1495" t="s">
        <v>125</v>
      </c>
      <c r="C1495" t="s">
        <v>891</v>
      </c>
      <c r="D1495" t="s">
        <v>3170</v>
      </c>
      <c r="E1495" t="s">
        <v>10</v>
      </c>
      <c r="F1495" t="s">
        <v>11</v>
      </c>
      <c r="H1495">
        <v>1</v>
      </c>
      <c r="I1495">
        <f t="shared" si="115"/>
        <v>1</v>
      </c>
      <c r="J1495" s="2">
        <f t="shared" si="116"/>
        <v>0.434</v>
      </c>
      <c r="K1495">
        <f t="shared" si="117"/>
        <v>2.3041474654377883</v>
      </c>
      <c r="L1495" t="str">
        <f t="shared" si="118"/>
        <v>Funded</v>
      </c>
      <c r="M1495">
        <f t="shared" si="119"/>
        <v>0.83471074488173225</v>
      </c>
    </row>
    <row r="1496" spans="1:13" x14ac:dyDescent="0.25">
      <c r="A1496" t="s">
        <v>3171</v>
      </c>
      <c r="B1496" t="s">
        <v>125</v>
      </c>
      <c r="C1496" t="s">
        <v>1314</v>
      </c>
      <c r="D1496" t="s">
        <v>2933</v>
      </c>
      <c r="E1496" t="s">
        <v>10</v>
      </c>
      <c r="F1496" t="s">
        <v>11</v>
      </c>
      <c r="H1496">
        <v>1</v>
      </c>
      <c r="I1496">
        <f t="shared" si="115"/>
        <v>1</v>
      </c>
      <c r="J1496" s="2">
        <f t="shared" si="116"/>
        <v>0.252</v>
      </c>
      <c r="K1496">
        <f t="shared" si="117"/>
        <v>3.9682539682539684</v>
      </c>
      <c r="L1496" t="str">
        <f t="shared" si="118"/>
        <v>Funded</v>
      </c>
      <c r="M1496">
        <f t="shared" si="119"/>
        <v>1.3783261914707137</v>
      </c>
    </row>
    <row r="1497" spans="1:13" x14ac:dyDescent="0.25">
      <c r="A1497" t="s">
        <v>3172</v>
      </c>
      <c r="B1497" t="s">
        <v>125</v>
      </c>
      <c r="C1497" t="s">
        <v>1440</v>
      </c>
      <c r="D1497" t="s">
        <v>3157</v>
      </c>
      <c r="E1497" t="s">
        <v>10</v>
      </c>
      <c r="F1497" t="s">
        <v>11</v>
      </c>
      <c r="H1497">
        <v>1</v>
      </c>
      <c r="I1497">
        <f t="shared" si="115"/>
        <v>1</v>
      </c>
      <c r="J1497" s="2">
        <f t="shared" si="116"/>
        <v>0.22</v>
      </c>
      <c r="K1497">
        <f t="shared" si="117"/>
        <v>4.5454545454545459</v>
      </c>
      <c r="L1497" t="str">
        <f t="shared" si="118"/>
        <v>Funded</v>
      </c>
      <c r="M1497">
        <f t="shared" si="119"/>
        <v>1.5141277326297755</v>
      </c>
    </row>
    <row r="1498" spans="1:13" x14ac:dyDescent="0.25">
      <c r="A1498" t="s">
        <v>3173</v>
      </c>
      <c r="B1498" t="s">
        <v>125</v>
      </c>
      <c r="C1498" t="s">
        <v>1756</v>
      </c>
      <c r="D1498" t="s">
        <v>3174</v>
      </c>
      <c r="E1498" t="s">
        <v>10</v>
      </c>
      <c r="F1498" t="s">
        <v>11</v>
      </c>
      <c r="H1498">
        <v>1</v>
      </c>
      <c r="I1498">
        <f t="shared" si="115"/>
        <v>1</v>
      </c>
      <c r="J1498" s="2">
        <f t="shared" si="116"/>
        <v>0.30499999999999999</v>
      </c>
      <c r="K1498">
        <f t="shared" si="117"/>
        <v>3.278688524590164</v>
      </c>
      <c r="L1498" t="str">
        <f t="shared" si="118"/>
        <v>Funded</v>
      </c>
      <c r="M1498">
        <f t="shared" si="119"/>
        <v>1.1874435023747254</v>
      </c>
    </row>
    <row r="1499" spans="1:13" x14ac:dyDescent="0.25">
      <c r="A1499" t="s">
        <v>3175</v>
      </c>
      <c r="B1499" t="s">
        <v>125</v>
      </c>
      <c r="C1499" t="s">
        <v>1851</v>
      </c>
      <c r="D1499" t="s">
        <v>1911</v>
      </c>
      <c r="E1499" t="s">
        <v>10</v>
      </c>
      <c r="F1499" t="s">
        <v>11</v>
      </c>
      <c r="H1499">
        <v>1</v>
      </c>
      <c r="I1499">
        <f t="shared" si="115"/>
        <v>1</v>
      </c>
      <c r="J1499" s="2">
        <f t="shared" si="116"/>
        <v>0.20399999999999999</v>
      </c>
      <c r="K1499">
        <f t="shared" si="117"/>
        <v>4.9019607843137258</v>
      </c>
      <c r="L1499" t="str">
        <f t="shared" si="118"/>
        <v>Funded</v>
      </c>
      <c r="M1499">
        <f t="shared" si="119"/>
        <v>1.5896352851379207</v>
      </c>
    </row>
    <row r="1500" spans="1:13" x14ac:dyDescent="0.25">
      <c r="A1500" t="s">
        <v>3176</v>
      </c>
      <c r="B1500" t="s">
        <v>125</v>
      </c>
      <c r="C1500" t="s">
        <v>785</v>
      </c>
      <c r="D1500" t="s">
        <v>3177</v>
      </c>
      <c r="E1500" t="s">
        <v>49</v>
      </c>
      <c r="F1500" t="s">
        <v>50</v>
      </c>
      <c r="H1500">
        <v>1</v>
      </c>
      <c r="I1500">
        <f t="shared" si="115"/>
        <v>1</v>
      </c>
      <c r="J1500" s="2">
        <f t="shared" si="116"/>
        <v>0.25</v>
      </c>
      <c r="K1500">
        <f t="shared" si="117"/>
        <v>4</v>
      </c>
      <c r="L1500" t="str">
        <f t="shared" si="118"/>
        <v>Funded</v>
      </c>
      <c r="M1500">
        <f t="shared" si="119"/>
        <v>1.3862943611198906</v>
      </c>
    </row>
    <row r="1501" spans="1:13" x14ac:dyDescent="0.25">
      <c r="A1501" t="s">
        <v>3178</v>
      </c>
      <c r="B1501" t="s">
        <v>125</v>
      </c>
      <c r="C1501" t="s">
        <v>3179</v>
      </c>
      <c r="D1501" t="s">
        <v>1210</v>
      </c>
      <c r="E1501" t="s">
        <v>10</v>
      </c>
      <c r="F1501" t="s">
        <v>11</v>
      </c>
      <c r="H1501">
        <v>1</v>
      </c>
      <c r="I1501">
        <f t="shared" si="115"/>
        <v>1</v>
      </c>
      <c r="J1501" s="2">
        <f t="shared" si="116"/>
        <v>9.9000000000000005E-2</v>
      </c>
      <c r="K1501">
        <f t="shared" si="117"/>
        <v>10.1010101010101</v>
      </c>
      <c r="L1501" t="str">
        <f t="shared" si="118"/>
        <v>Funded</v>
      </c>
      <c r="M1501">
        <f t="shared" si="119"/>
        <v>2.312635428847547</v>
      </c>
    </row>
    <row r="1502" spans="1:13" x14ac:dyDescent="0.25">
      <c r="A1502" t="s">
        <v>3180</v>
      </c>
      <c r="B1502" t="s">
        <v>125</v>
      </c>
      <c r="C1502" t="s">
        <v>1894</v>
      </c>
      <c r="D1502" t="s">
        <v>3181</v>
      </c>
      <c r="E1502" t="s">
        <v>187</v>
      </c>
      <c r="F1502" t="s">
        <v>50</v>
      </c>
      <c r="H1502">
        <v>1</v>
      </c>
      <c r="I1502">
        <f t="shared" si="115"/>
        <v>1</v>
      </c>
      <c r="J1502" s="2">
        <f t="shared" si="116"/>
        <v>0.32</v>
      </c>
      <c r="K1502">
        <f t="shared" si="117"/>
        <v>3.125</v>
      </c>
      <c r="L1502" t="str">
        <f t="shared" si="118"/>
        <v>Funded</v>
      </c>
      <c r="M1502">
        <f t="shared" si="119"/>
        <v>1.1394342831883648</v>
      </c>
    </row>
    <row r="1503" spans="1:13" x14ac:dyDescent="0.25">
      <c r="A1503" t="s">
        <v>3182</v>
      </c>
      <c r="B1503" t="s">
        <v>125</v>
      </c>
      <c r="C1503" t="s">
        <v>2654</v>
      </c>
      <c r="D1503" t="s">
        <v>57</v>
      </c>
      <c r="E1503" t="s">
        <v>44</v>
      </c>
      <c r="F1503" t="s">
        <v>21</v>
      </c>
      <c r="H1503">
        <v>1</v>
      </c>
      <c r="I1503">
        <f t="shared" si="115"/>
        <v>1</v>
      </c>
      <c r="J1503" s="2">
        <f t="shared" si="116"/>
        <v>0.376</v>
      </c>
      <c r="K1503">
        <f t="shared" si="117"/>
        <v>2.6595744680851063</v>
      </c>
      <c r="L1503" t="str">
        <f t="shared" si="118"/>
        <v>Funded</v>
      </c>
      <c r="M1503">
        <f t="shared" si="119"/>
        <v>0.97816613559224252</v>
      </c>
    </row>
    <row r="1504" spans="1:13" x14ac:dyDescent="0.25">
      <c r="A1504" t="s">
        <v>3183</v>
      </c>
      <c r="B1504" t="s">
        <v>125</v>
      </c>
      <c r="C1504" t="s">
        <v>2815</v>
      </c>
      <c r="D1504" t="s">
        <v>3184</v>
      </c>
      <c r="E1504" t="s">
        <v>20</v>
      </c>
      <c r="F1504" t="s">
        <v>21</v>
      </c>
      <c r="H1504">
        <v>1</v>
      </c>
      <c r="I1504">
        <f t="shared" si="115"/>
        <v>1</v>
      </c>
      <c r="J1504" s="2">
        <f t="shared" si="116"/>
        <v>0.379</v>
      </c>
      <c r="K1504">
        <f t="shared" si="117"/>
        <v>2.6385224274406331</v>
      </c>
      <c r="L1504" t="str">
        <f t="shared" si="118"/>
        <v>Funded</v>
      </c>
      <c r="M1504">
        <f t="shared" si="119"/>
        <v>0.97021907389971063</v>
      </c>
    </row>
    <row r="1505" spans="1:13" x14ac:dyDescent="0.25">
      <c r="A1505" t="s">
        <v>3185</v>
      </c>
      <c r="B1505" t="s">
        <v>125</v>
      </c>
      <c r="C1505" t="s">
        <v>3186</v>
      </c>
      <c r="D1505" t="s">
        <v>3187</v>
      </c>
      <c r="E1505" t="s">
        <v>20</v>
      </c>
      <c r="F1505" t="s">
        <v>21</v>
      </c>
      <c r="H1505">
        <v>1</v>
      </c>
      <c r="I1505">
        <f t="shared" si="115"/>
        <v>1</v>
      </c>
      <c r="J1505" s="2">
        <f t="shared" si="116"/>
        <v>0.13600000000000001</v>
      </c>
      <c r="K1505">
        <f t="shared" si="117"/>
        <v>7.3529411764705879</v>
      </c>
      <c r="L1505" t="str">
        <f t="shared" si="118"/>
        <v>Funded</v>
      </c>
      <c r="M1505">
        <f t="shared" si="119"/>
        <v>1.9951003932460849</v>
      </c>
    </row>
    <row r="1506" spans="1:13" x14ac:dyDescent="0.25">
      <c r="A1506" t="s">
        <v>3188</v>
      </c>
      <c r="B1506" t="s">
        <v>125</v>
      </c>
      <c r="C1506" t="s">
        <v>3189</v>
      </c>
      <c r="D1506" t="s">
        <v>3190</v>
      </c>
      <c r="E1506" t="s">
        <v>294</v>
      </c>
      <c r="F1506" t="s">
        <v>21</v>
      </c>
      <c r="H1506">
        <v>1</v>
      </c>
      <c r="I1506">
        <f t="shared" si="115"/>
        <v>1</v>
      </c>
      <c r="J1506" s="2">
        <f t="shared" si="116"/>
        <v>0.20799999999999999</v>
      </c>
      <c r="K1506">
        <f t="shared" si="117"/>
        <v>4.8076923076923075</v>
      </c>
      <c r="L1506" t="str">
        <f t="shared" si="118"/>
        <v>Funded</v>
      </c>
      <c r="M1506">
        <f t="shared" si="119"/>
        <v>1.5702171992808189</v>
      </c>
    </row>
    <row r="1507" spans="1:13" x14ac:dyDescent="0.25">
      <c r="A1507" t="s">
        <v>3191</v>
      </c>
      <c r="B1507" t="s">
        <v>125</v>
      </c>
      <c r="C1507" t="s">
        <v>2713</v>
      </c>
      <c r="D1507" t="s">
        <v>496</v>
      </c>
      <c r="E1507" t="s">
        <v>360</v>
      </c>
      <c r="F1507" t="s">
        <v>50</v>
      </c>
      <c r="H1507">
        <v>1</v>
      </c>
      <c r="I1507">
        <f t="shared" si="115"/>
        <v>1</v>
      </c>
      <c r="J1507" s="2">
        <f t="shared" si="116"/>
        <v>0.26900000000000002</v>
      </c>
      <c r="K1507">
        <f t="shared" si="117"/>
        <v>3.7174721189591078</v>
      </c>
      <c r="L1507" t="str">
        <f t="shared" si="118"/>
        <v>Funded</v>
      </c>
      <c r="M1507">
        <f t="shared" si="119"/>
        <v>1.313043899380298</v>
      </c>
    </row>
    <row r="1508" spans="1:13" x14ac:dyDescent="0.25">
      <c r="A1508" t="s">
        <v>3192</v>
      </c>
      <c r="B1508" t="s">
        <v>125</v>
      </c>
      <c r="C1508" t="s">
        <v>1747</v>
      </c>
      <c r="D1508" t="s">
        <v>3193</v>
      </c>
      <c r="E1508" t="s">
        <v>10</v>
      </c>
      <c r="F1508" t="s">
        <v>11</v>
      </c>
      <c r="H1508">
        <v>1</v>
      </c>
      <c r="I1508">
        <f t="shared" si="115"/>
        <v>1</v>
      </c>
      <c r="J1508" s="2">
        <f t="shared" si="116"/>
        <v>0.51900000000000002</v>
      </c>
      <c r="K1508">
        <f t="shared" si="117"/>
        <v>1.9267822736030829</v>
      </c>
      <c r="L1508" t="str">
        <f t="shared" si="118"/>
        <v>Funded</v>
      </c>
      <c r="M1508">
        <f t="shared" si="119"/>
        <v>0.65585139581624841</v>
      </c>
    </row>
    <row r="1509" spans="1:13" x14ac:dyDescent="0.25">
      <c r="A1509" t="s">
        <v>3194</v>
      </c>
      <c r="B1509" t="s">
        <v>125</v>
      </c>
      <c r="C1509" t="s">
        <v>505</v>
      </c>
      <c r="D1509" t="s">
        <v>1818</v>
      </c>
      <c r="E1509" t="s">
        <v>10</v>
      </c>
      <c r="F1509" t="s">
        <v>11</v>
      </c>
      <c r="H1509">
        <v>1</v>
      </c>
      <c r="I1509">
        <f t="shared" si="115"/>
        <v>1</v>
      </c>
      <c r="J1509" s="2">
        <f t="shared" si="116"/>
        <v>0.44800000000000001</v>
      </c>
      <c r="K1509">
        <f t="shared" si="117"/>
        <v>2.2321428571428572</v>
      </c>
      <c r="L1509" t="str">
        <f t="shared" si="118"/>
        <v>Funded</v>
      </c>
      <c r="M1509">
        <f t="shared" si="119"/>
        <v>0.80296204656715187</v>
      </c>
    </row>
    <row r="1510" spans="1:13" x14ac:dyDescent="0.25">
      <c r="A1510" t="s">
        <v>3195</v>
      </c>
      <c r="B1510" t="s">
        <v>125</v>
      </c>
      <c r="C1510" t="s">
        <v>2832</v>
      </c>
      <c r="D1510" t="s">
        <v>3196</v>
      </c>
      <c r="E1510" t="s">
        <v>10</v>
      </c>
      <c r="F1510" t="s">
        <v>11</v>
      </c>
      <c r="H1510">
        <v>1</v>
      </c>
      <c r="I1510">
        <f t="shared" si="115"/>
        <v>1</v>
      </c>
      <c r="J1510" s="2">
        <f t="shared" si="116"/>
        <v>0.26300000000000001</v>
      </c>
      <c r="K1510">
        <f t="shared" si="117"/>
        <v>3.8022813688212924</v>
      </c>
      <c r="L1510" t="str">
        <f t="shared" si="118"/>
        <v>Funded</v>
      </c>
      <c r="M1510">
        <f t="shared" si="119"/>
        <v>1.3356012468043723</v>
      </c>
    </row>
    <row r="1511" spans="1:13" x14ac:dyDescent="0.25">
      <c r="A1511" t="s">
        <v>3197</v>
      </c>
      <c r="B1511" t="s">
        <v>125</v>
      </c>
      <c r="C1511" t="s">
        <v>645</v>
      </c>
      <c r="D1511" t="s">
        <v>3198</v>
      </c>
      <c r="E1511" t="s">
        <v>44</v>
      </c>
      <c r="F1511" t="s">
        <v>21</v>
      </c>
      <c r="H1511">
        <v>1</v>
      </c>
      <c r="I1511">
        <f t="shared" si="115"/>
        <v>1</v>
      </c>
      <c r="J1511" s="2">
        <f t="shared" si="116"/>
        <v>0.2</v>
      </c>
      <c r="K1511">
        <f t="shared" si="117"/>
        <v>5</v>
      </c>
      <c r="L1511" t="str">
        <f t="shared" si="118"/>
        <v>Funded</v>
      </c>
      <c r="M1511">
        <f t="shared" si="119"/>
        <v>1.6094379124341003</v>
      </c>
    </row>
    <row r="1512" spans="1:13" x14ac:dyDescent="0.25">
      <c r="A1512" t="s">
        <v>3199</v>
      </c>
      <c r="B1512" t="s">
        <v>125</v>
      </c>
      <c r="C1512" t="s">
        <v>125</v>
      </c>
      <c r="D1512" t="s">
        <v>130</v>
      </c>
      <c r="E1512" t="s">
        <v>49</v>
      </c>
      <c r="F1512" t="s">
        <v>50</v>
      </c>
      <c r="H1512">
        <v>1</v>
      </c>
      <c r="I1512">
        <f t="shared" si="115"/>
        <v>1</v>
      </c>
      <c r="J1512" s="2">
        <f t="shared" si="116"/>
        <v>1</v>
      </c>
      <c r="K1512">
        <f t="shared" si="117"/>
        <v>1</v>
      </c>
      <c r="L1512" t="str">
        <f t="shared" si="118"/>
        <v>Funded</v>
      </c>
      <c r="M1512">
        <f t="shared" si="119"/>
        <v>0</v>
      </c>
    </row>
    <row r="1513" spans="1:13" x14ac:dyDescent="0.25">
      <c r="A1513" t="s">
        <v>3200</v>
      </c>
      <c r="B1513" t="s">
        <v>125</v>
      </c>
      <c r="C1513" t="s">
        <v>1891</v>
      </c>
      <c r="D1513" t="s">
        <v>79</v>
      </c>
      <c r="E1513" t="s">
        <v>49</v>
      </c>
      <c r="F1513" t="s">
        <v>50</v>
      </c>
      <c r="H1513">
        <v>1</v>
      </c>
      <c r="I1513">
        <f t="shared" si="115"/>
        <v>1</v>
      </c>
      <c r="J1513" s="2">
        <f t="shared" si="116"/>
        <v>0.23599999999999999</v>
      </c>
      <c r="K1513">
        <f t="shared" si="117"/>
        <v>4.2372881355932206</v>
      </c>
      <c r="L1513" t="str">
        <f t="shared" si="118"/>
        <v>Funded</v>
      </c>
      <c r="M1513">
        <f t="shared" si="119"/>
        <v>1.443923473956527</v>
      </c>
    </row>
    <row r="1514" spans="1:13" x14ac:dyDescent="0.25">
      <c r="A1514" t="s">
        <v>3201</v>
      </c>
      <c r="B1514" t="s">
        <v>125</v>
      </c>
      <c r="C1514" t="s">
        <v>541</v>
      </c>
      <c r="D1514" t="s">
        <v>3202</v>
      </c>
      <c r="E1514" t="s">
        <v>10</v>
      </c>
      <c r="F1514" t="s">
        <v>11</v>
      </c>
      <c r="H1514">
        <v>1</v>
      </c>
      <c r="I1514">
        <f t="shared" si="115"/>
        <v>1</v>
      </c>
      <c r="J1514" s="2">
        <f t="shared" si="116"/>
        <v>0.42599999999999999</v>
      </c>
      <c r="K1514">
        <f t="shared" si="117"/>
        <v>2.347417840375587</v>
      </c>
      <c r="L1514" t="str">
        <f t="shared" si="118"/>
        <v>Funded</v>
      </c>
      <c r="M1514">
        <f t="shared" si="119"/>
        <v>0.85331593271276673</v>
      </c>
    </row>
    <row r="1515" spans="1:13" x14ac:dyDescent="0.25">
      <c r="A1515" t="s">
        <v>3203</v>
      </c>
      <c r="B1515" t="s">
        <v>125</v>
      </c>
      <c r="C1515" t="s">
        <v>613</v>
      </c>
      <c r="D1515" t="s">
        <v>376</v>
      </c>
      <c r="E1515" t="s">
        <v>10</v>
      </c>
      <c r="F1515" t="s">
        <v>11</v>
      </c>
      <c r="H1515">
        <v>1</v>
      </c>
      <c r="I1515">
        <f t="shared" si="115"/>
        <v>1</v>
      </c>
      <c r="J1515" s="2">
        <f t="shared" si="116"/>
        <v>0.31</v>
      </c>
      <c r="K1515">
        <f t="shared" si="117"/>
        <v>3.2258064516129035</v>
      </c>
      <c r="L1515" t="str">
        <f t="shared" si="118"/>
        <v>Funded</v>
      </c>
      <c r="M1515">
        <f t="shared" si="119"/>
        <v>1.1711829815029453</v>
      </c>
    </row>
    <row r="1516" spans="1:13" x14ac:dyDescent="0.25">
      <c r="A1516" t="s">
        <v>3204</v>
      </c>
      <c r="B1516" t="s">
        <v>125</v>
      </c>
      <c r="C1516" t="s">
        <v>3205</v>
      </c>
      <c r="D1516" t="s">
        <v>3206</v>
      </c>
      <c r="E1516" t="s">
        <v>10</v>
      </c>
      <c r="F1516" t="s">
        <v>11</v>
      </c>
      <c r="H1516">
        <v>1</v>
      </c>
      <c r="I1516">
        <f t="shared" si="115"/>
        <v>1</v>
      </c>
      <c r="J1516" s="2">
        <f t="shared" si="116"/>
        <v>0.66600000000000004</v>
      </c>
      <c r="K1516">
        <f t="shared" si="117"/>
        <v>1.5015015015015014</v>
      </c>
      <c r="L1516" t="str">
        <f t="shared" si="118"/>
        <v>Funded</v>
      </c>
      <c r="M1516">
        <f t="shared" si="119"/>
        <v>0.40646560844174784</v>
      </c>
    </row>
    <row r="1517" spans="1:13" x14ac:dyDescent="0.25">
      <c r="A1517" t="s">
        <v>3207</v>
      </c>
      <c r="B1517" t="s">
        <v>125</v>
      </c>
      <c r="C1517" t="s">
        <v>785</v>
      </c>
      <c r="D1517" t="s">
        <v>159</v>
      </c>
      <c r="E1517" t="s">
        <v>10</v>
      </c>
      <c r="F1517" t="s">
        <v>11</v>
      </c>
      <c r="H1517">
        <v>1</v>
      </c>
      <c r="I1517">
        <f t="shared" si="115"/>
        <v>1</v>
      </c>
      <c r="J1517" s="2">
        <f t="shared" si="116"/>
        <v>0.25</v>
      </c>
      <c r="K1517">
        <f t="shared" si="117"/>
        <v>4</v>
      </c>
      <c r="L1517" t="str">
        <f t="shared" si="118"/>
        <v>Funded</v>
      </c>
      <c r="M1517">
        <f t="shared" si="119"/>
        <v>1.3862943611198906</v>
      </c>
    </row>
    <row r="1518" spans="1:13" x14ac:dyDescent="0.25">
      <c r="A1518" t="s">
        <v>3208</v>
      </c>
      <c r="B1518" t="s">
        <v>125</v>
      </c>
      <c r="C1518" t="s">
        <v>125</v>
      </c>
      <c r="D1518" t="s">
        <v>2792</v>
      </c>
      <c r="E1518" t="s">
        <v>10</v>
      </c>
      <c r="F1518" t="s">
        <v>11</v>
      </c>
      <c r="H1518">
        <v>1</v>
      </c>
      <c r="I1518">
        <f t="shared" si="115"/>
        <v>1</v>
      </c>
      <c r="J1518" s="2">
        <f t="shared" si="116"/>
        <v>1</v>
      </c>
      <c r="K1518">
        <f t="shared" si="117"/>
        <v>1</v>
      </c>
      <c r="L1518" t="str">
        <f t="shared" si="118"/>
        <v>Funded</v>
      </c>
      <c r="M1518">
        <f t="shared" si="119"/>
        <v>0</v>
      </c>
    </row>
    <row r="1519" spans="1:13" x14ac:dyDescent="0.25">
      <c r="A1519" t="s">
        <v>3209</v>
      </c>
      <c r="B1519" t="s">
        <v>125</v>
      </c>
      <c r="C1519" t="s">
        <v>1382</v>
      </c>
      <c r="D1519" t="s">
        <v>3210</v>
      </c>
      <c r="E1519" t="s">
        <v>10</v>
      </c>
      <c r="F1519" t="s">
        <v>11</v>
      </c>
      <c r="H1519">
        <v>1</v>
      </c>
      <c r="I1519">
        <f t="shared" si="115"/>
        <v>1</v>
      </c>
      <c r="J1519" s="2">
        <f t="shared" si="116"/>
        <v>0.52</v>
      </c>
      <c r="K1519">
        <f t="shared" si="117"/>
        <v>1.9230769230769229</v>
      </c>
      <c r="L1519" t="str">
        <f t="shared" si="118"/>
        <v>Funded</v>
      </c>
      <c r="M1519">
        <f t="shared" si="119"/>
        <v>0.65392646740666394</v>
      </c>
    </row>
    <row r="1520" spans="1:13" x14ac:dyDescent="0.25">
      <c r="A1520" t="s">
        <v>3211</v>
      </c>
      <c r="B1520" t="s">
        <v>125</v>
      </c>
      <c r="C1520" t="s">
        <v>2675</v>
      </c>
      <c r="D1520" t="s">
        <v>254</v>
      </c>
      <c r="E1520" t="s">
        <v>49</v>
      </c>
      <c r="F1520" t="s">
        <v>50</v>
      </c>
      <c r="H1520">
        <v>1</v>
      </c>
      <c r="I1520">
        <f t="shared" si="115"/>
        <v>1</v>
      </c>
      <c r="J1520" s="2">
        <f t="shared" si="116"/>
        <v>0.185</v>
      </c>
      <c r="K1520">
        <f t="shared" si="117"/>
        <v>5.4054054054054053</v>
      </c>
      <c r="L1520" t="str">
        <f t="shared" si="118"/>
        <v>Funded</v>
      </c>
      <c r="M1520">
        <f t="shared" si="119"/>
        <v>1.6873994539038122</v>
      </c>
    </row>
    <row r="1521" spans="1:13" x14ac:dyDescent="0.25">
      <c r="A1521" t="s">
        <v>3212</v>
      </c>
      <c r="B1521" t="s">
        <v>125</v>
      </c>
      <c r="C1521" t="s">
        <v>3213</v>
      </c>
      <c r="D1521" t="s">
        <v>3214</v>
      </c>
      <c r="E1521" t="s">
        <v>49</v>
      </c>
      <c r="F1521" t="s">
        <v>50</v>
      </c>
      <c r="H1521">
        <v>1</v>
      </c>
      <c r="I1521">
        <f t="shared" si="115"/>
        <v>1</v>
      </c>
      <c r="J1521" s="2">
        <f t="shared" si="116"/>
        <v>0.46300000000000002</v>
      </c>
      <c r="K1521">
        <f t="shared" si="117"/>
        <v>2.159827213822894</v>
      </c>
      <c r="L1521" t="str">
        <f t="shared" si="118"/>
        <v>Funded</v>
      </c>
      <c r="M1521">
        <f t="shared" si="119"/>
        <v>0.77002822489590295</v>
      </c>
    </row>
    <row r="1522" spans="1:13" x14ac:dyDescent="0.25">
      <c r="A1522" t="s">
        <v>3215</v>
      </c>
      <c r="B1522" t="s">
        <v>125</v>
      </c>
      <c r="C1522" t="s">
        <v>1244</v>
      </c>
      <c r="D1522" t="s">
        <v>3216</v>
      </c>
      <c r="E1522" t="s">
        <v>10</v>
      </c>
      <c r="F1522" t="s">
        <v>11</v>
      </c>
      <c r="H1522">
        <v>1</v>
      </c>
      <c r="I1522">
        <f t="shared" si="115"/>
        <v>1</v>
      </c>
      <c r="J1522" s="2">
        <f t="shared" si="116"/>
        <v>0.46500000000000002</v>
      </c>
      <c r="K1522">
        <f t="shared" si="117"/>
        <v>2.150537634408602</v>
      </c>
      <c r="L1522" t="str">
        <f t="shared" si="118"/>
        <v>Funded</v>
      </c>
      <c r="M1522">
        <f t="shared" si="119"/>
        <v>0.7657178733947807</v>
      </c>
    </row>
    <row r="1523" spans="1:13" x14ac:dyDescent="0.25">
      <c r="A1523" t="s">
        <v>3217</v>
      </c>
      <c r="B1523" t="s">
        <v>125</v>
      </c>
      <c r="C1523" t="s">
        <v>878</v>
      </c>
      <c r="D1523" t="s">
        <v>496</v>
      </c>
      <c r="E1523" t="s">
        <v>10</v>
      </c>
      <c r="F1523" t="s">
        <v>11</v>
      </c>
      <c r="H1523">
        <v>1</v>
      </c>
      <c r="I1523">
        <f t="shared" si="115"/>
        <v>1</v>
      </c>
      <c r="J1523" s="2">
        <f t="shared" si="116"/>
        <v>0.157</v>
      </c>
      <c r="K1523">
        <f t="shared" si="117"/>
        <v>6.369426751592357</v>
      </c>
      <c r="L1523" t="str">
        <f t="shared" si="118"/>
        <v>Funded</v>
      </c>
      <c r="M1523">
        <f t="shared" si="119"/>
        <v>1.8515094736338291</v>
      </c>
    </row>
    <row r="1524" spans="1:13" x14ac:dyDescent="0.25">
      <c r="A1524" t="s">
        <v>3218</v>
      </c>
      <c r="B1524" t="s">
        <v>125</v>
      </c>
      <c r="C1524" t="s">
        <v>645</v>
      </c>
      <c r="D1524" t="s">
        <v>3219</v>
      </c>
      <c r="E1524" t="s">
        <v>10</v>
      </c>
      <c r="F1524" t="s">
        <v>11</v>
      </c>
      <c r="H1524">
        <v>1</v>
      </c>
      <c r="I1524">
        <f t="shared" si="115"/>
        <v>1</v>
      </c>
      <c r="J1524" s="2">
        <f t="shared" si="116"/>
        <v>0.2</v>
      </c>
      <c r="K1524">
        <f t="shared" si="117"/>
        <v>5</v>
      </c>
      <c r="L1524" t="str">
        <f t="shared" si="118"/>
        <v>Funded</v>
      </c>
      <c r="M1524">
        <f t="shared" si="119"/>
        <v>1.6094379124341003</v>
      </c>
    </row>
    <row r="1525" spans="1:13" x14ac:dyDescent="0.25">
      <c r="A1525" t="s">
        <v>3220</v>
      </c>
      <c r="B1525" t="s">
        <v>125</v>
      </c>
      <c r="C1525" t="s">
        <v>792</v>
      </c>
      <c r="D1525" t="s">
        <v>3221</v>
      </c>
      <c r="E1525" t="s">
        <v>1172</v>
      </c>
      <c r="F1525" t="s">
        <v>21</v>
      </c>
      <c r="H1525">
        <v>1</v>
      </c>
      <c r="I1525">
        <f t="shared" si="115"/>
        <v>1</v>
      </c>
      <c r="J1525" s="2">
        <f t="shared" si="116"/>
        <v>0.53500000000000003</v>
      </c>
      <c r="K1525">
        <f t="shared" si="117"/>
        <v>1.8691588785046729</v>
      </c>
      <c r="L1525" t="str">
        <f t="shared" si="118"/>
        <v>Funded</v>
      </c>
      <c r="M1525">
        <f t="shared" si="119"/>
        <v>0.62548853208613053</v>
      </c>
    </row>
    <row r="1526" spans="1:13" x14ac:dyDescent="0.25">
      <c r="A1526" t="s">
        <v>3222</v>
      </c>
      <c r="B1526" t="s">
        <v>125</v>
      </c>
      <c r="C1526" t="s">
        <v>3126</v>
      </c>
      <c r="D1526" t="s">
        <v>1642</v>
      </c>
      <c r="E1526" t="s">
        <v>10</v>
      </c>
      <c r="F1526" t="s">
        <v>11</v>
      </c>
      <c r="H1526">
        <v>1</v>
      </c>
      <c r="I1526">
        <f t="shared" si="115"/>
        <v>1</v>
      </c>
      <c r="J1526" s="2">
        <f t="shared" si="116"/>
        <v>4.4999999999999998E-2</v>
      </c>
      <c r="K1526">
        <f t="shared" si="117"/>
        <v>22.222222222222221</v>
      </c>
      <c r="L1526" t="str">
        <f t="shared" si="118"/>
        <v>Funded</v>
      </c>
      <c r="M1526">
        <f t="shared" si="119"/>
        <v>3.1010927892118172</v>
      </c>
    </row>
    <row r="1527" spans="1:13" x14ac:dyDescent="0.25">
      <c r="A1527" t="s">
        <v>3223</v>
      </c>
      <c r="B1527" t="s">
        <v>125</v>
      </c>
      <c r="C1527" t="s">
        <v>1926</v>
      </c>
      <c r="D1527" t="s">
        <v>3224</v>
      </c>
      <c r="E1527" t="s">
        <v>20</v>
      </c>
      <c r="F1527" t="s">
        <v>21</v>
      </c>
      <c r="H1527">
        <v>1</v>
      </c>
      <c r="I1527">
        <f t="shared" si="115"/>
        <v>1</v>
      </c>
      <c r="J1527" s="2">
        <f t="shared" si="116"/>
        <v>0.27300000000000002</v>
      </c>
      <c r="K1527">
        <f t="shared" si="117"/>
        <v>3.6630036630036629</v>
      </c>
      <c r="L1527" t="str">
        <f t="shared" si="118"/>
        <v>Funded</v>
      </c>
      <c r="M1527">
        <f t="shared" si="119"/>
        <v>1.2982834837971773</v>
      </c>
    </row>
    <row r="1528" spans="1:13" x14ac:dyDescent="0.25">
      <c r="A1528" t="s">
        <v>3225</v>
      </c>
      <c r="B1528" t="s">
        <v>125</v>
      </c>
      <c r="C1528" t="s">
        <v>2037</v>
      </c>
      <c r="D1528" t="s">
        <v>1042</v>
      </c>
      <c r="E1528" t="s">
        <v>10</v>
      </c>
      <c r="F1528" t="s">
        <v>11</v>
      </c>
      <c r="H1528">
        <v>1</v>
      </c>
      <c r="I1528">
        <f t="shared" si="115"/>
        <v>1</v>
      </c>
      <c r="J1528" s="2">
        <f t="shared" si="116"/>
        <v>0.33100000000000002</v>
      </c>
      <c r="K1528">
        <f t="shared" si="117"/>
        <v>3.0211480362537761</v>
      </c>
      <c r="L1528" t="str">
        <f t="shared" si="118"/>
        <v>Funded</v>
      </c>
      <c r="M1528">
        <f t="shared" si="119"/>
        <v>1.1056369036050742</v>
      </c>
    </row>
    <row r="1529" spans="1:13" x14ac:dyDescent="0.25">
      <c r="A1529" t="s">
        <v>3226</v>
      </c>
      <c r="B1529" t="s">
        <v>125</v>
      </c>
      <c r="C1529" t="s">
        <v>1896</v>
      </c>
      <c r="D1529" t="s">
        <v>254</v>
      </c>
      <c r="E1529" t="s">
        <v>10</v>
      </c>
      <c r="F1529" t="s">
        <v>11</v>
      </c>
      <c r="H1529">
        <v>1</v>
      </c>
      <c r="I1529">
        <f t="shared" si="115"/>
        <v>1</v>
      </c>
      <c r="J1529" s="2">
        <f t="shared" si="116"/>
        <v>0.19500000000000001</v>
      </c>
      <c r="K1529">
        <f t="shared" si="117"/>
        <v>5.1282051282051277</v>
      </c>
      <c r="L1529" t="str">
        <f t="shared" si="118"/>
        <v>Funded</v>
      </c>
      <c r="M1529">
        <f t="shared" si="119"/>
        <v>1.6347557204183902</v>
      </c>
    </row>
    <row r="1530" spans="1:13" x14ac:dyDescent="0.25">
      <c r="A1530" t="s">
        <v>3227</v>
      </c>
      <c r="B1530" t="s">
        <v>125</v>
      </c>
      <c r="C1530" t="s">
        <v>770</v>
      </c>
      <c r="D1530" t="s">
        <v>1228</v>
      </c>
      <c r="E1530" t="s">
        <v>44</v>
      </c>
      <c r="F1530" t="s">
        <v>21</v>
      </c>
      <c r="H1530">
        <v>1</v>
      </c>
      <c r="I1530">
        <f t="shared" si="115"/>
        <v>1</v>
      </c>
      <c r="J1530" s="2">
        <f t="shared" si="116"/>
        <v>0.307</v>
      </c>
      <c r="K1530">
        <f t="shared" si="117"/>
        <v>3.2573289902280131</v>
      </c>
      <c r="L1530" t="str">
        <f t="shared" si="118"/>
        <v>Funded</v>
      </c>
      <c r="M1530">
        <f t="shared" si="119"/>
        <v>1.18090753139494</v>
      </c>
    </row>
    <row r="1531" spans="1:13" x14ac:dyDescent="0.25">
      <c r="A1531" t="s">
        <v>3228</v>
      </c>
      <c r="B1531" t="s">
        <v>125</v>
      </c>
      <c r="C1531" t="s">
        <v>1504</v>
      </c>
      <c r="D1531" t="s">
        <v>159</v>
      </c>
      <c r="E1531" t="s">
        <v>10</v>
      </c>
      <c r="F1531" t="s">
        <v>11</v>
      </c>
      <c r="H1531">
        <v>1</v>
      </c>
      <c r="I1531">
        <f t="shared" si="115"/>
        <v>1</v>
      </c>
      <c r="J1531" s="2">
        <f t="shared" si="116"/>
        <v>0.33600000000000002</v>
      </c>
      <c r="K1531">
        <f t="shared" si="117"/>
        <v>2.9761904761904758</v>
      </c>
      <c r="L1531" t="str">
        <f t="shared" si="118"/>
        <v>Funded</v>
      </c>
      <c r="M1531">
        <f t="shared" si="119"/>
        <v>1.0906441190189327</v>
      </c>
    </row>
    <row r="1532" spans="1:13" x14ac:dyDescent="0.25">
      <c r="A1532" t="s">
        <v>3229</v>
      </c>
      <c r="B1532" t="s">
        <v>125</v>
      </c>
      <c r="C1532" t="s">
        <v>1061</v>
      </c>
      <c r="D1532" t="s">
        <v>1183</v>
      </c>
      <c r="E1532" t="s">
        <v>365</v>
      </c>
      <c r="F1532" t="s">
        <v>11</v>
      </c>
      <c r="H1532">
        <v>1</v>
      </c>
      <c r="I1532">
        <f t="shared" si="115"/>
        <v>1</v>
      </c>
      <c r="J1532" s="2">
        <f t="shared" si="116"/>
        <v>0.217</v>
      </c>
      <c r="K1532">
        <f t="shared" si="117"/>
        <v>4.6082949308755765</v>
      </c>
      <c r="L1532" t="str">
        <f t="shared" si="118"/>
        <v>Funded</v>
      </c>
      <c r="M1532">
        <f t="shared" si="119"/>
        <v>1.5278579254416775</v>
      </c>
    </row>
    <row r="1533" spans="1:13" x14ac:dyDescent="0.25">
      <c r="A1533" t="s">
        <v>3230</v>
      </c>
      <c r="B1533" t="s">
        <v>125</v>
      </c>
      <c r="C1533" t="s">
        <v>3231</v>
      </c>
      <c r="D1533" t="s">
        <v>3232</v>
      </c>
      <c r="E1533" t="s">
        <v>10</v>
      </c>
      <c r="F1533" t="s">
        <v>11</v>
      </c>
      <c r="H1533">
        <v>1</v>
      </c>
      <c r="I1533">
        <f t="shared" si="115"/>
        <v>1</v>
      </c>
      <c r="J1533" s="2">
        <f t="shared" si="116"/>
        <v>5.7000000000000002E-2</v>
      </c>
      <c r="K1533">
        <f t="shared" si="117"/>
        <v>17.543859649122805</v>
      </c>
      <c r="L1533" t="str">
        <f t="shared" si="118"/>
        <v>Funded</v>
      </c>
      <c r="M1533">
        <f t="shared" si="119"/>
        <v>2.8647040111475865</v>
      </c>
    </row>
    <row r="1534" spans="1:13" x14ac:dyDescent="0.25">
      <c r="A1534" t="s">
        <v>3233</v>
      </c>
      <c r="B1534" t="s">
        <v>125</v>
      </c>
      <c r="C1534" t="s">
        <v>2930</v>
      </c>
      <c r="D1534" t="s">
        <v>496</v>
      </c>
      <c r="E1534" t="s">
        <v>10</v>
      </c>
      <c r="F1534" t="s">
        <v>11</v>
      </c>
      <c r="H1534">
        <v>1</v>
      </c>
      <c r="I1534">
        <f t="shared" si="115"/>
        <v>1</v>
      </c>
      <c r="J1534" s="2">
        <f t="shared" si="116"/>
        <v>0.27500000000000002</v>
      </c>
      <c r="K1534">
        <f t="shared" si="117"/>
        <v>3.6363636363636362</v>
      </c>
      <c r="L1534" t="str">
        <f t="shared" si="118"/>
        <v>Funded</v>
      </c>
      <c r="M1534">
        <f t="shared" si="119"/>
        <v>1.2909841813155658</v>
      </c>
    </row>
    <row r="1535" spans="1:13" x14ac:dyDescent="0.25">
      <c r="A1535" t="s">
        <v>3234</v>
      </c>
      <c r="B1535" t="s">
        <v>125</v>
      </c>
      <c r="C1535" t="s">
        <v>478</v>
      </c>
      <c r="D1535" t="s">
        <v>3235</v>
      </c>
      <c r="E1535" t="s">
        <v>10</v>
      </c>
      <c r="F1535" t="s">
        <v>11</v>
      </c>
      <c r="H1535">
        <v>1</v>
      </c>
      <c r="I1535">
        <f t="shared" si="115"/>
        <v>1</v>
      </c>
      <c r="J1535" s="2">
        <f t="shared" si="116"/>
        <v>0.91</v>
      </c>
      <c r="K1535">
        <f t="shared" si="117"/>
        <v>1.0989010989010988</v>
      </c>
      <c r="L1535" t="str">
        <f t="shared" si="118"/>
        <v>Funded</v>
      </c>
      <c r="M1535">
        <f t="shared" si="119"/>
        <v>9.4310679471241207E-2</v>
      </c>
    </row>
    <row r="1536" spans="1:13" x14ac:dyDescent="0.25">
      <c r="A1536" t="s">
        <v>3236</v>
      </c>
      <c r="B1536" t="s">
        <v>125</v>
      </c>
      <c r="C1536" t="s">
        <v>3237</v>
      </c>
      <c r="D1536" t="s">
        <v>254</v>
      </c>
      <c r="E1536" t="s">
        <v>10</v>
      </c>
      <c r="F1536" t="s">
        <v>11</v>
      </c>
      <c r="H1536">
        <v>1</v>
      </c>
      <c r="I1536">
        <f t="shared" si="115"/>
        <v>1</v>
      </c>
      <c r="J1536" s="2">
        <f t="shared" si="116"/>
        <v>1.6E-2</v>
      </c>
      <c r="K1536">
        <f t="shared" si="117"/>
        <v>62.5</v>
      </c>
      <c r="L1536" t="str">
        <f t="shared" si="118"/>
        <v>Funded</v>
      </c>
      <c r="M1536">
        <f t="shared" si="119"/>
        <v>4.1351665567423561</v>
      </c>
    </row>
    <row r="1537" spans="1:13" x14ac:dyDescent="0.25">
      <c r="A1537" t="s">
        <v>3238</v>
      </c>
      <c r="B1537" t="s">
        <v>125</v>
      </c>
      <c r="C1537" t="s">
        <v>2012</v>
      </c>
      <c r="D1537" t="s">
        <v>66</v>
      </c>
      <c r="E1537" t="s">
        <v>10</v>
      </c>
      <c r="F1537" t="s">
        <v>11</v>
      </c>
      <c r="H1537">
        <v>1</v>
      </c>
      <c r="I1537">
        <f t="shared" si="115"/>
        <v>1</v>
      </c>
      <c r="J1537" s="2">
        <f t="shared" si="116"/>
        <v>0.18099999999999999</v>
      </c>
      <c r="K1537">
        <f t="shared" si="117"/>
        <v>5.5248618784530388</v>
      </c>
      <c r="L1537" t="str">
        <f t="shared" si="118"/>
        <v>Funded</v>
      </c>
      <c r="M1537">
        <f t="shared" si="119"/>
        <v>1.7092582477163114</v>
      </c>
    </row>
    <row r="1538" spans="1:13" x14ac:dyDescent="0.25">
      <c r="A1538" t="s">
        <v>3239</v>
      </c>
      <c r="B1538" t="s">
        <v>125</v>
      </c>
      <c r="C1538" t="s">
        <v>3240</v>
      </c>
      <c r="D1538" t="s">
        <v>3241</v>
      </c>
      <c r="E1538" t="s">
        <v>10</v>
      </c>
      <c r="F1538" t="s">
        <v>11</v>
      </c>
      <c r="H1538">
        <v>1</v>
      </c>
      <c r="I1538">
        <f t="shared" si="115"/>
        <v>1</v>
      </c>
      <c r="J1538" s="2">
        <f t="shared" si="116"/>
        <v>0.187</v>
      </c>
      <c r="K1538">
        <f t="shared" si="117"/>
        <v>5.3475935828877006</v>
      </c>
      <c r="L1538" t="str">
        <f t="shared" si="118"/>
        <v>Funded</v>
      </c>
      <c r="M1538">
        <f t="shared" si="119"/>
        <v>1.6766466621275504</v>
      </c>
    </row>
    <row r="1539" spans="1:13" x14ac:dyDescent="0.25">
      <c r="A1539" t="s">
        <v>3242</v>
      </c>
      <c r="B1539" t="s">
        <v>125</v>
      </c>
      <c r="C1539" t="s">
        <v>1377</v>
      </c>
      <c r="D1539" t="s">
        <v>3243</v>
      </c>
      <c r="E1539" t="s">
        <v>187</v>
      </c>
      <c r="F1539" t="s">
        <v>50</v>
      </c>
      <c r="H1539">
        <v>1</v>
      </c>
      <c r="I1539">
        <f t="shared" ref="I1539:I1602" si="120">IF(B1539="","",
VALUE(SUBSTITUTE(SUBSTITUTE(B1539,"$",""),"B","")))</f>
        <v>1</v>
      </c>
      <c r="J1539" s="2">
        <f t="shared" ref="J1539:J1602" si="121">IF(C1539="","",
IF(C1539="$0",0,
IF(RIGHT(C1539,1)="B",
VALUE(SUBSTITUTE(SUBSTITUTE(C1539,"$",""),"B","")),
IF(RIGHT(C1539,1)="M",
VALUE(SUBSTITUTE(SUBSTITUTE(C1539,"$",""),"M",""))/1000,
IF(RIGHT(C1539,1)="K",
VALUE(SUBSTITUTE(SUBSTITUTE(C1539,"$",""),"K",""))/1000000,
VALUE(SUBSTITUTE(C1539,"$",""))
)))))</f>
        <v>0.13400000000000001</v>
      </c>
      <c r="K1539">
        <f t="shared" ref="K1539:K1602" si="122">IF(J1539&gt;0,I1539/J1539,"")</f>
        <v>7.4626865671641784</v>
      </c>
      <c r="L1539" t="str">
        <f t="shared" ref="L1539:L1602" si="123">IF(J1539=0,"Bootstrapped","Funded")</f>
        <v>Funded</v>
      </c>
      <c r="M1539">
        <f t="shared" ref="M1539:M1602" si="124">IF(AND(I1539&gt;0,J1539&gt;0),LN(I1539/J1539),"")</f>
        <v>2.0099154790312257</v>
      </c>
    </row>
    <row r="1540" spans="1:13" x14ac:dyDescent="0.25">
      <c r="A1540" t="s">
        <v>3244</v>
      </c>
      <c r="B1540" t="s">
        <v>125</v>
      </c>
      <c r="C1540" t="s">
        <v>81</v>
      </c>
      <c r="D1540" t="s">
        <v>57</v>
      </c>
      <c r="E1540" t="s">
        <v>10</v>
      </c>
      <c r="F1540" t="s">
        <v>11</v>
      </c>
      <c r="H1540">
        <v>1</v>
      </c>
      <c r="I1540">
        <f t="shared" si="120"/>
        <v>1</v>
      </c>
      <c r="J1540" s="2">
        <f t="shared" si="121"/>
        <v>3</v>
      </c>
      <c r="K1540">
        <f t="shared" si="122"/>
        <v>0.33333333333333331</v>
      </c>
      <c r="L1540" t="str">
        <f t="shared" si="123"/>
        <v>Funded</v>
      </c>
      <c r="M1540">
        <f t="shared" si="124"/>
        <v>-1.0986122886681098</v>
      </c>
    </row>
    <row r="1541" spans="1:13" x14ac:dyDescent="0.25">
      <c r="A1541" t="s">
        <v>3245</v>
      </c>
      <c r="B1541" t="s">
        <v>125</v>
      </c>
      <c r="C1541" t="s">
        <v>650</v>
      </c>
      <c r="D1541" t="s">
        <v>2918</v>
      </c>
      <c r="E1541" t="s">
        <v>10</v>
      </c>
      <c r="F1541" t="s">
        <v>11</v>
      </c>
      <c r="H1541">
        <v>1</v>
      </c>
      <c r="I1541">
        <f t="shared" si="120"/>
        <v>1</v>
      </c>
      <c r="J1541" s="2">
        <f t="shared" si="121"/>
        <v>0.45700000000000002</v>
      </c>
      <c r="K1541">
        <f t="shared" si="122"/>
        <v>2.1881838074398248</v>
      </c>
      <c r="L1541" t="str">
        <f t="shared" si="123"/>
        <v>Funded</v>
      </c>
      <c r="M1541">
        <f t="shared" si="124"/>
        <v>0.78307188808793227</v>
      </c>
    </row>
    <row r="1542" spans="1:13" x14ac:dyDescent="0.25">
      <c r="A1542" t="s">
        <v>3246</v>
      </c>
      <c r="B1542" t="s">
        <v>125</v>
      </c>
      <c r="C1542" t="s">
        <v>2240</v>
      </c>
      <c r="D1542" t="s">
        <v>3247</v>
      </c>
      <c r="E1542" t="s">
        <v>554</v>
      </c>
      <c r="F1542" t="s">
        <v>526</v>
      </c>
      <c r="H1542">
        <v>1</v>
      </c>
      <c r="I1542">
        <f t="shared" si="120"/>
        <v>1</v>
      </c>
      <c r="J1542" s="2">
        <f t="shared" si="121"/>
        <v>0.502</v>
      </c>
      <c r="K1542">
        <f t="shared" si="122"/>
        <v>1.9920318725099602</v>
      </c>
      <c r="L1542" t="str">
        <f t="shared" si="123"/>
        <v>Funded</v>
      </c>
      <c r="M1542">
        <f t="shared" si="124"/>
        <v>0.68915515929040783</v>
      </c>
    </row>
    <row r="1543" spans="1:13" x14ac:dyDescent="0.25">
      <c r="A1543" t="s">
        <v>3248</v>
      </c>
      <c r="B1543" t="s">
        <v>125</v>
      </c>
      <c r="C1543" t="s">
        <v>3213</v>
      </c>
      <c r="D1543" t="s">
        <v>254</v>
      </c>
      <c r="E1543" t="s">
        <v>10</v>
      </c>
      <c r="F1543" t="s">
        <v>11</v>
      </c>
      <c r="H1543">
        <v>1</v>
      </c>
      <c r="I1543">
        <f t="shared" si="120"/>
        <v>1</v>
      </c>
      <c r="J1543" s="2">
        <f t="shared" si="121"/>
        <v>0.46300000000000002</v>
      </c>
      <c r="K1543">
        <f t="shared" si="122"/>
        <v>2.159827213822894</v>
      </c>
      <c r="L1543" t="str">
        <f t="shared" si="123"/>
        <v>Funded</v>
      </c>
      <c r="M1543">
        <f t="shared" si="124"/>
        <v>0.77002822489590295</v>
      </c>
    </row>
    <row r="1544" spans="1:13" x14ac:dyDescent="0.25">
      <c r="A1544" t="s">
        <v>3249</v>
      </c>
      <c r="B1544" t="s">
        <v>125</v>
      </c>
      <c r="C1544" t="s">
        <v>2683</v>
      </c>
      <c r="D1544" t="s">
        <v>254</v>
      </c>
      <c r="E1544" t="s">
        <v>10</v>
      </c>
      <c r="F1544" t="s">
        <v>11</v>
      </c>
      <c r="H1544">
        <v>1</v>
      </c>
      <c r="I1544">
        <f t="shared" si="120"/>
        <v>1</v>
      </c>
      <c r="J1544" s="2">
        <f t="shared" si="121"/>
        <v>0.23899999999999999</v>
      </c>
      <c r="K1544">
        <f t="shared" si="122"/>
        <v>4.1841004184100417</v>
      </c>
      <c r="L1544" t="str">
        <f t="shared" si="123"/>
        <v>Funded</v>
      </c>
      <c r="M1544">
        <f t="shared" si="124"/>
        <v>1.4312917270506262</v>
      </c>
    </row>
    <row r="1545" spans="1:13" x14ac:dyDescent="0.25">
      <c r="A1545" t="s">
        <v>3250</v>
      </c>
      <c r="B1545" t="s">
        <v>125</v>
      </c>
      <c r="C1545" t="s">
        <v>47</v>
      </c>
      <c r="D1545" t="s">
        <v>1434</v>
      </c>
      <c r="E1545" t="s">
        <v>10</v>
      </c>
      <c r="F1545" t="s">
        <v>11</v>
      </c>
      <c r="H1545">
        <v>1</v>
      </c>
      <c r="I1545">
        <f t="shared" si="120"/>
        <v>1</v>
      </c>
      <c r="J1545" s="2">
        <f t="shared" si="121"/>
        <v>2</v>
      </c>
      <c r="K1545">
        <f t="shared" si="122"/>
        <v>0.5</v>
      </c>
      <c r="L1545" t="str">
        <f t="shared" si="123"/>
        <v>Funded</v>
      </c>
      <c r="M1545">
        <f t="shared" si="124"/>
        <v>-0.69314718055994529</v>
      </c>
    </row>
    <row r="1546" spans="1:13" x14ac:dyDescent="0.25">
      <c r="A1546" t="s">
        <v>3251</v>
      </c>
      <c r="B1546" t="s">
        <v>125</v>
      </c>
      <c r="C1546" t="s">
        <v>2010</v>
      </c>
      <c r="D1546" t="s">
        <v>3252</v>
      </c>
      <c r="E1546" t="s">
        <v>10</v>
      </c>
      <c r="F1546" t="s">
        <v>11</v>
      </c>
      <c r="H1546">
        <v>1</v>
      </c>
      <c r="I1546">
        <f t="shared" si="120"/>
        <v>1</v>
      </c>
      <c r="J1546" s="2">
        <f t="shared" si="121"/>
        <v>0.38100000000000001</v>
      </c>
      <c r="K1546">
        <f t="shared" si="122"/>
        <v>2.6246719160104988</v>
      </c>
      <c r="L1546" t="str">
        <f t="shared" si="123"/>
        <v>Funded</v>
      </c>
      <c r="M1546">
        <f t="shared" si="124"/>
        <v>0.96495590385543617</v>
      </c>
    </row>
    <row r="1547" spans="1:13" x14ac:dyDescent="0.25">
      <c r="A1547" t="s">
        <v>3253</v>
      </c>
      <c r="B1547" t="s">
        <v>125</v>
      </c>
      <c r="C1547" t="s">
        <v>2034</v>
      </c>
      <c r="D1547" t="s">
        <v>1186</v>
      </c>
      <c r="E1547" t="s">
        <v>1172</v>
      </c>
      <c r="F1547" t="s">
        <v>21</v>
      </c>
      <c r="H1547">
        <v>1</v>
      </c>
      <c r="I1547">
        <f t="shared" si="120"/>
        <v>1</v>
      </c>
      <c r="J1547" s="2">
        <f t="shared" si="121"/>
        <v>0.245</v>
      </c>
      <c r="K1547">
        <f t="shared" si="122"/>
        <v>4.0816326530612246</v>
      </c>
      <c r="L1547" t="str">
        <f t="shared" si="123"/>
        <v>Funded</v>
      </c>
      <c r="M1547">
        <f t="shared" si="124"/>
        <v>1.4064970684374101</v>
      </c>
    </row>
    <row r="1548" spans="1:13" x14ac:dyDescent="0.25">
      <c r="A1548" t="s">
        <v>3254</v>
      </c>
      <c r="B1548" t="s">
        <v>125</v>
      </c>
      <c r="C1548" t="s">
        <v>780</v>
      </c>
      <c r="D1548" t="s">
        <v>3255</v>
      </c>
      <c r="E1548" t="s">
        <v>10</v>
      </c>
      <c r="F1548" t="s">
        <v>11</v>
      </c>
      <c r="H1548">
        <v>1</v>
      </c>
      <c r="I1548">
        <f t="shared" si="120"/>
        <v>1</v>
      </c>
      <c r="J1548" s="2">
        <f t="shared" si="121"/>
        <v>0.45</v>
      </c>
      <c r="K1548">
        <f t="shared" si="122"/>
        <v>2.2222222222222223</v>
      </c>
      <c r="L1548" t="str">
        <f t="shared" si="123"/>
        <v>Funded</v>
      </c>
      <c r="M1548">
        <f t="shared" si="124"/>
        <v>0.79850769621777162</v>
      </c>
    </row>
    <row r="1549" spans="1:13" x14ac:dyDescent="0.25">
      <c r="A1549" t="s">
        <v>1695</v>
      </c>
      <c r="B1549" t="s">
        <v>125</v>
      </c>
      <c r="C1549" t="s">
        <v>47</v>
      </c>
      <c r="D1549" t="s">
        <v>3256</v>
      </c>
      <c r="E1549" t="s">
        <v>3257</v>
      </c>
      <c r="F1549" t="s">
        <v>50</v>
      </c>
      <c r="H1549">
        <v>1</v>
      </c>
      <c r="I1549">
        <f t="shared" si="120"/>
        <v>1</v>
      </c>
      <c r="J1549" s="2">
        <f t="shared" si="121"/>
        <v>2</v>
      </c>
      <c r="K1549">
        <f t="shared" si="122"/>
        <v>0.5</v>
      </c>
      <c r="L1549" t="str">
        <f t="shared" si="123"/>
        <v>Funded</v>
      </c>
      <c r="M1549">
        <f t="shared" si="124"/>
        <v>-0.69314718055994529</v>
      </c>
    </row>
    <row r="1550" spans="1:13" x14ac:dyDescent="0.25">
      <c r="A1550" t="s">
        <v>3258</v>
      </c>
      <c r="B1550" t="s">
        <v>125</v>
      </c>
      <c r="C1550" t="s">
        <v>1926</v>
      </c>
      <c r="D1550" t="s">
        <v>1053</v>
      </c>
      <c r="E1550" t="s">
        <v>652</v>
      </c>
      <c r="F1550" t="s">
        <v>50</v>
      </c>
      <c r="H1550">
        <v>1</v>
      </c>
      <c r="I1550">
        <f t="shared" si="120"/>
        <v>1</v>
      </c>
      <c r="J1550" s="2">
        <f t="shared" si="121"/>
        <v>0.27300000000000002</v>
      </c>
      <c r="K1550">
        <f t="shared" si="122"/>
        <v>3.6630036630036629</v>
      </c>
      <c r="L1550" t="str">
        <f t="shared" si="123"/>
        <v>Funded</v>
      </c>
      <c r="M1550">
        <f t="shared" si="124"/>
        <v>1.2982834837971773</v>
      </c>
    </row>
    <row r="1551" spans="1:13" x14ac:dyDescent="0.25">
      <c r="A1551" t="s">
        <v>3259</v>
      </c>
      <c r="B1551" t="s">
        <v>125</v>
      </c>
      <c r="C1551" t="s">
        <v>1655</v>
      </c>
      <c r="D1551" t="s">
        <v>3260</v>
      </c>
      <c r="E1551" t="s">
        <v>1035</v>
      </c>
      <c r="F1551" t="s">
        <v>21</v>
      </c>
      <c r="H1551">
        <v>1</v>
      </c>
      <c r="I1551">
        <f t="shared" si="120"/>
        <v>1</v>
      </c>
      <c r="J1551" s="2">
        <f t="shared" si="121"/>
        <v>0.35199999999999998</v>
      </c>
      <c r="K1551">
        <f t="shared" si="122"/>
        <v>2.8409090909090913</v>
      </c>
      <c r="L1551" t="str">
        <f t="shared" si="123"/>
        <v>Funded</v>
      </c>
      <c r="M1551">
        <f t="shared" si="124"/>
        <v>1.04412410338404</v>
      </c>
    </row>
    <row r="1552" spans="1:13" x14ac:dyDescent="0.25">
      <c r="A1552" t="s">
        <v>3261</v>
      </c>
      <c r="B1552" t="s">
        <v>125</v>
      </c>
      <c r="C1552" t="s">
        <v>659</v>
      </c>
      <c r="D1552" t="s">
        <v>177</v>
      </c>
      <c r="E1552" t="s">
        <v>10</v>
      </c>
      <c r="F1552" t="s">
        <v>11</v>
      </c>
      <c r="H1552">
        <v>1</v>
      </c>
      <c r="I1552">
        <f t="shared" si="120"/>
        <v>1</v>
      </c>
      <c r="J1552" s="2">
        <f t="shared" si="121"/>
        <v>6.2E-2</v>
      </c>
      <c r="K1552">
        <f t="shared" si="122"/>
        <v>16.129032258064516</v>
      </c>
      <c r="L1552" t="str">
        <f t="shared" si="123"/>
        <v>Funded</v>
      </c>
      <c r="M1552">
        <f t="shared" si="124"/>
        <v>2.7806208939370456</v>
      </c>
    </row>
    <row r="1553" spans="1:13" x14ac:dyDescent="0.25">
      <c r="A1553" t="s">
        <v>3262</v>
      </c>
      <c r="B1553" t="s">
        <v>125</v>
      </c>
      <c r="C1553" t="s">
        <v>1896</v>
      </c>
      <c r="D1553" t="s">
        <v>3263</v>
      </c>
      <c r="E1553" t="s">
        <v>10</v>
      </c>
      <c r="F1553" t="s">
        <v>11</v>
      </c>
      <c r="H1553">
        <v>1</v>
      </c>
      <c r="I1553">
        <f t="shared" si="120"/>
        <v>1</v>
      </c>
      <c r="J1553" s="2">
        <f t="shared" si="121"/>
        <v>0.19500000000000001</v>
      </c>
      <c r="K1553">
        <f t="shared" si="122"/>
        <v>5.1282051282051277</v>
      </c>
      <c r="L1553" t="str">
        <f t="shared" si="123"/>
        <v>Funded</v>
      </c>
      <c r="M1553">
        <f t="shared" si="124"/>
        <v>1.6347557204183902</v>
      </c>
    </row>
    <row r="1554" spans="1:13" x14ac:dyDescent="0.25">
      <c r="A1554" t="s">
        <v>3264</v>
      </c>
      <c r="B1554" t="s">
        <v>125</v>
      </c>
      <c r="C1554" t="s">
        <v>3265</v>
      </c>
      <c r="D1554" t="s">
        <v>3036</v>
      </c>
      <c r="E1554" t="s">
        <v>10</v>
      </c>
      <c r="F1554" t="s">
        <v>11</v>
      </c>
      <c r="H1554">
        <v>1</v>
      </c>
      <c r="I1554">
        <f t="shared" si="120"/>
        <v>1</v>
      </c>
      <c r="J1554" s="2">
        <f t="shared" si="121"/>
        <v>0.56799999999999995</v>
      </c>
      <c r="K1554">
        <f t="shared" si="122"/>
        <v>1.7605633802816902</v>
      </c>
      <c r="L1554" t="str">
        <f t="shared" si="123"/>
        <v>Funded</v>
      </c>
      <c r="M1554">
        <f t="shared" si="124"/>
        <v>0.56563386026098572</v>
      </c>
    </row>
    <row r="1555" spans="1:13" x14ac:dyDescent="0.25">
      <c r="A1555" t="s">
        <v>3266</v>
      </c>
      <c r="B1555" t="s">
        <v>125</v>
      </c>
      <c r="C1555" t="s">
        <v>2372</v>
      </c>
      <c r="D1555" t="s">
        <v>1361</v>
      </c>
      <c r="E1555" t="s">
        <v>365</v>
      </c>
      <c r="F1555" t="s">
        <v>11</v>
      </c>
      <c r="H1555">
        <v>1</v>
      </c>
      <c r="I1555">
        <f t="shared" si="120"/>
        <v>1</v>
      </c>
      <c r="J1555" s="2">
        <f t="shared" si="121"/>
        <v>9.4E-2</v>
      </c>
      <c r="K1555">
        <f t="shared" si="122"/>
        <v>10.638297872340425</v>
      </c>
      <c r="L1555" t="str">
        <f t="shared" si="123"/>
        <v>Funded</v>
      </c>
      <c r="M1555">
        <f t="shared" si="124"/>
        <v>2.364460496712133</v>
      </c>
    </row>
    <row r="1556" spans="1:13" x14ac:dyDescent="0.25">
      <c r="A1556" t="s">
        <v>3267</v>
      </c>
      <c r="B1556" t="s">
        <v>125</v>
      </c>
      <c r="C1556" t="s">
        <v>789</v>
      </c>
      <c r="D1556" t="s">
        <v>2331</v>
      </c>
      <c r="E1556" t="s">
        <v>10</v>
      </c>
      <c r="F1556" t="s">
        <v>11</v>
      </c>
      <c r="H1556">
        <v>1</v>
      </c>
      <c r="I1556">
        <f t="shared" si="120"/>
        <v>1</v>
      </c>
      <c r="J1556" s="2">
        <f t="shared" si="121"/>
        <v>0.11</v>
      </c>
      <c r="K1556">
        <f t="shared" si="122"/>
        <v>9.0909090909090917</v>
      </c>
      <c r="L1556" t="str">
        <f t="shared" si="123"/>
        <v>Funded</v>
      </c>
      <c r="M1556">
        <f t="shared" si="124"/>
        <v>2.2072749131897211</v>
      </c>
    </row>
    <row r="1557" spans="1:13" x14ac:dyDescent="0.25">
      <c r="A1557" t="s">
        <v>3268</v>
      </c>
      <c r="B1557" t="s">
        <v>125</v>
      </c>
      <c r="C1557" t="s">
        <v>1202</v>
      </c>
      <c r="D1557" t="s">
        <v>641</v>
      </c>
      <c r="E1557" t="s">
        <v>445</v>
      </c>
      <c r="F1557" t="s">
        <v>50</v>
      </c>
      <c r="H1557">
        <v>1</v>
      </c>
      <c r="I1557">
        <f t="shared" si="120"/>
        <v>1</v>
      </c>
      <c r="J1557" s="2">
        <f t="shared" si="121"/>
        <v>0.127</v>
      </c>
      <c r="K1557">
        <f t="shared" si="122"/>
        <v>7.8740157480314963</v>
      </c>
      <c r="L1557" t="str">
        <f t="shared" si="123"/>
        <v>Funded</v>
      </c>
      <c r="M1557">
        <f t="shared" si="124"/>
        <v>2.0635681925235456</v>
      </c>
    </row>
    <row r="1558" spans="1:13" x14ac:dyDescent="0.25">
      <c r="A1558" t="s">
        <v>3269</v>
      </c>
      <c r="B1558" t="s">
        <v>125</v>
      </c>
      <c r="C1558" t="s">
        <v>580</v>
      </c>
      <c r="D1558" t="s">
        <v>407</v>
      </c>
      <c r="E1558" t="s">
        <v>10</v>
      </c>
      <c r="F1558" t="s">
        <v>11</v>
      </c>
      <c r="H1558">
        <v>1</v>
      </c>
      <c r="I1558">
        <f t="shared" si="120"/>
        <v>1</v>
      </c>
      <c r="J1558" s="2">
        <f t="shared" si="121"/>
        <v>0.49199999999999999</v>
      </c>
      <c r="K1558">
        <f t="shared" si="122"/>
        <v>2.0325203252032522</v>
      </c>
      <c r="L1558" t="str">
        <f t="shared" si="123"/>
        <v>Funded</v>
      </c>
      <c r="M1558">
        <f t="shared" si="124"/>
        <v>0.70927656248982907</v>
      </c>
    </row>
    <row r="1559" spans="1:13" x14ac:dyDescent="0.25">
      <c r="A1559" t="s">
        <v>3270</v>
      </c>
      <c r="B1559" t="s">
        <v>125</v>
      </c>
      <c r="C1559" t="s">
        <v>2675</v>
      </c>
      <c r="D1559" t="s">
        <v>496</v>
      </c>
      <c r="E1559" t="s">
        <v>350</v>
      </c>
      <c r="F1559" t="s">
        <v>21</v>
      </c>
      <c r="H1559">
        <v>1</v>
      </c>
      <c r="I1559">
        <f t="shared" si="120"/>
        <v>1</v>
      </c>
      <c r="J1559" s="2">
        <f t="shared" si="121"/>
        <v>0.185</v>
      </c>
      <c r="K1559">
        <f t="shared" si="122"/>
        <v>5.4054054054054053</v>
      </c>
      <c r="L1559" t="str">
        <f t="shared" si="123"/>
        <v>Funded</v>
      </c>
      <c r="M1559">
        <f t="shared" si="124"/>
        <v>1.6873994539038122</v>
      </c>
    </row>
    <row r="1560" spans="1:13" x14ac:dyDescent="0.25">
      <c r="A1560" t="s">
        <v>3271</v>
      </c>
      <c r="B1560" t="s">
        <v>125</v>
      </c>
      <c r="C1560" t="s">
        <v>1562</v>
      </c>
      <c r="D1560" t="s">
        <v>3272</v>
      </c>
      <c r="E1560" t="s">
        <v>1008</v>
      </c>
      <c r="F1560" t="s">
        <v>11</v>
      </c>
      <c r="H1560">
        <v>1</v>
      </c>
      <c r="I1560">
        <f t="shared" si="120"/>
        <v>1</v>
      </c>
      <c r="J1560" s="2">
        <f t="shared" si="121"/>
        <v>0.21199999999999999</v>
      </c>
      <c r="K1560">
        <f t="shared" si="122"/>
        <v>4.716981132075472</v>
      </c>
      <c r="L1560" t="str">
        <f t="shared" si="123"/>
        <v>Funded</v>
      </c>
      <c r="M1560">
        <f t="shared" si="124"/>
        <v>1.5511690043101247</v>
      </c>
    </row>
    <row r="1561" spans="1:13" x14ac:dyDescent="0.25">
      <c r="A1561" t="s">
        <v>3273</v>
      </c>
      <c r="B1561" t="s">
        <v>125</v>
      </c>
      <c r="C1561" t="s">
        <v>3274</v>
      </c>
      <c r="D1561" t="s">
        <v>254</v>
      </c>
      <c r="E1561" t="s">
        <v>10</v>
      </c>
      <c r="F1561" t="s">
        <v>11</v>
      </c>
      <c r="H1561">
        <v>1</v>
      </c>
      <c r="I1561">
        <f t="shared" si="120"/>
        <v>1</v>
      </c>
      <c r="J1561" s="2">
        <f t="shared" si="121"/>
        <v>0.19600000000000001</v>
      </c>
      <c r="K1561">
        <f t="shared" si="122"/>
        <v>5.1020408163265305</v>
      </c>
      <c r="L1561" t="str">
        <f t="shared" si="123"/>
        <v>Funded</v>
      </c>
      <c r="M1561">
        <f t="shared" si="124"/>
        <v>1.6296406197516198</v>
      </c>
    </row>
    <row r="1562" spans="1:13" x14ac:dyDescent="0.25">
      <c r="A1562" t="s">
        <v>3275</v>
      </c>
      <c r="B1562" t="s">
        <v>125</v>
      </c>
      <c r="C1562" t="s">
        <v>2662</v>
      </c>
      <c r="D1562" t="s">
        <v>3276</v>
      </c>
      <c r="E1562" t="s">
        <v>2056</v>
      </c>
      <c r="F1562" t="s">
        <v>526</v>
      </c>
      <c r="H1562">
        <v>1</v>
      </c>
      <c r="I1562">
        <f t="shared" si="120"/>
        <v>1</v>
      </c>
      <c r="J1562" s="2">
        <f t="shared" si="121"/>
        <v>0.20499999999999999</v>
      </c>
      <c r="K1562">
        <f t="shared" si="122"/>
        <v>4.8780487804878048</v>
      </c>
      <c r="L1562" t="str">
        <f t="shared" si="123"/>
        <v>Funded</v>
      </c>
      <c r="M1562">
        <f t="shared" si="124"/>
        <v>1.5847452998437288</v>
      </c>
    </row>
    <row r="1563" spans="1:13" x14ac:dyDescent="0.25">
      <c r="A1563" t="s">
        <v>3277</v>
      </c>
      <c r="B1563" t="s">
        <v>125</v>
      </c>
      <c r="C1563" t="s">
        <v>2319</v>
      </c>
      <c r="D1563" t="s">
        <v>3278</v>
      </c>
      <c r="E1563" t="s">
        <v>10</v>
      </c>
      <c r="F1563" t="s">
        <v>11</v>
      </c>
      <c r="H1563">
        <v>1</v>
      </c>
      <c r="I1563">
        <f t="shared" si="120"/>
        <v>1</v>
      </c>
      <c r="J1563" s="2">
        <f t="shared" si="121"/>
        <v>0.17199999999999999</v>
      </c>
      <c r="K1563">
        <f t="shared" si="122"/>
        <v>5.8139534883720936</v>
      </c>
      <c r="L1563" t="str">
        <f t="shared" si="123"/>
        <v>Funded</v>
      </c>
      <c r="M1563">
        <f t="shared" si="124"/>
        <v>1.7602608021686841</v>
      </c>
    </row>
    <row r="1564" spans="1:13" x14ac:dyDescent="0.25">
      <c r="A1564" t="s">
        <v>3279</v>
      </c>
      <c r="B1564" t="s">
        <v>125</v>
      </c>
      <c r="C1564" t="s">
        <v>1677</v>
      </c>
      <c r="D1564" t="s">
        <v>2085</v>
      </c>
      <c r="E1564" t="s">
        <v>10</v>
      </c>
      <c r="F1564" t="s">
        <v>11</v>
      </c>
      <c r="H1564">
        <v>1</v>
      </c>
      <c r="I1564">
        <f t="shared" si="120"/>
        <v>1</v>
      </c>
      <c r="J1564" s="2">
        <f t="shared" si="121"/>
        <v>0.32800000000000001</v>
      </c>
      <c r="K1564">
        <f t="shared" si="122"/>
        <v>3.0487804878048781</v>
      </c>
      <c r="L1564" t="str">
        <f t="shared" si="123"/>
        <v>Funded</v>
      </c>
      <c r="M1564">
        <f t="shared" si="124"/>
        <v>1.1147416705979933</v>
      </c>
    </row>
    <row r="1565" spans="1:13" x14ac:dyDescent="0.25">
      <c r="A1565" t="s">
        <v>3280</v>
      </c>
      <c r="B1565" t="s">
        <v>125</v>
      </c>
      <c r="C1565" t="s">
        <v>2251</v>
      </c>
      <c r="D1565" t="s">
        <v>3281</v>
      </c>
      <c r="E1565" t="s">
        <v>10</v>
      </c>
      <c r="F1565" t="s">
        <v>11</v>
      </c>
      <c r="H1565">
        <v>1</v>
      </c>
      <c r="I1565">
        <f t="shared" si="120"/>
        <v>1</v>
      </c>
      <c r="J1565" s="2">
        <f t="shared" si="121"/>
        <v>0.28899999999999998</v>
      </c>
      <c r="K1565">
        <f t="shared" si="122"/>
        <v>3.4602076124567476</v>
      </c>
      <c r="L1565" t="str">
        <f t="shared" si="123"/>
        <v>Funded</v>
      </c>
      <c r="M1565">
        <f t="shared" si="124"/>
        <v>1.2413285908697049</v>
      </c>
    </row>
    <row r="1566" spans="1:13" x14ac:dyDescent="0.25">
      <c r="A1566" t="s">
        <v>3282</v>
      </c>
      <c r="B1566" t="s">
        <v>125</v>
      </c>
      <c r="C1566" t="s">
        <v>1404</v>
      </c>
      <c r="D1566" t="s">
        <v>2848</v>
      </c>
      <c r="E1566" t="s">
        <v>554</v>
      </c>
      <c r="F1566" t="s">
        <v>526</v>
      </c>
      <c r="H1566">
        <v>1</v>
      </c>
      <c r="I1566">
        <f t="shared" si="120"/>
        <v>1</v>
      </c>
      <c r="J1566" s="2">
        <f t="shared" si="121"/>
        <v>0.46</v>
      </c>
      <c r="K1566">
        <f t="shared" si="122"/>
        <v>2.1739130434782608</v>
      </c>
      <c r="L1566" t="str">
        <f t="shared" si="123"/>
        <v>Funded</v>
      </c>
      <c r="M1566">
        <f t="shared" si="124"/>
        <v>0.77652878949899629</v>
      </c>
    </row>
    <row r="1567" spans="1:13" x14ac:dyDescent="0.25">
      <c r="A1567" t="s">
        <v>3283</v>
      </c>
      <c r="B1567" t="s">
        <v>125</v>
      </c>
      <c r="C1567" t="s">
        <v>1840</v>
      </c>
      <c r="D1567" t="s">
        <v>3284</v>
      </c>
      <c r="E1567" t="s">
        <v>10</v>
      </c>
      <c r="F1567" t="s">
        <v>11</v>
      </c>
      <c r="H1567">
        <v>1</v>
      </c>
      <c r="I1567">
        <f t="shared" si="120"/>
        <v>1</v>
      </c>
      <c r="J1567" s="2">
        <f t="shared" si="121"/>
        <v>0.30399999999999999</v>
      </c>
      <c r="K1567">
        <f t="shared" si="122"/>
        <v>3.2894736842105265</v>
      </c>
      <c r="L1567" t="str">
        <f t="shared" si="123"/>
        <v>Funded</v>
      </c>
      <c r="M1567">
        <f t="shared" si="124"/>
        <v>1.1907275775759154</v>
      </c>
    </row>
    <row r="1568" spans="1:13" x14ac:dyDescent="0.25">
      <c r="A1568" t="s">
        <v>3285</v>
      </c>
      <c r="B1568" t="s">
        <v>125</v>
      </c>
      <c r="C1568" t="s">
        <v>645</v>
      </c>
      <c r="D1568" t="s">
        <v>66</v>
      </c>
      <c r="E1568" t="s">
        <v>10</v>
      </c>
      <c r="F1568" t="s">
        <v>11</v>
      </c>
      <c r="H1568">
        <v>1</v>
      </c>
      <c r="I1568">
        <f t="shared" si="120"/>
        <v>1</v>
      </c>
      <c r="J1568" s="2">
        <f t="shared" si="121"/>
        <v>0.2</v>
      </c>
      <c r="K1568">
        <f t="shared" si="122"/>
        <v>5</v>
      </c>
      <c r="L1568" t="str">
        <f t="shared" si="123"/>
        <v>Funded</v>
      </c>
      <c r="M1568">
        <f t="shared" si="124"/>
        <v>1.6094379124341003</v>
      </c>
    </row>
    <row r="1569" spans="1:13" x14ac:dyDescent="0.25">
      <c r="A1569" t="s">
        <v>3286</v>
      </c>
      <c r="B1569" t="s">
        <v>125</v>
      </c>
      <c r="C1569" t="s">
        <v>1003</v>
      </c>
      <c r="D1569" t="s">
        <v>3287</v>
      </c>
      <c r="E1569" t="s">
        <v>365</v>
      </c>
      <c r="F1569" t="s">
        <v>11</v>
      </c>
      <c r="H1569">
        <v>1</v>
      </c>
      <c r="I1569">
        <f t="shared" si="120"/>
        <v>1</v>
      </c>
      <c r="J1569" s="2">
        <f t="shared" si="121"/>
        <v>0.156</v>
      </c>
      <c r="K1569">
        <f t="shared" si="122"/>
        <v>6.4102564102564106</v>
      </c>
      <c r="L1569" t="str">
        <f t="shared" si="123"/>
        <v>Funded</v>
      </c>
      <c r="M1569">
        <f t="shared" si="124"/>
        <v>1.8578992717326002</v>
      </c>
    </row>
    <row r="1570" spans="1:13" x14ac:dyDescent="0.25">
      <c r="A1570" t="s">
        <v>3288</v>
      </c>
      <c r="B1570" t="s">
        <v>125</v>
      </c>
      <c r="C1570" t="s">
        <v>125</v>
      </c>
      <c r="D1570" t="s">
        <v>980</v>
      </c>
      <c r="E1570" t="s">
        <v>273</v>
      </c>
      <c r="F1570" t="s">
        <v>21</v>
      </c>
      <c r="H1570">
        <v>1</v>
      </c>
      <c r="I1570">
        <f t="shared" si="120"/>
        <v>1</v>
      </c>
      <c r="J1570" s="2">
        <f t="shared" si="121"/>
        <v>1</v>
      </c>
      <c r="K1570">
        <f t="shared" si="122"/>
        <v>1</v>
      </c>
      <c r="L1570" t="str">
        <f t="shared" si="123"/>
        <v>Funded</v>
      </c>
      <c r="M1570">
        <f t="shared" si="124"/>
        <v>0</v>
      </c>
    </row>
    <row r="1571" spans="1:13" x14ac:dyDescent="0.25">
      <c r="A1571" t="s">
        <v>3289</v>
      </c>
      <c r="B1571" t="s">
        <v>125</v>
      </c>
      <c r="C1571" t="s">
        <v>2643</v>
      </c>
      <c r="D1571" t="s">
        <v>1186</v>
      </c>
      <c r="E1571" t="s">
        <v>273</v>
      </c>
      <c r="F1571" t="s">
        <v>21</v>
      </c>
      <c r="H1571">
        <v>1</v>
      </c>
      <c r="I1571">
        <f t="shared" si="120"/>
        <v>1</v>
      </c>
      <c r="J1571" s="2">
        <f t="shared" si="121"/>
        <v>0.14000000000000001</v>
      </c>
      <c r="K1571">
        <f t="shared" si="122"/>
        <v>7.1428571428571423</v>
      </c>
      <c r="L1571" t="str">
        <f t="shared" si="123"/>
        <v>Funded</v>
      </c>
      <c r="M1571">
        <f t="shared" si="124"/>
        <v>1.9661128563728327</v>
      </c>
    </row>
    <row r="1572" spans="1:13" x14ac:dyDescent="0.25">
      <c r="A1572" t="s">
        <v>3290</v>
      </c>
      <c r="B1572" t="s">
        <v>125</v>
      </c>
      <c r="C1572" t="s">
        <v>2654</v>
      </c>
      <c r="D1572" t="s">
        <v>3291</v>
      </c>
      <c r="E1572" t="s">
        <v>170</v>
      </c>
      <c r="F1572" t="s">
        <v>50</v>
      </c>
      <c r="H1572">
        <v>1</v>
      </c>
      <c r="I1572">
        <f t="shared" si="120"/>
        <v>1</v>
      </c>
      <c r="J1572" s="2">
        <f t="shared" si="121"/>
        <v>0.376</v>
      </c>
      <c r="K1572">
        <f t="shared" si="122"/>
        <v>2.6595744680851063</v>
      </c>
      <c r="L1572" t="str">
        <f t="shared" si="123"/>
        <v>Funded</v>
      </c>
      <c r="M1572">
        <f t="shared" si="124"/>
        <v>0.97816613559224252</v>
      </c>
    </row>
    <row r="1573" spans="1:13" x14ac:dyDescent="0.25">
      <c r="A1573" t="s">
        <v>3292</v>
      </c>
      <c r="B1573" t="s">
        <v>125</v>
      </c>
      <c r="C1573" t="s">
        <v>3293</v>
      </c>
      <c r="D1573" t="s">
        <v>3294</v>
      </c>
      <c r="E1573" t="s">
        <v>10</v>
      </c>
      <c r="F1573" t="s">
        <v>11</v>
      </c>
      <c r="H1573">
        <v>1</v>
      </c>
      <c r="I1573">
        <f t="shared" si="120"/>
        <v>1</v>
      </c>
      <c r="J1573" s="2">
        <f t="shared" si="121"/>
        <v>0.126</v>
      </c>
      <c r="K1573">
        <f t="shared" si="122"/>
        <v>7.9365079365079367</v>
      </c>
      <c r="L1573" t="str">
        <f t="shared" si="123"/>
        <v>Funded</v>
      </c>
      <c r="M1573">
        <f t="shared" si="124"/>
        <v>2.0714733720306593</v>
      </c>
    </row>
    <row r="1574" spans="1:13" x14ac:dyDescent="0.25">
      <c r="A1574" t="s">
        <v>3295</v>
      </c>
      <c r="B1574" t="s">
        <v>125</v>
      </c>
      <c r="C1574" t="s">
        <v>2713</v>
      </c>
      <c r="D1574" t="s">
        <v>3296</v>
      </c>
      <c r="E1574" t="s">
        <v>10</v>
      </c>
      <c r="F1574" t="s">
        <v>11</v>
      </c>
      <c r="H1574">
        <v>1</v>
      </c>
      <c r="I1574">
        <f t="shared" si="120"/>
        <v>1</v>
      </c>
      <c r="J1574" s="2">
        <f t="shared" si="121"/>
        <v>0.26900000000000002</v>
      </c>
      <c r="K1574">
        <f t="shared" si="122"/>
        <v>3.7174721189591078</v>
      </c>
      <c r="L1574" t="str">
        <f t="shared" si="123"/>
        <v>Funded</v>
      </c>
      <c r="M1574">
        <f t="shared" si="124"/>
        <v>1.313043899380298</v>
      </c>
    </row>
    <row r="1575" spans="1:13" x14ac:dyDescent="0.25">
      <c r="A1575" t="s">
        <v>3297</v>
      </c>
      <c r="B1575" t="s">
        <v>125</v>
      </c>
      <c r="C1575" t="s">
        <v>3298</v>
      </c>
      <c r="D1575" t="s">
        <v>3299</v>
      </c>
      <c r="E1575" t="s">
        <v>10</v>
      </c>
      <c r="F1575" t="s">
        <v>11</v>
      </c>
      <c r="H1575">
        <v>1</v>
      </c>
      <c r="I1575">
        <f t="shared" si="120"/>
        <v>1</v>
      </c>
      <c r="J1575" s="2">
        <f t="shared" si="121"/>
        <v>0.25900000000000001</v>
      </c>
      <c r="K1575">
        <f t="shared" si="122"/>
        <v>3.8610038610038608</v>
      </c>
      <c r="L1575" t="str">
        <f t="shared" si="123"/>
        <v>Funded</v>
      </c>
      <c r="M1575">
        <f t="shared" si="124"/>
        <v>1.3509272172825992</v>
      </c>
    </row>
    <row r="1576" spans="1:13" x14ac:dyDescent="0.25">
      <c r="A1576" t="s">
        <v>3300</v>
      </c>
      <c r="B1576" t="s">
        <v>125</v>
      </c>
      <c r="C1576" t="s">
        <v>1414</v>
      </c>
      <c r="D1576" t="s">
        <v>496</v>
      </c>
      <c r="E1576" t="s">
        <v>10</v>
      </c>
      <c r="F1576" t="s">
        <v>11</v>
      </c>
      <c r="H1576">
        <v>1</v>
      </c>
      <c r="I1576">
        <f t="shared" si="120"/>
        <v>1</v>
      </c>
      <c r="J1576" s="2">
        <f t="shared" si="121"/>
        <v>0.152</v>
      </c>
      <c r="K1576">
        <f t="shared" si="122"/>
        <v>6.5789473684210531</v>
      </c>
      <c r="L1576" t="str">
        <f t="shared" si="123"/>
        <v>Funded</v>
      </c>
      <c r="M1576">
        <f t="shared" si="124"/>
        <v>1.8838747581358608</v>
      </c>
    </row>
    <row r="1577" spans="1:13" x14ac:dyDescent="0.25">
      <c r="A1577" t="s">
        <v>3301</v>
      </c>
      <c r="B1577" t="s">
        <v>125</v>
      </c>
      <c r="C1577" t="s">
        <v>2627</v>
      </c>
      <c r="D1577" t="s">
        <v>3302</v>
      </c>
      <c r="E1577" t="s">
        <v>10</v>
      </c>
      <c r="F1577" t="s">
        <v>11</v>
      </c>
      <c r="H1577">
        <v>1</v>
      </c>
      <c r="I1577">
        <f t="shared" si="120"/>
        <v>1</v>
      </c>
      <c r="J1577" s="2">
        <f t="shared" si="121"/>
        <v>0.16200000000000001</v>
      </c>
      <c r="K1577">
        <f t="shared" si="122"/>
        <v>6.1728395061728394</v>
      </c>
      <c r="L1577" t="str">
        <f t="shared" si="123"/>
        <v>Funded</v>
      </c>
      <c r="M1577">
        <f t="shared" si="124"/>
        <v>1.820158943749753</v>
      </c>
    </row>
    <row r="1578" spans="1:13" x14ac:dyDescent="0.25">
      <c r="A1578" t="s">
        <v>3303</v>
      </c>
      <c r="B1578" t="s">
        <v>125</v>
      </c>
      <c r="C1578" t="s">
        <v>3304</v>
      </c>
      <c r="D1578" t="s">
        <v>3305</v>
      </c>
      <c r="E1578" t="s">
        <v>187</v>
      </c>
      <c r="F1578" t="s">
        <v>50</v>
      </c>
      <c r="H1578">
        <v>1</v>
      </c>
      <c r="I1578">
        <f t="shared" si="120"/>
        <v>1</v>
      </c>
      <c r="J1578" s="2">
        <f t="shared" si="121"/>
        <v>0.33200000000000002</v>
      </c>
      <c r="K1578">
        <f t="shared" si="122"/>
        <v>3.012048192771084</v>
      </c>
      <c r="L1578" t="str">
        <f t="shared" si="123"/>
        <v>Funded</v>
      </c>
      <c r="M1578">
        <f t="shared" si="124"/>
        <v>1.1026203100656484</v>
      </c>
    </row>
    <row r="1579" spans="1:13" x14ac:dyDescent="0.25">
      <c r="A1579" t="s">
        <v>3306</v>
      </c>
      <c r="B1579" t="s">
        <v>125</v>
      </c>
      <c r="C1579" t="s">
        <v>885</v>
      </c>
      <c r="D1579" t="s">
        <v>3307</v>
      </c>
      <c r="E1579" t="s">
        <v>1172</v>
      </c>
      <c r="F1579" t="s">
        <v>21</v>
      </c>
      <c r="H1579">
        <v>1</v>
      </c>
      <c r="I1579">
        <f t="shared" si="120"/>
        <v>1</v>
      </c>
      <c r="J1579" s="2">
        <f t="shared" si="121"/>
        <v>0.33300000000000002</v>
      </c>
      <c r="K1579">
        <f t="shared" si="122"/>
        <v>3.0030030030030028</v>
      </c>
      <c r="L1579" t="str">
        <f t="shared" si="123"/>
        <v>Funded</v>
      </c>
      <c r="M1579">
        <f t="shared" si="124"/>
        <v>1.0996127890016931</v>
      </c>
    </row>
    <row r="1580" spans="1:13" x14ac:dyDescent="0.25">
      <c r="A1580" t="s">
        <v>3308</v>
      </c>
      <c r="B1580" t="s">
        <v>125</v>
      </c>
      <c r="C1580" t="s">
        <v>966</v>
      </c>
      <c r="D1580" t="s">
        <v>3309</v>
      </c>
      <c r="E1580" t="s">
        <v>554</v>
      </c>
      <c r="F1580" t="s">
        <v>526</v>
      </c>
      <c r="H1580">
        <v>1</v>
      </c>
      <c r="I1580">
        <f t="shared" si="120"/>
        <v>1</v>
      </c>
      <c r="J1580" s="2">
        <f t="shared" si="121"/>
        <v>0.58799999999999997</v>
      </c>
      <c r="K1580">
        <f t="shared" si="122"/>
        <v>1.7006802721088436</v>
      </c>
      <c r="L1580" t="str">
        <f t="shared" si="123"/>
        <v>Funded</v>
      </c>
      <c r="M1580">
        <f t="shared" si="124"/>
        <v>0.53102833108351022</v>
      </c>
    </row>
    <row r="1581" spans="1:13" x14ac:dyDescent="0.25">
      <c r="A1581" t="s">
        <v>3310</v>
      </c>
      <c r="B1581" t="s">
        <v>125</v>
      </c>
      <c r="C1581" t="s">
        <v>2319</v>
      </c>
      <c r="D1581" t="s">
        <v>835</v>
      </c>
      <c r="E1581" t="s">
        <v>10</v>
      </c>
      <c r="F1581" t="s">
        <v>11</v>
      </c>
      <c r="H1581">
        <v>1</v>
      </c>
      <c r="I1581">
        <f t="shared" si="120"/>
        <v>1</v>
      </c>
      <c r="J1581" s="2">
        <f t="shared" si="121"/>
        <v>0.17199999999999999</v>
      </c>
      <c r="K1581">
        <f t="shared" si="122"/>
        <v>5.8139534883720936</v>
      </c>
      <c r="L1581" t="str">
        <f t="shared" si="123"/>
        <v>Funded</v>
      </c>
      <c r="M1581">
        <f t="shared" si="124"/>
        <v>1.7602608021686841</v>
      </c>
    </row>
    <row r="1582" spans="1:13" x14ac:dyDescent="0.25">
      <c r="A1582" t="s">
        <v>3311</v>
      </c>
      <c r="B1582" t="s">
        <v>125</v>
      </c>
      <c r="C1582" t="s">
        <v>1139</v>
      </c>
      <c r="D1582" t="s">
        <v>2085</v>
      </c>
      <c r="E1582" t="s">
        <v>10</v>
      </c>
      <c r="F1582" t="s">
        <v>11</v>
      </c>
      <c r="H1582">
        <v>1</v>
      </c>
      <c r="I1582">
        <f t="shared" si="120"/>
        <v>1</v>
      </c>
      <c r="J1582" s="2">
        <f t="shared" si="121"/>
        <v>0.29499999999999998</v>
      </c>
      <c r="K1582">
        <f t="shared" si="122"/>
        <v>3.3898305084745766</v>
      </c>
      <c r="L1582" t="str">
        <f t="shared" si="123"/>
        <v>Funded</v>
      </c>
      <c r="M1582">
        <f t="shared" si="124"/>
        <v>1.2207799226423173</v>
      </c>
    </row>
    <row r="1583" spans="1:13" x14ac:dyDescent="0.25">
      <c r="A1583" t="s">
        <v>3312</v>
      </c>
      <c r="B1583" t="s">
        <v>125</v>
      </c>
      <c r="C1583" t="s">
        <v>1784</v>
      </c>
      <c r="D1583" t="s">
        <v>3313</v>
      </c>
      <c r="E1583" t="s">
        <v>170</v>
      </c>
      <c r="F1583" t="s">
        <v>50</v>
      </c>
      <c r="H1583">
        <v>1</v>
      </c>
      <c r="I1583">
        <f t="shared" si="120"/>
        <v>1</v>
      </c>
      <c r="J1583" s="2">
        <f t="shared" si="121"/>
        <v>0.20599999999999999</v>
      </c>
      <c r="K1583">
        <f t="shared" si="122"/>
        <v>4.8543689320388355</v>
      </c>
      <c r="L1583" t="str">
        <f t="shared" si="123"/>
        <v>Funded</v>
      </c>
      <c r="M1583">
        <f t="shared" si="124"/>
        <v>1.579879110192556</v>
      </c>
    </row>
    <row r="1584" spans="1:13" x14ac:dyDescent="0.25">
      <c r="A1584" t="s">
        <v>3314</v>
      </c>
      <c r="B1584" t="s">
        <v>125</v>
      </c>
      <c r="C1584" t="s">
        <v>1199</v>
      </c>
      <c r="D1584" t="s">
        <v>3315</v>
      </c>
      <c r="E1584" t="s">
        <v>10</v>
      </c>
      <c r="F1584" t="s">
        <v>11</v>
      </c>
      <c r="H1584">
        <v>1</v>
      </c>
      <c r="I1584">
        <f t="shared" si="120"/>
        <v>1</v>
      </c>
      <c r="J1584" s="2">
        <f t="shared" si="121"/>
        <v>0.114</v>
      </c>
      <c r="K1584">
        <f t="shared" si="122"/>
        <v>8.7719298245614024</v>
      </c>
      <c r="L1584" t="str">
        <f t="shared" si="123"/>
        <v>Funded</v>
      </c>
      <c r="M1584">
        <f t="shared" si="124"/>
        <v>2.1715568305876416</v>
      </c>
    </row>
    <row r="1585" spans="1:13" x14ac:dyDescent="0.25">
      <c r="A1585" t="s">
        <v>3316</v>
      </c>
      <c r="B1585" t="s">
        <v>125</v>
      </c>
      <c r="C1585" t="s">
        <v>3298</v>
      </c>
      <c r="D1585" t="s">
        <v>3317</v>
      </c>
      <c r="E1585" t="s">
        <v>10</v>
      </c>
      <c r="F1585" t="s">
        <v>11</v>
      </c>
      <c r="H1585">
        <v>1</v>
      </c>
      <c r="I1585">
        <f t="shared" si="120"/>
        <v>1</v>
      </c>
      <c r="J1585" s="2">
        <f t="shared" si="121"/>
        <v>0.25900000000000001</v>
      </c>
      <c r="K1585">
        <f t="shared" si="122"/>
        <v>3.8610038610038608</v>
      </c>
      <c r="L1585" t="str">
        <f t="shared" si="123"/>
        <v>Funded</v>
      </c>
      <c r="M1585">
        <f t="shared" si="124"/>
        <v>1.3509272172825992</v>
      </c>
    </row>
    <row r="1586" spans="1:13" x14ac:dyDescent="0.25">
      <c r="A1586" t="s">
        <v>3318</v>
      </c>
      <c r="B1586" t="s">
        <v>125</v>
      </c>
      <c r="C1586" t="s">
        <v>256</v>
      </c>
      <c r="D1586" t="s">
        <v>3319</v>
      </c>
      <c r="E1586" t="s">
        <v>10</v>
      </c>
      <c r="F1586" t="s">
        <v>11</v>
      </c>
      <c r="H1586">
        <v>1</v>
      </c>
      <c r="I1586">
        <f t="shared" si="120"/>
        <v>1</v>
      </c>
      <c r="J1586" s="2">
        <f t="shared" si="121"/>
        <v>0.48399999999999999</v>
      </c>
      <c r="K1586">
        <f t="shared" si="122"/>
        <v>2.0661157024793391</v>
      </c>
      <c r="L1586" t="str">
        <f t="shared" si="123"/>
        <v>Funded</v>
      </c>
      <c r="M1586">
        <f t="shared" si="124"/>
        <v>0.72567037226550546</v>
      </c>
    </row>
    <row r="1587" spans="1:13" x14ac:dyDescent="0.25">
      <c r="A1587" t="s">
        <v>3320</v>
      </c>
      <c r="B1587" t="s">
        <v>125</v>
      </c>
      <c r="C1587" t="s">
        <v>1076</v>
      </c>
      <c r="D1587" t="s">
        <v>3321</v>
      </c>
      <c r="E1587" t="s">
        <v>230</v>
      </c>
      <c r="F1587" t="s">
        <v>50</v>
      </c>
      <c r="H1587">
        <v>1</v>
      </c>
      <c r="I1587">
        <f t="shared" si="120"/>
        <v>1</v>
      </c>
      <c r="J1587" s="2">
        <f t="shared" si="121"/>
        <v>0.33</v>
      </c>
      <c r="K1587">
        <f t="shared" si="122"/>
        <v>3.0303030303030303</v>
      </c>
      <c r="L1587" t="str">
        <f t="shared" si="123"/>
        <v>Funded</v>
      </c>
      <c r="M1587">
        <f t="shared" si="124"/>
        <v>1.1086626245216111</v>
      </c>
    </row>
    <row r="1588" spans="1:13" x14ac:dyDescent="0.25">
      <c r="A1588" t="s">
        <v>3322</v>
      </c>
      <c r="B1588" t="s">
        <v>125</v>
      </c>
      <c r="C1588" t="s">
        <v>3323</v>
      </c>
      <c r="D1588" t="s">
        <v>816</v>
      </c>
      <c r="E1588" t="s">
        <v>350</v>
      </c>
      <c r="F1588" t="s">
        <v>21</v>
      </c>
      <c r="H1588">
        <v>1</v>
      </c>
      <c r="I1588">
        <f t="shared" si="120"/>
        <v>1</v>
      </c>
      <c r="J1588" s="2">
        <f t="shared" si="121"/>
        <v>9.1999999999999998E-2</v>
      </c>
      <c r="K1588">
        <f t="shared" si="122"/>
        <v>10.869565217391305</v>
      </c>
      <c r="L1588" t="str">
        <f t="shared" si="123"/>
        <v>Funded</v>
      </c>
      <c r="M1588">
        <f t="shared" si="124"/>
        <v>2.3859667019330968</v>
      </c>
    </row>
    <row r="1589" spans="1:13" x14ac:dyDescent="0.25">
      <c r="A1589" t="s">
        <v>3324</v>
      </c>
      <c r="B1589" t="s">
        <v>125</v>
      </c>
      <c r="C1589" t="s">
        <v>1915</v>
      </c>
      <c r="D1589" t="s">
        <v>3325</v>
      </c>
      <c r="E1589" t="s">
        <v>10</v>
      </c>
      <c r="F1589" t="s">
        <v>11</v>
      </c>
      <c r="H1589">
        <v>1</v>
      </c>
      <c r="I1589">
        <f t="shared" si="120"/>
        <v>1</v>
      </c>
      <c r="J1589" s="2">
        <f t="shared" si="121"/>
        <v>0.16300000000000001</v>
      </c>
      <c r="K1589">
        <f t="shared" si="122"/>
        <v>6.1349693251533743</v>
      </c>
      <c r="L1589" t="str">
        <f t="shared" si="123"/>
        <v>Funded</v>
      </c>
      <c r="M1589">
        <f t="shared" si="124"/>
        <v>1.8140050781753747</v>
      </c>
    </row>
    <row r="1590" spans="1:13" x14ac:dyDescent="0.25">
      <c r="A1590" t="s">
        <v>3326</v>
      </c>
      <c r="B1590" t="s">
        <v>125</v>
      </c>
      <c r="C1590" t="s">
        <v>1898</v>
      </c>
      <c r="D1590" t="s">
        <v>3327</v>
      </c>
      <c r="E1590" t="s">
        <v>49</v>
      </c>
      <c r="F1590" t="s">
        <v>50</v>
      </c>
      <c r="H1590">
        <v>1</v>
      </c>
      <c r="I1590">
        <f t="shared" si="120"/>
        <v>1</v>
      </c>
      <c r="J1590" s="2">
        <f t="shared" si="121"/>
        <v>0.27600000000000002</v>
      </c>
      <c r="K1590">
        <f t="shared" si="122"/>
        <v>3.6231884057971011</v>
      </c>
      <c r="L1590" t="str">
        <f t="shared" si="123"/>
        <v>Funded</v>
      </c>
      <c r="M1590">
        <f t="shared" si="124"/>
        <v>1.287354413264987</v>
      </c>
    </row>
    <row r="1591" spans="1:13" x14ac:dyDescent="0.25">
      <c r="A1591" t="s">
        <v>3328</v>
      </c>
      <c r="B1591" t="s">
        <v>125</v>
      </c>
      <c r="C1591" t="s">
        <v>575</v>
      </c>
      <c r="D1591" t="s">
        <v>3329</v>
      </c>
      <c r="E1591" t="s">
        <v>365</v>
      </c>
      <c r="F1591" t="s">
        <v>11</v>
      </c>
      <c r="H1591">
        <v>1</v>
      </c>
      <c r="I1591">
        <f t="shared" si="120"/>
        <v>1</v>
      </c>
      <c r="J1591" s="2">
        <f t="shared" si="121"/>
        <v>0.183</v>
      </c>
      <c r="K1591">
        <f t="shared" si="122"/>
        <v>5.4644808743169397</v>
      </c>
      <c r="L1591" t="str">
        <f t="shared" si="123"/>
        <v>Funded</v>
      </c>
      <c r="M1591">
        <f t="shared" si="124"/>
        <v>1.6982691261407161</v>
      </c>
    </row>
    <row r="1592" spans="1:13" x14ac:dyDescent="0.25">
      <c r="A1592" t="s">
        <v>3330</v>
      </c>
      <c r="B1592" t="s">
        <v>125</v>
      </c>
      <c r="C1592" t="s">
        <v>635</v>
      </c>
      <c r="D1592" t="s">
        <v>373</v>
      </c>
      <c r="E1592" t="s">
        <v>242</v>
      </c>
      <c r="F1592" t="s">
        <v>21</v>
      </c>
      <c r="H1592">
        <v>1</v>
      </c>
      <c r="I1592">
        <f t="shared" si="120"/>
        <v>1</v>
      </c>
      <c r="J1592" s="2">
        <f t="shared" si="121"/>
        <v>0.47899999999999998</v>
      </c>
      <c r="K1592">
        <f t="shared" si="122"/>
        <v>2.0876826722338206</v>
      </c>
      <c r="L1592" t="str">
        <f t="shared" si="123"/>
        <v>Funded</v>
      </c>
      <c r="M1592">
        <f t="shared" si="124"/>
        <v>0.73605468157122189</v>
      </c>
    </row>
    <row r="1593" spans="1:13" x14ac:dyDescent="0.25">
      <c r="A1593" t="s">
        <v>3331</v>
      </c>
      <c r="B1593" t="s">
        <v>125</v>
      </c>
      <c r="C1593" t="s">
        <v>158</v>
      </c>
      <c r="D1593" t="s">
        <v>254</v>
      </c>
      <c r="E1593" t="s">
        <v>20</v>
      </c>
      <c r="F1593" t="s">
        <v>21</v>
      </c>
      <c r="H1593">
        <v>1</v>
      </c>
      <c r="I1593">
        <f t="shared" si="120"/>
        <v>1</v>
      </c>
      <c r="J1593" s="2">
        <f t="shared" si="121"/>
        <v>0.72099999999999997</v>
      </c>
      <c r="K1593">
        <f t="shared" si="122"/>
        <v>1.3869625520110958</v>
      </c>
      <c r="L1593" t="str">
        <f t="shared" si="123"/>
        <v>Funded</v>
      </c>
      <c r="M1593">
        <f t="shared" si="124"/>
        <v>0.327116141697188</v>
      </c>
    </row>
    <row r="1594" spans="1:13" x14ac:dyDescent="0.25">
      <c r="A1594" t="s">
        <v>3332</v>
      </c>
      <c r="B1594" t="s">
        <v>125</v>
      </c>
      <c r="C1594" t="s">
        <v>125</v>
      </c>
      <c r="D1594" t="s">
        <v>3333</v>
      </c>
      <c r="E1594" t="s">
        <v>20</v>
      </c>
      <c r="F1594" t="s">
        <v>21</v>
      </c>
      <c r="H1594">
        <v>1</v>
      </c>
      <c r="I1594">
        <f t="shared" si="120"/>
        <v>1</v>
      </c>
      <c r="J1594" s="2">
        <f t="shared" si="121"/>
        <v>1</v>
      </c>
      <c r="K1594">
        <f t="shared" si="122"/>
        <v>1</v>
      </c>
      <c r="L1594" t="str">
        <f t="shared" si="123"/>
        <v>Funded</v>
      </c>
      <c r="M1594">
        <f t="shared" si="124"/>
        <v>0</v>
      </c>
    </row>
    <row r="1595" spans="1:13" x14ac:dyDescent="0.25">
      <c r="A1595" t="s">
        <v>3334</v>
      </c>
      <c r="B1595" t="s">
        <v>125</v>
      </c>
      <c r="C1595" t="s">
        <v>3231</v>
      </c>
      <c r="D1595" t="s">
        <v>2842</v>
      </c>
      <c r="E1595" t="s">
        <v>10</v>
      </c>
      <c r="F1595" t="s">
        <v>11</v>
      </c>
      <c r="H1595">
        <v>1</v>
      </c>
      <c r="I1595">
        <f t="shared" si="120"/>
        <v>1</v>
      </c>
      <c r="J1595" s="2">
        <f t="shared" si="121"/>
        <v>5.7000000000000002E-2</v>
      </c>
      <c r="K1595">
        <f t="shared" si="122"/>
        <v>17.543859649122805</v>
      </c>
      <c r="L1595" t="str">
        <f t="shared" si="123"/>
        <v>Funded</v>
      </c>
      <c r="M1595">
        <f t="shared" si="124"/>
        <v>2.8647040111475865</v>
      </c>
    </row>
    <row r="1596" spans="1:13" x14ac:dyDescent="0.25">
      <c r="A1596" t="s">
        <v>3335</v>
      </c>
      <c r="B1596" t="s">
        <v>125</v>
      </c>
      <c r="C1596" t="s">
        <v>1875</v>
      </c>
      <c r="D1596" t="s">
        <v>1183</v>
      </c>
      <c r="E1596" t="s">
        <v>10</v>
      </c>
      <c r="F1596" t="s">
        <v>11</v>
      </c>
      <c r="H1596">
        <v>1</v>
      </c>
      <c r="I1596">
        <f t="shared" si="120"/>
        <v>1</v>
      </c>
      <c r="J1596" s="2">
        <f t="shared" si="121"/>
        <v>0.1</v>
      </c>
      <c r="K1596">
        <f t="shared" si="122"/>
        <v>10</v>
      </c>
      <c r="L1596" t="str">
        <f t="shared" si="123"/>
        <v>Funded</v>
      </c>
      <c r="M1596">
        <f t="shared" si="124"/>
        <v>2.3025850929940459</v>
      </c>
    </row>
    <row r="1597" spans="1:13" x14ac:dyDescent="0.25">
      <c r="A1597" t="s">
        <v>3336</v>
      </c>
      <c r="B1597" t="s">
        <v>125</v>
      </c>
      <c r="C1597" t="s">
        <v>815</v>
      </c>
      <c r="D1597" t="s">
        <v>3337</v>
      </c>
      <c r="E1597" t="s">
        <v>3338</v>
      </c>
      <c r="F1597" t="s">
        <v>21</v>
      </c>
      <c r="H1597">
        <v>1</v>
      </c>
      <c r="I1597">
        <f t="shared" si="120"/>
        <v>1</v>
      </c>
      <c r="J1597" s="2">
        <f t="shared" si="121"/>
        <v>0.53700000000000003</v>
      </c>
      <c r="K1597">
        <f t="shared" si="122"/>
        <v>1.8621973929236497</v>
      </c>
      <c r="L1597" t="str">
        <f t="shared" si="123"/>
        <v>Funded</v>
      </c>
      <c r="M1597">
        <f t="shared" si="124"/>
        <v>0.62175718447327222</v>
      </c>
    </row>
    <row r="1598" spans="1:13" x14ac:dyDescent="0.25">
      <c r="A1598" t="s">
        <v>3339</v>
      </c>
      <c r="B1598" t="s">
        <v>125</v>
      </c>
      <c r="C1598" t="s">
        <v>1334</v>
      </c>
      <c r="D1598" t="s">
        <v>3340</v>
      </c>
      <c r="E1598" t="s">
        <v>20</v>
      </c>
      <c r="F1598" t="s">
        <v>21</v>
      </c>
      <c r="H1598">
        <v>1</v>
      </c>
      <c r="I1598">
        <f t="shared" si="120"/>
        <v>1</v>
      </c>
      <c r="J1598" s="2">
        <f t="shared" si="121"/>
        <v>0.39100000000000001</v>
      </c>
      <c r="K1598">
        <f t="shared" si="122"/>
        <v>2.5575447570332481</v>
      </c>
      <c r="L1598" t="str">
        <f t="shared" si="123"/>
        <v>Funded</v>
      </c>
      <c r="M1598">
        <f t="shared" si="124"/>
        <v>0.93904771899677131</v>
      </c>
    </row>
    <row r="1599" spans="1:13" x14ac:dyDescent="0.25">
      <c r="A1599" t="s">
        <v>3341</v>
      </c>
      <c r="B1599" t="s">
        <v>125</v>
      </c>
      <c r="C1599" t="s">
        <v>3342</v>
      </c>
      <c r="D1599" t="s">
        <v>3343</v>
      </c>
      <c r="E1599" t="s">
        <v>20</v>
      </c>
      <c r="F1599" t="s">
        <v>21</v>
      </c>
      <c r="H1599">
        <v>1</v>
      </c>
      <c r="I1599">
        <f t="shared" si="120"/>
        <v>1</v>
      </c>
      <c r="J1599" s="2">
        <f t="shared" si="121"/>
        <v>0.377</v>
      </c>
      <c r="K1599">
        <f t="shared" si="122"/>
        <v>2.6525198938992043</v>
      </c>
      <c r="L1599" t="str">
        <f t="shared" si="123"/>
        <v>Funded</v>
      </c>
      <c r="M1599">
        <f t="shared" si="124"/>
        <v>0.97551009153412627</v>
      </c>
    </row>
    <row r="1600" spans="1:13" x14ac:dyDescent="0.25">
      <c r="A1600" t="s">
        <v>3344</v>
      </c>
      <c r="B1600" t="s">
        <v>125</v>
      </c>
      <c r="C1600" t="s">
        <v>3342</v>
      </c>
      <c r="D1600" t="s">
        <v>3345</v>
      </c>
      <c r="E1600" t="s">
        <v>273</v>
      </c>
      <c r="F1600" t="s">
        <v>21</v>
      </c>
      <c r="H1600">
        <v>1</v>
      </c>
      <c r="I1600">
        <f t="shared" si="120"/>
        <v>1</v>
      </c>
      <c r="J1600" s="2">
        <f t="shared" si="121"/>
        <v>0.377</v>
      </c>
      <c r="K1600">
        <f t="shared" si="122"/>
        <v>2.6525198938992043</v>
      </c>
      <c r="L1600" t="str">
        <f t="shared" si="123"/>
        <v>Funded</v>
      </c>
      <c r="M1600">
        <f t="shared" si="124"/>
        <v>0.97551009153412627</v>
      </c>
    </row>
    <row r="1601" spans="1:13" x14ac:dyDescent="0.25">
      <c r="A1601" t="s">
        <v>3346</v>
      </c>
      <c r="B1601" t="s">
        <v>125</v>
      </c>
      <c r="C1601" t="s">
        <v>978</v>
      </c>
      <c r="D1601" t="s">
        <v>148</v>
      </c>
      <c r="E1601" t="s">
        <v>10</v>
      </c>
      <c r="F1601" t="s">
        <v>11</v>
      </c>
      <c r="H1601">
        <v>1</v>
      </c>
      <c r="I1601">
        <f t="shared" si="120"/>
        <v>1</v>
      </c>
      <c r="J1601" s="2">
        <f t="shared" si="121"/>
        <v>0.14099999999999999</v>
      </c>
      <c r="K1601">
        <f t="shared" si="122"/>
        <v>7.0921985815602842</v>
      </c>
      <c r="L1601" t="str">
        <f t="shared" si="123"/>
        <v>Funded</v>
      </c>
      <c r="M1601">
        <f t="shared" si="124"/>
        <v>1.9589953886039688</v>
      </c>
    </row>
    <row r="1602" spans="1:13" x14ac:dyDescent="0.25">
      <c r="A1602" t="s">
        <v>3347</v>
      </c>
      <c r="B1602" t="s">
        <v>125</v>
      </c>
      <c r="C1602" t="s">
        <v>3348</v>
      </c>
      <c r="D1602" t="s">
        <v>3349</v>
      </c>
      <c r="E1602" t="s">
        <v>222</v>
      </c>
      <c r="F1602" t="s">
        <v>50</v>
      </c>
      <c r="H1602">
        <v>1</v>
      </c>
      <c r="I1602">
        <f t="shared" si="120"/>
        <v>1</v>
      </c>
      <c r="J1602" s="2">
        <f t="shared" si="121"/>
        <v>0.443</v>
      </c>
      <c r="K1602">
        <f t="shared" si="122"/>
        <v>2.2573363431151243</v>
      </c>
      <c r="L1602" t="str">
        <f t="shared" si="123"/>
        <v>Funded</v>
      </c>
      <c r="M1602">
        <f t="shared" si="124"/>
        <v>0.81418550893700148</v>
      </c>
    </row>
    <row r="1603" spans="1:13" x14ac:dyDescent="0.25">
      <c r="A1603" t="s">
        <v>3350</v>
      </c>
      <c r="B1603" t="s">
        <v>125</v>
      </c>
      <c r="C1603" t="s">
        <v>2435</v>
      </c>
      <c r="D1603" t="s">
        <v>1186</v>
      </c>
      <c r="E1603" t="s">
        <v>20</v>
      </c>
      <c r="F1603" t="s">
        <v>21</v>
      </c>
      <c r="H1603">
        <v>1</v>
      </c>
      <c r="I1603">
        <f t="shared" ref="I1603:I1666" si="125">IF(B1603="","",
VALUE(SUBSTITUTE(SUBSTITUTE(B1603,"$",""),"B","")))</f>
        <v>1</v>
      </c>
      <c r="J1603" s="2">
        <f t="shared" ref="J1603:J1666" si="126">IF(C1603="","",
IF(C1603="$0",0,
IF(RIGHT(C1603,1)="B",
VALUE(SUBSTITUTE(SUBSTITUTE(C1603,"$",""),"B","")),
IF(RIGHT(C1603,1)="M",
VALUE(SUBSTITUTE(SUBSTITUTE(C1603,"$",""),"M",""))/1000,
IF(RIGHT(C1603,1)="K",
VALUE(SUBSTITUTE(SUBSTITUTE(C1603,"$",""),"K",""))/1000000,
VALUE(SUBSTITUTE(C1603,"$",""))
)))))</f>
        <v>0.29199999999999998</v>
      </c>
      <c r="K1603">
        <f t="shared" ref="K1603:K1666" si="127">IF(J1603&gt;0,I1603/J1603,"")</f>
        <v>3.4246575342465757</v>
      </c>
      <c r="L1603" t="str">
        <f t="shared" ref="L1603:L1666" si="128">IF(J1603=0,"Bootstrapped","Funded")</f>
        <v>Funded</v>
      </c>
      <c r="M1603">
        <f t="shared" ref="M1603:M1666" si="129">IF(AND(I1603&gt;0,J1603&gt;0),LN(I1603/J1603),"")</f>
        <v>1.2310014767138555</v>
      </c>
    </row>
    <row r="1604" spans="1:13" x14ac:dyDescent="0.25">
      <c r="A1604" t="s">
        <v>3351</v>
      </c>
      <c r="B1604" t="s">
        <v>125</v>
      </c>
      <c r="C1604" t="s">
        <v>1504</v>
      </c>
      <c r="D1604" t="s">
        <v>3352</v>
      </c>
      <c r="E1604" t="s">
        <v>554</v>
      </c>
      <c r="F1604" t="s">
        <v>526</v>
      </c>
      <c r="H1604">
        <v>1</v>
      </c>
      <c r="I1604">
        <f t="shared" si="125"/>
        <v>1</v>
      </c>
      <c r="J1604" s="2">
        <f t="shared" si="126"/>
        <v>0.33600000000000002</v>
      </c>
      <c r="K1604">
        <f t="shared" si="127"/>
        <v>2.9761904761904758</v>
      </c>
      <c r="L1604" t="str">
        <f t="shared" si="128"/>
        <v>Funded</v>
      </c>
      <c r="M1604">
        <f t="shared" si="129"/>
        <v>1.0906441190189327</v>
      </c>
    </row>
    <row r="1605" spans="1:13" x14ac:dyDescent="0.25">
      <c r="A1605" t="s">
        <v>3353</v>
      </c>
      <c r="B1605" t="s">
        <v>125</v>
      </c>
      <c r="C1605" t="s">
        <v>1185</v>
      </c>
      <c r="D1605" t="s">
        <v>1318</v>
      </c>
      <c r="E1605" t="s">
        <v>20</v>
      </c>
      <c r="F1605" t="s">
        <v>21</v>
      </c>
      <c r="H1605">
        <v>1</v>
      </c>
      <c r="I1605">
        <f t="shared" si="125"/>
        <v>1</v>
      </c>
      <c r="J1605" s="2">
        <f t="shared" si="126"/>
        <v>0.23499999999999999</v>
      </c>
      <c r="K1605">
        <f t="shared" si="127"/>
        <v>4.2553191489361701</v>
      </c>
      <c r="L1605" t="str">
        <f t="shared" si="128"/>
        <v>Funded</v>
      </c>
      <c r="M1605">
        <f t="shared" si="129"/>
        <v>1.4481697648379781</v>
      </c>
    </row>
    <row r="1606" spans="1:13" x14ac:dyDescent="0.25">
      <c r="A1606" t="s">
        <v>3354</v>
      </c>
      <c r="B1606" t="s">
        <v>125</v>
      </c>
      <c r="C1606" t="s">
        <v>1734</v>
      </c>
      <c r="D1606" t="s">
        <v>2782</v>
      </c>
      <c r="E1606" t="s">
        <v>20</v>
      </c>
      <c r="F1606" t="s">
        <v>21</v>
      </c>
      <c r="H1606">
        <v>1</v>
      </c>
      <c r="I1606">
        <f t="shared" si="125"/>
        <v>1</v>
      </c>
      <c r="J1606" s="2">
        <f t="shared" si="126"/>
        <v>9.6000000000000002E-2</v>
      </c>
      <c r="K1606">
        <f t="shared" si="127"/>
        <v>10.416666666666666</v>
      </c>
      <c r="L1606" t="str">
        <f t="shared" si="128"/>
        <v>Funded</v>
      </c>
      <c r="M1606">
        <f t="shared" si="129"/>
        <v>2.3434070875143007</v>
      </c>
    </row>
    <row r="1607" spans="1:13" x14ac:dyDescent="0.25">
      <c r="A1607" t="s">
        <v>3355</v>
      </c>
      <c r="B1607" t="s">
        <v>125</v>
      </c>
      <c r="C1607" t="s">
        <v>1980</v>
      </c>
      <c r="D1607" t="s">
        <v>3356</v>
      </c>
      <c r="E1607" t="s">
        <v>170</v>
      </c>
      <c r="F1607" t="s">
        <v>50</v>
      </c>
      <c r="H1607">
        <v>1</v>
      </c>
      <c r="I1607">
        <f t="shared" si="125"/>
        <v>1</v>
      </c>
      <c r="J1607" s="2">
        <f t="shared" si="126"/>
        <v>0.27</v>
      </c>
      <c r="K1607">
        <f t="shared" si="127"/>
        <v>3.7037037037037033</v>
      </c>
      <c r="L1607" t="str">
        <f t="shared" si="128"/>
        <v>Funded</v>
      </c>
      <c r="M1607">
        <f t="shared" si="129"/>
        <v>1.3093333199837622</v>
      </c>
    </row>
    <row r="1608" spans="1:13" x14ac:dyDescent="0.25">
      <c r="A1608" t="s">
        <v>3357</v>
      </c>
      <c r="B1608" t="s">
        <v>125</v>
      </c>
      <c r="C1608" t="s">
        <v>780</v>
      </c>
      <c r="D1608" t="s">
        <v>3358</v>
      </c>
      <c r="E1608" t="s">
        <v>20</v>
      </c>
      <c r="F1608" t="s">
        <v>21</v>
      </c>
      <c r="H1608">
        <v>1</v>
      </c>
      <c r="I1608">
        <f t="shared" si="125"/>
        <v>1</v>
      </c>
      <c r="J1608" s="2">
        <f t="shared" si="126"/>
        <v>0.45</v>
      </c>
      <c r="K1608">
        <f t="shared" si="127"/>
        <v>2.2222222222222223</v>
      </c>
      <c r="L1608" t="str">
        <f t="shared" si="128"/>
        <v>Funded</v>
      </c>
      <c r="M1608">
        <f t="shared" si="129"/>
        <v>0.79850769621777162</v>
      </c>
    </row>
    <row r="1609" spans="1:13" x14ac:dyDescent="0.25">
      <c r="A1609" t="s">
        <v>3359</v>
      </c>
      <c r="B1609" t="s">
        <v>125</v>
      </c>
      <c r="C1609" t="s">
        <v>3360</v>
      </c>
      <c r="D1609" t="s">
        <v>79</v>
      </c>
      <c r="E1609" t="s">
        <v>10</v>
      </c>
      <c r="F1609" t="s">
        <v>11</v>
      </c>
      <c r="H1609">
        <v>1</v>
      </c>
      <c r="I1609">
        <f t="shared" si="125"/>
        <v>1</v>
      </c>
      <c r="J1609" s="2">
        <f t="shared" si="126"/>
        <v>0.442</v>
      </c>
      <c r="K1609">
        <f t="shared" si="127"/>
        <v>2.2624434389140271</v>
      </c>
      <c r="L1609" t="str">
        <f t="shared" si="128"/>
        <v>Funded</v>
      </c>
      <c r="M1609">
        <f t="shared" si="129"/>
        <v>0.81644539690443896</v>
      </c>
    </row>
    <row r="1610" spans="1:13" x14ac:dyDescent="0.25">
      <c r="A1610" t="s">
        <v>3361</v>
      </c>
      <c r="B1610" t="s">
        <v>125</v>
      </c>
      <c r="C1610" t="s">
        <v>333</v>
      </c>
      <c r="D1610" t="s">
        <v>752</v>
      </c>
      <c r="E1610" t="s">
        <v>10</v>
      </c>
      <c r="F1610" t="s">
        <v>11</v>
      </c>
      <c r="H1610">
        <v>1</v>
      </c>
      <c r="I1610">
        <f t="shared" si="125"/>
        <v>1</v>
      </c>
      <c r="J1610" s="2">
        <f t="shared" si="126"/>
        <v>0.105</v>
      </c>
      <c r="K1610">
        <f t="shared" si="127"/>
        <v>9.5238095238095237</v>
      </c>
      <c r="L1610" t="str">
        <f t="shared" si="128"/>
        <v>Funded</v>
      </c>
      <c r="M1610">
        <f t="shared" si="129"/>
        <v>2.2537949288246137</v>
      </c>
    </row>
    <row r="1611" spans="1:13" x14ac:dyDescent="0.25">
      <c r="A1611" t="s">
        <v>3362</v>
      </c>
      <c r="B1611" t="s">
        <v>125</v>
      </c>
      <c r="C1611" t="s">
        <v>3363</v>
      </c>
      <c r="D1611" t="s">
        <v>3364</v>
      </c>
      <c r="E1611" t="s">
        <v>350</v>
      </c>
      <c r="F1611" t="s">
        <v>21</v>
      </c>
      <c r="H1611">
        <v>1</v>
      </c>
      <c r="I1611">
        <f t="shared" si="125"/>
        <v>1</v>
      </c>
      <c r="J1611" s="2">
        <f t="shared" si="126"/>
        <v>8.5999999999999993E-2</v>
      </c>
      <c r="K1611">
        <f t="shared" si="127"/>
        <v>11.627906976744187</v>
      </c>
      <c r="L1611" t="str">
        <f t="shared" si="128"/>
        <v>Funded</v>
      </c>
      <c r="M1611">
        <f t="shared" si="129"/>
        <v>2.4534079827286295</v>
      </c>
    </row>
    <row r="1612" spans="1:13" x14ac:dyDescent="0.25">
      <c r="A1612" t="s">
        <v>3365</v>
      </c>
      <c r="B1612" t="s">
        <v>125</v>
      </c>
      <c r="C1612" t="s">
        <v>3240</v>
      </c>
      <c r="D1612" t="s">
        <v>2149</v>
      </c>
      <c r="E1612" t="s">
        <v>20</v>
      </c>
      <c r="F1612" t="s">
        <v>21</v>
      </c>
      <c r="H1612">
        <v>1</v>
      </c>
      <c r="I1612">
        <f t="shared" si="125"/>
        <v>1</v>
      </c>
      <c r="J1612" s="2">
        <f t="shared" si="126"/>
        <v>0.187</v>
      </c>
      <c r="K1612">
        <f t="shared" si="127"/>
        <v>5.3475935828877006</v>
      </c>
      <c r="L1612" t="str">
        <f t="shared" si="128"/>
        <v>Funded</v>
      </c>
      <c r="M1612">
        <f t="shared" si="129"/>
        <v>1.6766466621275504</v>
      </c>
    </row>
    <row r="1613" spans="1:13" x14ac:dyDescent="0.25">
      <c r="A1613" t="s">
        <v>3366</v>
      </c>
      <c r="B1613" t="s">
        <v>125</v>
      </c>
      <c r="C1613" t="s">
        <v>3367</v>
      </c>
      <c r="D1613" t="s">
        <v>3224</v>
      </c>
      <c r="E1613" t="s">
        <v>20</v>
      </c>
      <c r="F1613" t="s">
        <v>21</v>
      </c>
      <c r="H1613">
        <v>1</v>
      </c>
      <c r="I1613">
        <f t="shared" si="125"/>
        <v>1</v>
      </c>
      <c r="J1613" s="2">
        <f t="shared" si="126"/>
        <v>0.99</v>
      </c>
      <c r="K1613">
        <f t="shared" si="127"/>
        <v>1.0101010101010102</v>
      </c>
      <c r="L1613" t="str">
        <f t="shared" si="128"/>
        <v>Funded</v>
      </c>
      <c r="M1613">
        <f t="shared" si="129"/>
        <v>1.0050335853501506E-2</v>
      </c>
    </row>
    <row r="1614" spans="1:13" x14ac:dyDescent="0.25">
      <c r="A1614" t="s">
        <v>3368</v>
      </c>
      <c r="B1614" t="s">
        <v>125</v>
      </c>
      <c r="C1614" t="s">
        <v>1205</v>
      </c>
      <c r="D1614" t="s">
        <v>1186</v>
      </c>
      <c r="E1614" t="s">
        <v>20</v>
      </c>
      <c r="F1614" t="s">
        <v>21</v>
      </c>
      <c r="H1614">
        <v>1</v>
      </c>
      <c r="I1614">
        <f t="shared" si="125"/>
        <v>1</v>
      </c>
      <c r="J1614" s="2">
        <f t="shared" si="126"/>
        <v>0.3</v>
      </c>
      <c r="K1614">
        <f t="shared" si="127"/>
        <v>3.3333333333333335</v>
      </c>
      <c r="L1614" t="str">
        <f t="shared" si="128"/>
        <v>Funded</v>
      </c>
      <c r="M1614">
        <f t="shared" si="129"/>
        <v>1.2039728043259361</v>
      </c>
    </row>
    <row r="1615" spans="1:13" x14ac:dyDescent="0.25">
      <c r="A1615" t="s">
        <v>3369</v>
      </c>
      <c r="B1615" t="s">
        <v>125</v>
      </c>
      <c r="C1615" s="1">
        <v>0</v>
      </c>
      <c r="E1615" t="s">
        <v>49</v>
      </c>
      <c r="F1615" t="s">
        <v>50</v>
      </c>
      <c r="H1615">
        <v>1</v>
      </c>
      <c r="I1615">
        <f t="shared" si="125"/>
        <v>1</v>
      </c>
      <c r="J1615" s="2">
        <f t="shared" si="126"/>
        <v>0</v>
      </c>
      <c r="K1615" t="str">
        <f t="shared" si="127"/>
        <v/>
      </c>
      <c r="L1615" t="str">
        <f t="shared" si="128"/>
        <v>Bootstrapped</v>
      </c>
      <c r="M1615" t="str">
        <f t="shared" si="129"/>
        <v/>
      </c>
    </row>
    <row r="1616" spans="1:13" x14ac:dyDescent="0.25">
      <c r="A1616" t="s">
        <v>3370</v>
      </c>
      <c r="B1616" t="s">
        <v>125</v>
      </c>
      <c r="C1616" t="s">
        <v>1597</v>
      </c>
      <c r="D1616" t="s">
        <v>3371</v>
      </c>
      <c r="E1616" t="s">
        <v>20</v>
      </c>
      <c r="F1616" t="s">
        <v>21</v>
      </c>
      <c r="H1616">
        <v>1</v>
      </c>
      <c r="I1616">
        <f t="shared" si="125"/>
        <v>1</v>
      </c>
      <c r="J1616" s="2">
        <f t="shared" si="126"/>
        <v>0.224</v>
      </c>
      <c r="K1616">
        <f t="shared" si="127"/>
        <v>4.4642857142857144</v>
      </c>
      <c r="L1616" t="str">
        <f t="shared" si="128"/>
        <v>Funded</v>
      </c>
      <c r="M1616">
        <f t="shared" si="129"/>
        <v>1.4961092271270973</v>
      </c>
    </row>
    <row r="1617" spans="1:13" x14ac:dyDescent="0.25">
      <c r="A1617" t="s">
        <v>3372</v>
      </c>
      <c r="B1617" t="s">
        <v>125</v>
      </c>
      <c r="C1617" t="s">
        <v>3373</v>
      </c>
      <c r="D1617" t="s">
        <v>3374</v>
      </c>
      <c r="E1617" t="s">
        <v>652</v>
      </c>
      <c r="F1617" t="s">
        <v>50</v>
      </c>
      <c r="H1617">
        <v>1</v>
      </c>
      <c r="I1617">
        <f t="shared" si="125"/>
        <v>1</v>
      </c>
      <c r="J1617" s="2">
        <f t="shared" si="126"/>
        <v>0.109</v>
      </c>
      <c r="K1617">
        <f t="shared" si="127"/>
        <v>9.1743119266055047</v>
      </c>
      <c r="L1617" t="str">
        <f t="shared" si="128"/>
        <v>Funded</v>
      </c>
      <c r="M1617">
        <f t="shared" si="129"/>
        <v>2.2164073967529934</v>
      </c>
    </row>
    <row r="1618" spans="1:13" x14ac:dyDescent="0.25">
      <c r="A1618" t="s">
        <v>3375</v>
      </c>
      <c r="B1618" t="s">
        <v>125</v>
      </c>
      <c r="C1618" t="s">
        <v>645</v>
      </c>
      <c r="D1618" t="s">
        <v>3376</v>
      </c>
      <c r="E1618" t="s">
        <v>10</v>
      </c>
      <c r="F1618" t="s">
        <v>11</v>
      </c>
      <c r="H1618">
        <v>1</v>
      </c>
      <c r="I1618">
        <f t="shared" si="125"/>
        <v>1</v>
      </c>
      <c r="J1618" s="2">
        <f t="shared" si="126"/>
        <v>0.2</v>
      </c>
      <c r="K1618">
        <f t="shared" si="127"/>
        <v>5</v>
      </c>
      <c r="L1618" t="str">
        <f t="shared" si="128"/>
        <v>Funded</v>
      </c>
      <c r="M1618">
        <f t="shared" si="129"/>
        <v>1.6094379124341003</v>
      </c>
    </row>
    <row r="1619" spans="1:13" x14ac:dyDescent="0.25">
      <c r="A1619" t="s">
        <v>3377</v>
      </c>
      <c r="B1619" t="s">
        <v>125</v>
      </c>
      <c r="C1619" t="s">
        <v>3128</v>
      </c>
      <c r="D1619" t="s">
        <v>159</v>
      </c>
      <c r="E1619" t="s">
        <v>20</v>
      </c>
      <c r="F1619" t="s">
        <v>21</v>
      </c>
      <c r="H1619">
        <v>1</v>
      </c>
      <c r="I1619">
        <f t="shared" si="125"/>
        <v>1</v>
      </c>
      <c r="J1619" s="2">
        <f t="shared" si="126"/>
        <v>5.0999999999999997E-2</v>
      </c>
      <c r="K1619">
        <f t="shared" si="127"/>
        <v>19.607843137254903</v>
      </c>
      <c r="L1619" t="str">
        <f t="shared" si="128"/>
        <v>Funded</v>
      </c>
      <c r="M1619">
        <f t="shared" si="129"/>
        <v>2.9759296462578115</v>
      </c>
    </row>
    <row r="1620" spans="1:13" x14ac:dyDescent="0.25">
      <c r="A1620" t="s">
        <v>3378</v>
      </c>
      <c r="B1620" t="s">
        <v>125</v>
      </c>
      <c r="C1620" t="s">
        <v>1375</v>
      </c>
      <c r="E1620" t="s">
        <v>20</v>
      </c>
      <c r="F1620" t="s">
        <v>21</v>
      </c>
      <c r="H1620">
        <v>1</v>
      </c>
      <c r="I1620">
        <f t="shared" si="125"/>
        <v>1</v>
      </c>
      <c r="J1620" s="2">
        <f t="shared" si="126"/>
        <v>0.19</v>
      </c>
      <c r="K1620">
        <f t="shared" si="127"/>
        <v>5.2631578947368425</v>
      </c>
      <c r="L1620" t="str">
        <f t="shared" si="128"/>
        <v>Funded</v>
      </c>
      <c r="M1620">
        <f t="shared" si="129"/>
        <v>1.6607312068216509</v>
      </c>
    </row>
    <row r="1621" spans="1:13" x14ac:dyDescent="0.25">
      <c r="A1621" t="s">
        <v>3379</v>
      </c>
      <c r="B1621" t="s">
        <v>125</v>
      </c>
      <c r="C1621" t="s">
        <v>1409</v>
      </c>
      <c r="D1621" t="s">
        <v>3380</v>
      </c>
      <c r="E1621" t="s">
        <v>326</v>
      </c>
      <c r="F1621" t="s">
        <v>21</v>
      </c>
      <c r="H1621">
        <v>1</v>
      </c>
      <c r="I1621">
        <f t="shared" si="125"/>
        <v>1</v>
      </c>
      <c r="J1621" s="2">
        <f t="shared" si="126"/>
        <v>0.55000000000000004</v>
      </c>
      <c r="K1621">
        <f t="shared" si="127"/>
        <v>1.8181818181818181</v>
      </c>
      <c r="L1621" t="str">
        <f t="shared" si="128"/>
        <v>Funded</v>
      </c>
      <c r="M1621">
        <f t="shared" si="129"/>
        <v>0.59783700075562041</v>
      </c>
    </row>
    <row r="1622" spans="1:13" x14ac:dyDescent="0.25">
      <c r="A1622" t="s">
        <v>3381</v>
      </c>
      <c r="B1622" t="s">
        <v>125</v>
      </c>
      <c r="C1622" t="s">
        <v>1875</v>
      </c>
      <c r="D1622" t="s">
        <v>3382</v>
      </c>
      <c r="E1622" t="s">
        <v>294</v>
      </c>
      <c r="F1622" t="s">
        <v>21</v>
      </c>
      <c r="H1622">
        <v>1</v>
      </c>
      <c r="I1622">
        <f t="shared" si="125"/>
        <v>1</v>
      </c>
      <c r="J1622" s="2">
        <f t="shared" si="126"/>
        <v>0.1</v>
      </c>
      <c r="K1622">
        <f t="shared" si="127"/>
        <v>10</v>
      </c>
      <c r="L1622" t="str">
        <f t="shared" si="128"/>
        <v>Funded</v>
      </c>
      <c r="M1622">
        <f t="shared" si="129"/>
        <v>2.3025850929940459</v>
      </c>
    </row>
    <row r="1623" spans="1:13" x14ac:dyDescent="0.25">
      <c r="A1623" t="s">
        <v>3383</v>
      </c>
      <c r="B1623" t="s">
        <v>125</v>
      </c>
      <c r="C1623" t="s">
        <v>3384</v>
      </c>
      <c r="D1623" t="s">
        <v>3385</v>
      </c>
      <c r="E1623" t="s">
        <v>1564</v>
      </c>
      <c r="F1623" t="s">
        <v>109</v>
      </c>
      <c r="H1623">
        <v>1</v>
      </c>
      <c r="I1623">
        <f t="shared" si="125"/>
        <v>1</v>
      </c>
      <c r="J1623" s="2">
        <f t="shared" si="126"/>
        <v>0.32100000000000001</v>
      </c>
      <c r="K1623">
        <f t="shared" si="127"/>
        <v>3.1152647975077881</v>
      </c>
      <c r="L1623" t="str">
        <f t="shared" si="128"/>
        <v>Funded</v>
      </c>
      <c r="M1623">
        <f t="shared" si="129"/>
        <v>1.1363141558521213</v>
      </c>
    </row>
    <row r="1624" spans="1:13" x14ac:dyDescent="0.25">
      <c r="A1624" t="s">
        <v>3386</v>
      </c>
      <c r="B1624" t="s">
        <v>125</v>
      </c>
      <c r="C1624" t="s">
        <v>1743</v>
      </c>
      <c r="D1624" t="s">
        <v>3387</v>
      </c>
      <c r="E1624" t="s">
        <v>20</v>
      </c>
      <c r="F1624" t="s">
        <v>21</v>
      </c>
      <c r="H1624">
        <v>1</v>
      </c>
      <c r="I1624">
        <f t="shared" si="125"/>
        <v>1</v>
      </c>
      <c r="J1624" s="2">
        <f t="shared" si="126"/>
        <v>0.253</v>
      </c>
      <c r="K1624">
        <f t="shared" si="127"/>
        <v>3.9525691699604741</v>
      </c>
      <c r="L1624" t="str">
        <f t="shared" si="128"/>
        <v>Funded</v>
      </c>
      <c r="M1624">
        <f t="shared" si="129"/>
        <v>1.3743657902546167</v>
      </c>
    </row>
    <row r="1625" spans="1:13" x14ac:dyDescent="0.25">
      <c r="A1625" t="s">
        <v>3388</v>
      </c>
      <c r="B1625" t="s">
        <v>125</v>
      </c>
      <c r="C1625" t="s">
        <v>3128</v>
      </c>
      <c r="D1625" t="s">
        <v>3389</v>
      </c>
      <c r="E1625" t="s">
        <v>10</v>
      </c>
      <c r="F1625" t="s">
        <v>11</v>
      </c>
      <c r="H1625">
        <v>1</v>
      </c>
      <c r="I1625">
        <f t="shared" si="125"/>
        <v>1</v>
      </c>
      <c r="J1625" s="2">
        <f t="shared" si="126"/>
        <v>5.0999999999999997E-2</v>
      </c>
      <c r="K1625">
        <f t="shared" si="127"/>
        <v>19.607843137254903</v>
      </c>
      <c r="L1625" t="str">
        <f t="shared" si="128"/>
        <v>Funded</v>
      </c>
      <c r="M1625">
        <f t="shared" si="129"/>
        <v>2.9759296462578115</v>
      </c>
    </row>
    <row r="1626" spans="1:13" x14ac:dyDescent="0.25">
      <c r="A1626" t="s">
        <v>3390</v>
      </c>
      <c r="B1626" t="s">
        <v>125</v>
      </c>
      <c r="C1626" t="s">
        <v>3087</v>
      </c>
      <c r="D1626" t="s">
        <v>2168</v>
      </c>
      <c r="E1626" t="s">
        <v>20</v>
      </c>
      <c r="F1626" t="s">
        <v>21</v>
      </c>
      <c r="H1626">
        <v>1</v>
      </c>
      <c r="I1626">
        <f t="shared" si="125"/>
        <v>1</v>
      </c>
      <c r="J1626" s="2">
        <f t="shared" si="126"/>
        <v>0.23200000000000001</v>
      </c>
      <c r="K1626">
        <f t="shared" si="127"/>
        <v>4.3103448275862064</v>
      </c>
      <c r="L1626" t="str">
        <f t="shared" si="128"/>
        <v>Funded</v>
      </c>
      <c r="M1626">
        <f t="shared" si="129"/>
        <v>1.4610179073158269</v>
      </c>
    </row>
    <row r="1627" spans="1:13" x14ac:dyDescent="0.25">
      <c r="A1627" t="s">
        <v>3391</v>
      </c>
      <c r="B1627" t="s">
        <v>125</v>
      </c>
      <c r="C1627" t="s">
        <v>628</v>
      </c>
      <c r="D1627" t="s">
        <v>3392</v>
      </c>
      <c r="E1627" t="s">
        <v>445</v>
      </c>
      <c r="F1627" t="s">
        <v>50</v>
      </c>
      <c r="H1627">
        <v>1</v>
      </c>
      <c r="I1627">
        <f t="shared" si="125"/>
        <v>1</v>
      </c>
      <c r="J1627" s="2">
        <f t="shared" si="126"/>
        <v>0.17</v>
      </c>
      <c r="K1627">
        <f t="shared" si="127"/>
        <v>5.8823529411764701</v>
      </c>
      <c r="L1627" t="str">
        <f t="shared" si="128"/>
        <v>Funded</v>
      </c>
      <c r="M1627">
        <f t="shared" si="129"/>
        <v>1.7719568419318752</v>
      </c>
    </row>
    <row r="1628" spans="1:13" x14ac:dyDescent="0.25">
      <c r="A1628" t="s">
        <v>3393</v>
      </c>
      <c r="B1628" t="s">
        <v>125</v>
      </c>
      <c r="C1628" t="s">
        <v>3394</v>
      </c>
      <c r="D1628" t="s">
        <v>3395</v>
      </c>
      <c r="E1628" t="s">
        <v>20</v>
      </c>
      <c r="F1628" t="s">
        <v>21</v>
      </c>
      <c r="H1628">
        <v>1</v>
      </c>
      <c r="I1628">
        <f t="shared" si="125"/>
        <v>1</v>
      </c>
      <c r="J1628" s="2">
        <f t="shared" si="126"/>
        <v>0.34899999999999998</v>
      </c>
      <c r="K1628">
        <f t="shared" si="127"/>
        <v>2.8653295128939829</v>
      </c>
      <c r="L1628" t="str">
        <f t="shared" si="128"/>
        <v>Funded</v>
      </c>
      <c r="M1628">
        <f t="shared" si="129"/>
        <v>1.0526833567797098</v>
      </c>
    </row>
    <row r="1629" spans="1:13" x14ac:dyDescent="0.25">
      <c r="A1629" t="s">
        <v>3396</v>
      </c>
      <c r="B1629" t="s">
        <v>125</v>
      </c>
      <c r="C1629" t="s">
        <v>3397</v>
      </c>
      <c r="D1629" t="s">
        <v>578</v>
      </c>
      <c r="E1629" t="s">
        <v>20</v>
      </c>
      <c r="F1629" t="s">
        <v>21</v>
      </c>
      <c r="H1629">
        <v>1</v>
      </c>
      <c r="I1629">
        <f t="shared" si="125"/>
        <v>1</v>
      </c>
      <c r="J1629" s="2">
        <f t="shared" si="126"/>
        <v>0.68200000000000005</v>
      </c>
      <c r="K1629">
        <f t="shared" si="127"/>
        <v>1.4662756598240467</v>
      </c>
      <c r="L1629" t="str">
        <f t="shared" si="128"/>
        <v>Funded</v>
      </c>
      <c r="M1629">
        <f t="shared" si="129"/>
        <v>0.38272562113867481</v>
      </c>
    </row>
    <row r="1630" spans="1:13" x14ac:dyDescent="0.25">
      <c r="A1630" t="s">
        <v>3398</v>
      </c>
      <c r="B1630" t="s">
        <v>125</v>
      </c>
      <c r="C1630" t="s">
        <v>2713</v>
      </c>
      <c r="D1630" t="s">
        <v>3206</v>
      </c>
      <c r="E1630" t="s">
        <v>10</v>
      </c>
      <c r="F1630" t="s">
        <v>11</v>
      </c>
      <c r="H1630">
        <v>1</v>
      </c>
      <c r="I1630">
        <f t="shared" si="125"/>
        <v>1</v>
      </c>
      <c r="J1630" s="2">
        <f t="shared" si="126"/>
        <v>0.26900000000000002</v>
      </c>
      <c r="K1630">
        <f t="shared" si="127"/>
        <v>3.7174721189591078</v>
      </c>
      <c r="L1630" t="str">
        <f t="shared" si="128"/>
        <v>Funded</v>
      </c>
      <c r="M1630">
        <f t="shared" si="129"/>
        <v>1.313043899380298</v>
      </c>
    </row>
    <row r="1631" spans="1:13" x14ac:dyDescent="0.25">
      <c r="A1631" t="s">
        <v>3399</v>
      </c>
      <c r="B1631" t="s">
        <v>125</v>
      </c>
      <c r="C1631" t="s">
        <v>3400</v>
      </c>
      <c r="D1631" t="s">
        <v>15</v>
      </c>
      <c r="E1631" t="s">
        <v>10</v>
      </c>
      <c r="F1631" t="s">
        <v>11</v>
      </c>
      <c r="H1631">
        <v>1</v>
      </c>
      <c r="I1631">
        <f t="shared" si="125"/>
        <v>1</v>
      </c>
      <c r="J1631" s="2">
        <f t="shared" si="126"/>
        <v>0.52800000000000002</v>
      </c>
      <c r="K1631">
        <f t="shared" si="127"/>
        <v>1.8939393939393938</v>
      </c>
      <c r="L1631" t="str">
        <f t="shared" si="128"/>
        <v>Funded</v>
      </c>
      <c r="M1631">
        <f t="shared" si="129"/>
        <v>0.63865899527587555</v>
      </c>
    </row>
    <row r="1632" spans="1:13" x14ac:dyDescent="0.25">
      <c r="A1632" t="s">
        <v>3401</v>
      </c>
      <c r="B1632" t="s">
        <v>125</v>
      </c>
      <c r="C1632" t="s">
        <v>1205</v>
      </c>
      <c r="E1632" t="s">
        <v>20</v>
      </c>
      <c r="F1632" t="s">
        <v>21</v>
      </c>
      <c r="H1632">
        <v>1</v>
      </c>
      <c r="I1632">
        <f t="shared" si="125"/>
        <v>1</v>
      </c>
      <c r="J1632" s="2">
        <f t="shared" si="126"/>
        <v>0.3</v>
      </c>
      <c r="K1632">
        <f t="shared" si="127"/>
        <v>3.3333333333333335</v>
      </c>
      <c r="L1632" t="str">
        <f t="shared" si="128"/>
        <v>Funded</v>
      </c>
      <c r="M1632">
        <f t="shared" si="129"/>
        <v>1.2039728043259361</v>
      </c>
    </row>
    <row r="1633" spans="1:13" x14ac:dyDescent="0.25">
      <c r="A1633" t="s">
        <v>3402</v>
      </c>
      <c r="B1633" t="s">
        <v>125</v>
      </c>
      <c r="C1633" t="s">
        <v>1219</v>
      </c>
      <c r="D1633" t="s">
        <v>559</v>
      </c>
      <c r="E1633" t="s">
        <v>20</v>
      </c>
      <c r="F1633" t="s">
        <v>21</v>
      </c>
      <c r="H1633">
        <v>1</v>
      </c>
      <c r="I1633">
        <f t="shared" si="125"/>
        <v>1</v>
      </c>
      <c r="J1633" s="2">
        <f t="shared" si="126"/>
        <v>0.69699999999999995</v>
      </c>
      <c r="K1633">
        <f t="shared" si="127"/>
        <v>1.4347202295552368</v>
      </c>
      <c r="L1633" t="str">
        <f t="shared" si="128"/>
        <v>Funded</v>
      </c>
      <c r="M1633">
        <f t="shared" si="129"/>
        <v>0.36096986822161325</v>
      </c>
    </row>
    <row r="1634" spans="1:13" x14ac:dyDescent="0.25">
      <c r="A1634" t="s">
        <v>3403</v>
      </c>
      <c r="B1634" t="s">
        <v>125</v>
      </c>
      <c r="C1634" t="s">
        <v>607</v>
      </c>
      <c r="D1634" t="s">
        <v>209</v>
      </c>
      <c r="E1634" t="s">
        <v>20</v>
      </c>
      <c r="F1634" t="s">
        <v>21</v>
      </c>
      <c r="H1634">
        <v>1</v>
      </c>
      <c r="I1634">
        <f t="shared" si="125"/>
        <v>1</v>
      </c>
      <c r="J1634" s="2">
        <f t="shared" si="126"/>
        <v>0.65</v>
      </c>
      <c r="K1634">
        <f t="shared" si="127"/>
        <v>1.5384615384615383</v>
      </c>
      <c r="L1634" t="str">
        <f t="shared" si="128"/>
        <v>Funded</v>
      </c>
      <c r="M1634">
        <f t="shared" si="129"/>
        <v>0.43078291609245417</v>
      </c>
    </row>
    <row r="1635" spans="1:13" x14ac:dyDescent="0.25">
      <c r="A1635" t="s">
        <v>3404</v>
      </c>
      <c r="B1635" t="s">
        <v>125</v>
      </c>
      <c r="C1635" t="s">
        <v>2736</v>
      </c>
      <c r="D1635" t="s">
        <v>103</v>
      </c>
      <c r="E1635" t="s">
        <v>384</v>
      </c>
      <c r="F1635" t="s">
        <v>21</v>
      </c>
      <c r="H1635">
        <v>1</v>
      </c>
      <c r="I1635">
        <f t="shared" si="125"/>
        <v>1</v>
      </c>
      <c r="J1635" s="2">
        <f t="shared" si="126"/>
        <v>0.14399999999999999</v>
      </c>
      <c r="K1635">
        <f t="shared" si="127"/>
        <v>6.9444444444444446</v>
      </c>
      <c r="L1635" t="str">
        <f t="shared" si="128"/>
        <v>Funded</v>
      </c>
      <c r="M1635">
        <f t="shared" si="129"/>
        <v>1.9379419794061366</v>
      </c>
    </row>
    <row r="1636" spans="1:13" x14ac:dyDescent="0.25">
      <c r="A1636" t="s">
        <v>3405</v>
      </c>
      <c r="B1636" t="s">
        <v>125</v>
      </c>
      <c r="C1636" t="s">
        <v>1717</v>
      </c>
      <c r="D1636" t="s">
        <v>3406</v>
      </c>
      <c r="E1636" t="s">
        <v>20</v>
      </c>
      <c r="F1636" t="s">
        <v>21</v>
      </c>
      <c r="H1636">
        <v>1</v>
      </c>
      <c r="I1636">
        <f t="shared" si="125"/>
        <v>1</v>
      </c>
      <c r="J1636" s="2">
        <f t="shared" si="126"/>
        <v>0.30199999999999999</v>
      </c>
      <c r="K1636">
        <f t="shared" si="127"/>
        <v>3.3112582781456954</v>
      </c>
      <c r="L1636" t="str">
        <f t="shared" si="128"/>
        <v>Funded</v>
      </c>
      <c r="M1636">
        <f t="shared" si="129"/>
        <v>1.1973282616072674</v>
      </c>
    </row>
    <row r="1637" spans="1:13" x14ac:dyDescent="0.25">
      <c r="A1637" t="s">
        <v>3407</v>
      </c>
      <c r="B1637" t="s">
        <v>125</v>
      </c>
      <c r="C1637" t="s">
        <v>1975</v>
      </c>
      <c r="D1637" t="s">
        <v>454</v>
      </c>
      <c r="E1637" t="s">
        <v>20</v>
      </c>
      <c r="F1637" t="s">
        <v>21</v>
      </c>
      <c r="H1637">
        <v>1</v>
      </c>
      <c r="I1637">
        <f t="shared" si="125"/>
        <v>1</v>
      </c>
      <c r="J1637" s="2">
        <f t="shared" si="126"/>
        <v>0.30599999999999999</v>
      </c>
      <c r="K1637">
        <f t="shared" si="127"/>
        <v>3.2679738562091503</v>
      </c>
      <c r="L1637" t="str">
        <f t="shared" si="128"/>
        <v>Funded</v>
      </c>
      <c r="M1637">
        <f t="shared" si="129"/>
        <v>1.1841701770297564</v>
      </c>
    </row>
    <row r="1638" spans="1:13" x14ac:dyDescent="0.25">
      <c r="A1638" t="s">
        <v>3408</v>
      </c>
      <c r="B1638" t="s">
        <v>125</v>
      </c>
      <c r="C1638" t="s">
        <v>2585</v>
      </c>
      <c r="D1638" t="s">
        <v>3409</v>
      </c>
      <c r="E1638" t="s">
        <v>20</v>
      </c>
      <c r="F1638" t="s">
        <v>21</v>
      </c>
      <c r="H1638">
        <v>1</v>
      </c>
      <c r="I1638">
        <f t="shared" si="125"/>
        <v>1</v>
      </c>
      <c r="J1638" s="2">
        <f t="shared" si="126"/>
        <v>0.151</v>
      </c>
      <c r="K1638">
        <f t="shared" si="127"/>
        <v>6.6225165562913908</v>
      </c>
      <c r="L1638" t="str">
        <f t="shared" si="128"/>
        <v>Funded</v>
      </c>
      <c r="M1638">
        <f t="shared" si="129"/>
        <v>1.8904754421672127</v>
      </c>
    </row>
    <row r="1639" spans="1:13" x14ac:dyDescent="0.25">
      <c r="A1639" t="s">
        <v>3410</v>
      </c>
      <c r="B1639" t="s">
        <v>125</v>
      </c>
      <c r="C1639" t="s">
        <v>2423</v>
      </c>
      <c r="D1639" t="s">
        <v>66</v>
      </c>
      <c r="E1639" t="s">
        <v>10</v>
      </c>
      <c r="F1639" t="s">
        <v>11</v>
      </c>
      <c r="H1639">
        <v>1</v>
      </c>
      <c r="I1639">
        <f t="shared" si="125"/>
        <v>1</v>
      </c>
      <c r="J1639" s="2">
        <f t="shared" si="126"/>
        <v>0.16</v>
      </c>
      <c r="K1639">
        <f t="shared" si="127"/>
        <v>6.25</v>
      </c>
      <c r="L1639" t="str">
        <f t="shared" si="128"/>
        <v>Funded</v>
      </c>
      <c r="M1639">
        <f t="shared" si="129"/>
        <v>1.8325814637483102</v>
      </c>
    </row>
    <row r="1640" spans="1:13" x14ac:dyDescent="0.25">
      <c r="A1640" t="s">
        <v>3411</v>
      </c>
      <c r="B1640" t="s">
        <v>125</v>
      </c>
      <c r="C1640" t="s">
        <v>1991</v>
      </c>
      <c r="D1640" t="s">
        <v>722</v>
      </c>
      <c r="E1640" t="s">
        <v>10</v>
      </c>
      <c r="F1640" t="s">
        <v>11</v>
      </c>
      <c r="H1640">
        <v>1</v>
      </c>
      <c r="I1640">
        <f t="shared" si="125"/>
        <v>1</v>
      </c>
      <c r="J1640" s="2">
        <f t="shared" si="126"/>
        <v>0.62</v>
      </c>
      <c r="K1640">
        <f t="shared" si="127"/>
        <v>1.6129032258064517</v>
      </c>
      <c r="L1640" t="str">
        <f t="shared" si="128"/>
        <v>Funded</v>
      </c>
      <c r="M1640">
        <f t="shared" si="129"/>
        <v>0.47803580094299991</v>
      </c>
    </row>
    <row r="1641" spans="1:13" x14ac:dyDescent="0.25">
      <c r="A1641" t="s">
        <v>3412</v>
      </c>
      <c r="B1641" t="s">
        <v>125</v>
      </c>
      <c r="C1641" t="s">
        <v>193</v>
      </c>
      <c r="D1641" t="s">
        <v>159</v>
      </c>
      <c r="E1641" t="s">
        <v>20</v>
      </c>
      <c r="F1641" t="s">
        <v>21</v>
      </c>
      <c r="H1641">
        <v>1</v>
      </c>
      <c r="I1641">
        <f t="shared" si="125"/>
        <v>1</v>
      </c>
      <c r="J1641" s="2">
        <f t="shared" si="126"/>
        <v>0.4</v>
      </c>
      <c r="K1641">
        <f t="shared" si="127"/>
        <v>2.5</v>
      </c>
      <c r="L1641" t="str">
        <f t="shared" si="128"/>
        <v>Funded</v>
      </c>
      <c r="M1641">
        <f t="shared" si="129"/>
        <v>0.91629073187415511</v>
      </c>
    </row>
    <row r="1642" spans="1:13" x14ac:dyDescent="0.25">
      <c r="A1642" t="s">
        <v>3413</v>
      </c>
      <c r="B1642" t="s">
        <v>125</v>
      </c>
      <c r="C1642" t="s">
        <v>785</v>
      </c>
      <c r="D1642" t="s">
        <v>380</v>
      </c>
      <c r="E1642" t="s">
        <v>10</v>
      </c>
      <c r="F1642" t="s">
        <v>11</v>
      </c>
      <c r="H1642">
        <v>1</v>
      </c>
      <c r="I1642">
        <f t="shared" si="125"/>
        <v>1</v>
      </c>
      <c r="J1642" s="2">
        <f t="shared" si="126"/>
        <v>0.25</v>
      </c>
      <c r="K1642">
        <f t="shared" si="127"/>
        <v>4</v>
      </c>
      <c r="L1642" t="str">
        <f t="shared" si="128"/>
        <v>Funded</v>
      </c>
      <c r="M1642">
        <f t="shared" si="129"/>
        <v>1.3862943611198906</v>
      </c>
    </row>
    <row r="1643" spans="1:13" x14ac:dyDescent="0.25">
      <c r="A1643" t="s">
        <v>3414</v>
      </c>
      <c r="B1643" t="s">
        <v>125</v>
      </c>
      <c r="C1643" t="s">
        <v>2890</v>
      </c>
      <c r="D1643" t="s">
        <v>3415</v>
      </c>
      <c r="E1643" t="s">
        <v>187</v>
      </c>
      <c r="F1643" t="s">
        <v>50</v>
      </c>
      <c r="H1643">
        <v>1</v>
      </c>
      <c r="I1643">
        <f t="shared" si="125"/>
        <v>1</v>
      </c>
      <c r="J1643" s="2">
        <f t="shared" si="126"/>
        <v>0.22600000000000001</v>
      </c>
      <c r="K1643">
        <f t="shared" si="127"/>
        <v>4.4247787610619467</v>
      </c>
      <c r="L1643" t="str">
        <f t="shared" si="128"/>
        <v>Funded</v>
      </c>
      <c r="M1643">
        <f t="shared" si="129"/>
        <v>1.487220279709851</v>
      </c>
    </row>
    <row r="1644" spans="1:13" x14ac:dyDescent="0.25">
      <c r="A1644" t="s">
        <v>3416</v>
      </c>
      <c r="B1644" t="s">
        <v>125</v>
      </c>
      <c r="C1644" t="s">
        <v>645</v>
      </c>
      <c r="D1644" t="s">
        <v>29</v>
      </c>
      <c r="E1644" t="s">
        <v>20</v>
      </c>
      <c r="F1644" t="s">
        <v>21</v>
      </c>
      <c r="H1644">
        <v>1</v>
      </c>
      <c r="I1644">
        <f t="shared" si="125"/>
        <v>1</v>
      </c>
      <c r="J1644" s="2">
        <f t="shared" si="126"/>
        <v>0.2</v>
      </c>
      <c r="K1644">
        <f t="shared" si="127"/>
        <v>5</v>
      </c>
      <c r="L1644" t="str">
        <f t="shared" si="128"/>
        <v>Funded</v>
      </c>
      <c r="M1644">
        <f t="shared" si="129"/>
        <v>1.6094379124341003</v>
      </c>
    </row>
    <row r="1645" spans="1:13" x14ac:dyDescent="0.25">
      <c r="A1645" t="s">
        <v>3417</v>
      </c>
      <c r="B1645" t="s">
        <v>125</v>
      </c>
      <c r="C1645" t="s">
        <v>3418</v>
      </c>
      <c r="D1645" t="s">
        <v>3419</v>
      </c>
      <c r="E1645" t="s">
        <v>20</v>
      </c>
      <c r="F1645" t="s">
        <v>21</v>
      </c>
      <c r="H1645">
        <v>1</v>
      </c>
      <c r="I1645">
        <f t="shared" si="125"/>
        <v>1</v>
      </c>
      <c r="J1645" s="2">
        <f t="shared" si="126"/>
        <v>0.317</v>
      </c>
      <c r="K1645">
        <f t="shared" si="127"/>
        <v>3.1545741324921135</v>
      </c>
      <c r="L1645" t="str">
        <f t="shared" si="128"/>
        <v>Funded</v>
      </c>
      <c r="M1645">
        <f t="shared" si="129"/>
        <v>1.1488535051048565</v>
      </c>
    </row>
    <row r="1646" spans="1:13" x14ac:dyDescent="0.25">
      <c r="A1646" t="s">
        <v>3420</v>
      </c>
      <c r="B1646" t="s">
        <v>125</v>
      </c>
      <c r="C1646" t="s">
        <v>645</v>
      </c>
      <c r="D1646" t="s">
        <v>159</v>
      </c>
      <c r="E1646" t="s">
        <v>20</v>
      </c>
      <c r="F1646" t="s">
        <v>21</v>
      </c>
      <c r="H1646">
        <v>1</v>
      </c>
      <c r="I1646">
        <f t="shared" si="125"/>
        <v>1</v>
      </c>
      <c r="J1646" s="2">
        <f t="shared" si="126"/>
        <v>0.2</v>
      </c>
      <c r="K1646">
        <f t="shared" si="127"/>
        <v>5</v>
      </c>
      <c r="L1646" t="str">
        <f t="shared" si="128"/>
        <v>Funded</v>
      </c>
      <c r="M1646">
        <f t="shared" si="129"/>
        <v>1.6094379124341003</v>
      </c>
    </row>
    <row r="1647" spans="1:13" x14ac:dyDescent="0.25">
      <c r="A1647" t="s">
        <v>3421</v>
      </c>
      <c r="B1647" t="s">
        <v>125</v>
      </c>
      <c r="C1647" t="s">
        <v>1104</v>
      </c>
      <c r="D1647" t="s">
        <v>1865</v>
      </c>
      <c r="E1647" t="s">
        <v>10</v>
      </c>
      <c r="F1647" t="s">
        <v>11</v>
      </c>
      <c r="H1647">
        <v>1</v>
      </c>
      <c r="I1647">
        <f t="shared" si="125"/>
        <v>1</v>
      </c>
      <c r="J1647" s="2">
        <f t="shared" si="126"/>
        <v>0.36</v>
      </c>
      <c r="K1647">
        <f t="shared" si="127"/>
        <v>2.7777777777777777</v>
      </c>
      <c r="L1647" t="str">
        <f t="shared" si="128"/>
        <v>Funded</v>
      </c>
      <c r="M1647">
        <f t="shared" si="129"/>
        <v>1.0216512475319812</v>
      </c>
    </row>
    <row r="1648" spans="1:13" x14ac:dyDescent="0.25">
      <c r="A1648" t="s">
        <v>3422</v>
      </c>
      <c r="B1648" t="s">
        <v>125</v>
      </c>
      <c r="C1648" t="s">
        <v>2203</v>
      </c>
      <c r="D1648" t="s">
        <v>3423</v>
      </c>
      <c r="E1648" t="s">
        <v>20</v>
      </c>
      <c r="F1648" t="s">
        <v>21</v>
      </c>
      <c r="H1648">
        <v>1</v>
      </c>
      <c r="I1648">
        <f t="shared" si="125"/>
        <v>1</v>
      </c>
      <c r="J1648" s="2">
        <f t="shared" si="126"/>
        <v>0.182</v>
      </c>
      <c r="K1648">
        <f t="shared" si="127"/>
        <v>5.4945054945054945</v>
      </c>
      <c r="L1648" t="str">
        <f t="shared" si="128"/>
        <v>Funded</v>
      </c>
      <c r="M1648">
        <f t="shared" si="129"/>
        <v>1.7037485919053417</v>
      </c>
    </row>
    <row r="1649" spans="1:13" x14ac:dyDescent="0.25">
      <c r="A1649" t="s">
        <v>3424</v>
      </c>
      <c r="B1649" t="s">
        <v>125</v>
      </c>
      <c r="C1649" t="s">
        <v>1562</v>
      </c>
      <c r="D1649" t="s">
        <v>3425</v>
      </c>
      <c r="E1649" t="s">
        <v>20</v>
      </c>
      <c r="F1649" t="s">
        <v>21</v>
      </c>
      <c r="H1649">
        <v>1</v>
      </c>
      <c r="I1649">
        <f t="shared" si="125"/>
        <v>1</v>
      </c>
      <c r="J1649" s="2">
        <f t="shared" si="126"/>
        <v>0.21199999999999999</v>
      </c>
      <c r="K1649">
        <f t="shared" si="127"/>
        <v>4.716981132075472</v>
      </c>
      <c r="L1649" t="str">
        <f t="shared" si="128"/>
        <v>Funded</v>
      </c>
      <c r="M1649">
        <f t="shared" si="129"/>
        <v>1.5511690043101247</v>
      </c>
    </row>
    <row r="1650" spans="1:13" x14ac:dyDescent="0.25">
      <c r="A1650" t="s">
        <v>3426</v>
      </c>
      <c r="B1650" t="s">
        <v>125</v>
      </c>
      <c r="C1650" t="s">
        <v>47</v>
      </c>
      <c r="D1650" t="s">
        <v>3427</v>
      </c>
      <c r="E1650" t="s">
        <v>10</v>
      </c>
      <c r="F1650" t="s">
        <v>11</v>
      </c>
      <c r="H1650">
        <v>1</v>
      </c>
      <c r="I1650">
        <f t="shared" si="125"/>
        <v>1</v>
      </c>
      <c r="J1650" s="2">
        <f t="shared" si="126"/>
        <v>2</v>
      </c>
      <c r="K1650">
        <f t="shared" si="127"/>
        <v>0.5</v>
      </c>
      <c r="L1650" t="str">
        <f t="shared" si="128"/>
        <v>Funded</v>
      </c>
      <c r="M1650">
        <f t="shared" si="129"/>
        <v>-0.69314718055994529</v>
      </c>
    </row>
    <row r="1651" spans="1:13" x14ac:dyDescent="0.25">
      <c r="A1651" t="s">
        <v>3428</v>
      </c>
      <c r="B1651" t="s">
        <v>125</v>
      </c>
      <c r="C1651" t="s">
        <v>516</v>
      </c>
      <c r="D1651" t="s">
        <v>655</v>
      </c>
      <c r="E1651" t="s">
        <v>10</v>
      </c>
      <c r="F1651" t="s">
        <v>11</v>
      </c>
      <c r="H1651">
        <v>1</v>
      </c>
      <c r="I1651">
        <f t="shared" si="125"/>
        <v>1</v>
      </c>
      <c r="J1651" s="2">
        <f t="shared" si="126"/>
        <v>0.56999999999999995</v>
      </c>
      <c r="K1651">
        <f t="shared" si="127"/>
        <v>1.7543859649122808</v>
      </c>
      <c r="L1651" t="str">
        <f t="shared" si="128"/>
        <v>Funded</v>
      </c>
      <c r="M1651">
        <f t="shared" si="129"/>
        <v>0.56211891815354131</v>
      </c>
    </row>
    <row r="1652" spans="1:13" x14ac:dyDescent="0.25">
      <c r="A1652" t="s">
        <v>3429</v>
      </c>
      <c r="B1652" t="s">
        <v>125</v>
      </c>
      <c r="C1652" t="s">
        <v>2890</v>
      </c>
      <c r="D1652" t="s">
        <v>496</v>
      </c>
      <c r="E1652" t="s">
        <v>10</v>
      </c>
      <c r="F1652" t="s">
        <v>11</v>
      </c>
      <c r="H1652">
        <v>1</v>
      </c>
      <c r="I1652">
        <f t="shared" si="125"/>
        <v>1</v>
      </c>
      <c r="J1652" s="2">
        <f t="shared" si="126"/>
        <v>0.22600000000000001</v>
      </c>
      <c r="K1652">
        <f t="shared" si="127"/>
        <v>4.4247787610619467</v>
      </c>
      <c r="L1652" t="str">
        <f t="shared" si="128"/>
        <v>Funded</v>
      </c>
      <c r="M1652">
        <f t="shared" si="129"/>
        <v>1.487220279709851</v>
      </c>
    </row>
    <row r="1653" spans="1:13" x14ac:dyDescent="0.25">
      <c r="A1653" t="s">
        <v>3430</v>
      </c>
      <c r="B1653" t="s">
        <v>125</v>
      </c>
      <c r="C1653" t="s">
        <v>277</v>
      </c>
      <c r="D1653" t="s">
        <v>3431</v>
      </c>
      <c r="E1653" t="s">
        <v>20</v>
      </c>
      <c r="F1653" t="s">
        <v>21</v>
      </c>
      <c r="H1653">
        <v>1</v>
      </c>
      <c r="I1653">
        <f t="shared" si="125"/>
        <v>1</v>
      </c>
      <c r="J1653" s="2">
        <f t="shared" si="126"/>
        <v>0.38800000000000001</v>
      </c>
      <c r="K1653">
        <f t="shared" si="127"/>
        <v>2.5773195876288657</v>
      </c>
      <c r="L1653" t="str">
        <f t="shared" si="128"/>
        <v>Funded</v>
      </c>
      <c r="M1653">
        <f t="shared" si="129"/>
        <v>0.94674993935886353</v>
      </c>
    </row>
    <row r="1654" spans="1:13" x14ac:dyDescent="0.25">
      <c r="A1654" t="s">
        <v>3432</v>
      </c>
      <c r="B1654" t="s">
        <v>125</v>
      </c>
      <c r="C1654" t="s">
        <v>1650</v>
      </c>
      <c r="D1654" t="s">
        <v>3433</v>
      </c>
      <c r="E1654" t="s">
        <v>10</v>
      </c>
      <c r="F1654" t="s">
        <v>11</v>
      </c>
      <c r="H1654">
        <v>1</v>
      </c>
      <c r="I1654">
        <f t="shared" si="125"/>
        <v>1</v>
      </c>
      <c r="J1654" s="2">
        <f t="shared" si="126"/>
        <v>0.161</v>
      </c>
      <c r="K1654">
        <f t="shared" si="127"/>
        <v>6.2111801242236027</v>
      </c>
      <c r="L1654" t="str">
        <f t="shared" si="128"/>
        <v>Funded</v>
      </c>
      <c r="M1654">
        <f t="shared" si="129"/>
        <v>1.8263509139976741</v>
      </c>
    </row>
    <row r="1655" spans="1:13" x14ac:dyDescent="0.25">
      <c r="A1655" t="s">
        <v>3434</v>
      </c>
      <c r="B1655" t="s">
        <v>125</v>
      </c>
      <c r="C1655" t="s">
        <v>1484</v>
      </c>
      <c r="D1655" t="s">
        <v>221</v>
      </c>
      <c r="E1655" t="s">
        <v>10</v>
      </c>
      <c r="F1655" t="s">
        <v>11</v>
      </c>
      <c r="H1655">
        <v>1</v>
      </c>
      <c r="I1655">
        <f t="shared" si="125"/>
        <v>1</v>
      </c>
      <c r="J1655" s="2">
        <f t="shared" si="126"/>
        <v>0.28199999999999997</v>
      </c>
      <c r="K1655">
        <f t="shared" si="127"/>
        <v>3.5460992907801421</v>
      </c>
      <c r="L1655" t="str">
        <f t="shared" si="128"/>
        <v>Funded</v>
      </c>
      <c r="M1655">
        <f t="shared" si="129"/>
        <v>1.2658482080440234</v>
      </c>
    </row>
    <row r="1656" spans="1:13" x14ac:dyDescent="0.25">
      <c r="A1656" t="s">
        <v>3435</v>
      </c>
      <c r="B1656" t="s">
        <v>125</v>
      </c>
      <c r="C1656" t="s">
        <v>3436</v>
      </c>
      <c r="D1656" t="s">
        <v>3437</v>
      </c>
      <c r="E1656" t="s">
        <v>20</v>
      </c>
      <c r="F1656" t="s">
        <v>21</v>
      </c>
      <c r="H1656">
        <v>1</v>
      </c>
      <c r="I1656">
        <f t="shared" si="125"/>
        <v>1</v>
      </c>
      <c r="J1656" s="2">
        <f t="shared" si="126"/>
        <v>0.79</v>
      </c>
      <c r="K1656">
        <f t="shared" si="127"/>
        <v>1.2658227848101264</v>
      </c>
      <c r="L1656" t="str">
        <f t="shared" si="128"/>
        <v>Funded</v>
      </c>
      <c r="M1656">
        <f t="shared" si="129"/>
        <v>0.23572233352106978</v>
      </c>
    </row>
    <row r="1657" spans="1:13" x14ac:dyDescent="0.25">
      <c r="A1657" t="s">
        <v>3438</v>
      </c>
      <c r="B1657" t="s">
        <v>125</v>
      </c>
      <c r="C1657" t="s">
        <v>3439</v>
      </c>
      <c r="D1657" t="s">
        <v>3440</v>
      </c>
      <c r="E1657" t="s">
        <v>20</v>
      </c>
      <c r="F1657" t="s">
        <v>21</v>
      </c>
      <c r="H1657">
        <v>1</v>
      </c>
      <c r="I1657">
        <f t="shared" si="125"/>
        <v>1</v>
      </c>
      <c r="J1657" s="2">
        <f t="shared" si="126"/>
        <v>0.57199999999999995</v>
      </c>
      <c r="K1657">
        <f t="shared" si="127"/>
        <v>1.7482517482517483</v>
      </c>
      <c r="L1657" t="str">
        <f t="shared" si="128"/>
        <v>Funded</v>
      </c>
      <c r="M1657">
        <f t="shared" si="129"/>
        <v>0.55861628760233917</v>
      </c>
    </row>
    <row r="1658" spans="1:13" x14ac:dyDescent="0.25">
      <c r="A1658" t="s">
        <v>3441</v>
      </c>
      <c r="B1658" t="s">
        <v>125</v>
      </c>
      <c r="C1658" t="s">
        <v>785</v>
      </c>
      <c r="D1658" t="s">
        <v>3442</v>
      </c>
      <c r="E1658" t="s">
        <v>20</v>
      </c>
      <c r="F1658" t="s">
        <v>21</v>
      </c>
      <c r="H1658">
        <v>1</v>
      </c>
      <c r="I1658">
        <f t="shared" si="125"/>
        <v>1</v>
      </c>
      <c r="J1658" s="2">
        <f t="shared" si="126"/>
        <v>0.25</v>
      </c>
      <c r="K1658">
        <f t="shared" si="127"/>
        <v>4</v>
      </c>
      <c r="L1658" t="str">
        <f t="shared" si="128"/>
        <v>Funded</v>
      </c>
      <c r="M1658">
        <f t="shared" si="129"/>
        <v>1.3862943611198906</v>
      </c>
    </row>
    <row r="1659" spans="1:13" x14ac:dyDescent="0.25">
      <c r="A1659" t="s">
        <v>3443</v>
      </c>
      <c r="B1659" t="s">
        <v>125</v>
      </c>
      <c r="C1659" t="s">
        <v>1717</v>
      </c>
      <c r="D1659" t="s">
        <v>3444</v>
      </c>
      <c r="E1659" t="s">
        <v>20</v>
      </c>
      <c r="F1659" t="s">
        <v>21</v>
      </c>
      <c r="H1659">
        <v>1</v>
      </c>
      <c r="I1659">
        <f t="shared" si="125"/>
        <v>1</v>
      </c>
      <c r="J1659" s="2">
        <f t="shared" si="126"/>
        <v>0.30199999999999999</v>
      </c>
      <c r="K1659">
        <f t="shared" si="127"/>
        <v>3.3112582781456954</v>
      </c>
      <c r="L1659" t="str">
        <f t="shared" si="128"/>
        <v>Funded</v>
      </c>
      <c r="M1659">
        <f t="shared" si="129"/>
        <v>1.1973282616072674</v>
      </c>
    </row>
    <row r="1660" spans="1:13" x14ac:dyDescent="0.25">
      <c r="A1660" t="s">
        <v>3445</v>
      </c>
      <c r="B1660" t="s">
        <v>125</v>
      </c>
      <c r="C1660" t="s">
        <v>125</v>
      </c>
      <c r="D1660" t="s">
        <v>3446</v>
      </c>
      <c r="E1660" t="s">
        <v>273</v>
      </c>
      <c r="F1660" t="s">
        <v>21</v>
      </c>
      <c r="H1660">
        <v>1</v>
      </c>
      <c r="I1660">
        <f t="shared" si="125"/>
        <v>1</v>
      </c>
      <c r="J1660" s="2">
        <f t="shared" si="126"/>
        <v>1</v>
      </c>
      <c r="K1660">
        <f t="shared" si="127"/>
        <v>1</v>
      </c>
      <c r="L1660" t="str">
        <f t="shared" si="128"/>
        <v>Funded</v>
      </c>
      <c r="M1660">
        <f t="shared" si="129"/>
        <v>0</v>
      </c>
    </row>
    <row r="1661" spans="1:13" x14ac:dyDescent="0.25">
      <c r="A1661" t="s">
        <v>3447</v>
      </c>
      <c r="B1661" t="s">
        <v>125</v>
      </c>
      <c r="C1661" t="s">
        <v>1088</v>
      </c>
      <c r="D1661" t="s">
        <v>3448</v>
      </c>
      <c r="E1661" t="s">
        <v>10</v>
      </c>
      <c r="F1661" t="s">
        <v>11</v>
      </c>
      <c r="H1661">
        <v>1</v>
      </c>
      <c r="I1661">
        <f t="shared" si="125"/>
        <v>1</v>
      </c>
      <c r="J1661" s="2">
        <f t="shared" si="126"/>
        <v>0.26</v>
      </c>
      <c r="K1661">
        <f t="shared" si="127"/>
        <v>3.8461538461538458</v>
      </c>
      <c r="L1661" t="str">
        <f t="shared" si="128"/>
        <v>Funded</v>
      </c>
      <c r="M1661">
        <f t="shared" si="129"/>
        <v>1.3470736479666092</v>
      </c>
    </row>
    <row r="1662" spans="1:13" x14ac:dyDescent="0.25">
      <c r="A1662" t="s">
        <v>3449</v>
      </c>
      <c r="B1662" t="s">
        <v>125</v>
      </c>
      <c r="C1662" t="s">
        <v>1475</v>
      </c>
      <c r="D1662" t="s">
        <v>3450</v>
      </c>
      <c r="E1662" t="s">
        <v>20</v>
      </c>
      <c r="F1662" t="s">
        <v>21</v>
      </c>
      <c r="H1662">
        <v>1</v>
      </c>
      <c r="I1662">
        <f t="shared" si="125"/>
        <v>1</v>
      </c>
      <c r="J1662" s="2">
        <f t="shared" si="126"/>
        <v>0.58899999999999997</v>
      </c>
      <c r="K1662">
        <f t="shared" si="127"/>
        <v>1.6977928692699491</v>
      </c>
      <c r="L1662" t="str">
        <f t="shared" si="128"/>
        <v>Funded</v>
      </c>
      <c r="M1662">
        <f t="shared" si="129"/>
        <v>0.52932909533055039</v>
      </c>
    </row>
    <row r="1663" spans="1:13" x14ac:dyDescent="0.25">
      <c r="A1663" t="s">
        <v>3451</v>
      </c>
      <c r="B1663" t="s">
        <v>125</v>
      </c>
      <c r="C1663" t="s">
        <v>53</v>
      </c>
      <c r="D1663" t="s">
        <v>3452</v>
      </c>
      <c r="E1663" t="s">
        <v>20</v>
      </c>
      <c r="F1663" t="s">
        <v>21</v>
      </c>
      <c r="H1663">
        <v>1</v>
      </c>
      <c r="I1663">
        <f t="shared" si="125"/>
        <v>1</v>
      </c>
      <c r="J1663" s="2">
        <f t="shared" si="126"/>
        <v>4</v>
      </c>
      <c r="K1663">
        <f t="shared" si="127"/>
        <v>0.25</v>
      </c>
      <c r="L1663" t="str">
        <f t="shared" si="128"/>
        <v>Funded</v>
      </c>
      <c r="M1663">
        <f t="shared" si="129"/>
        <v>-1.3862943611198906</v>
      </c>
    </row>
    <row r="1664" spans="1:13" x14ac:dyDescent="0.25">
      <c r="A1664" t="s">
        <v>3453</v>
      </c>
      <c r="B1664" t="s">
        <v>125</v>
      </c>
      <c r="C1664" t="s">
        <v>3454</v>
      </c>
      <c r="D1664" t="s">
        <v>3455</v>
      </c>
      <c r="E1664" t="s">
        <v>20</v>
      </c>
      <c r="F1664" t="s">
        <v>21</v>
      </c>
      <c r="H1664">
        <v>1</v>
      </c>
      <c r="I1664">
        <f t="shared" si="125"/>
        <v>1</v>
      </c>
      <c r="J1664" s="2">
        <f t="shared" si="126"/>
        <v>0.11600000000000001</v>
      </c>
      <c r="K1664">
        <f t="shared" si="127"/>
        <v>8.6206896551724128</v>
      </c>
      <c r="L1664" t="str">
        <f t="shared" si="128"/>
        <v>Funded</v>
      </c>
      <c r="M1664">
        <f t="shared" si="129"/>
        <v>2.1541650878757723</v>
      </c>
    </row>
    <row r="1665" spans="1:13" x14ac:dyDescent="0.25">
      <c r="A1665" t="s">
        <v>3456</v>
      </c>
      <c r="B1665" t="s">
        <v>125</v>
      </c>
      <c r="C1665" t="s">
        <v>174</v>
      </c>
      <c r="D1665" t="s">
        <v>3457</v>
      </c>
      <c r="E1665" t="s">
        <v>20</v>
      </c>
      <c r="F1665" t="s">
        <v>21</v>
      </c>
      <c r="H1665">
        <v>1</v>
      </c>
      <c r="I1665">
        <f t="shared" si="125"/>
        <v>1</v>
      </c>
      <c r="J1665" s="2">
        <f t="shared" si="126"/>
        <v>0.255</v>
      </c>
      <c r="K1665">
        <f t="shared" si="127"/>
        <v>3.9215686274509802</v>
      </c>
      <c r="L1665" t="str">
        <f t="shared" si="128"/>
        <v>Funded</v>
      </c>
      <c r="M1665">
        <f t="shared" si="129"/>
        <v>1.3664917338237108</v>
      </c>
    </row>
    <row r="1666" spans="1:13" x14ac:dyDescent="0.25">
      <c r="A1666" t="s">
        <v>3458</v>
      </c>
      <c r="B1666" t="s">
        <v>125</v>
      </c>
      <c r="C1666" t="s">
        <v>1484</v>
      </c>
      <c r="D1666" t="s">
        <v>3287</v>
      </c>
      <c r="E1666" t="s">
        <v>10</v>
      </c>
      <c r="F1666" t="s">
        <v>11</v>
      </c>
      <c r="H1666">
        <v>1</v>
      </c>
      <c r="I1666">
        <f t="shared" si="125"/>
        <v>1</v>
      </c>
      <c r="J1666" s="2">
        <f t="shared" si="126"/>
        <v>0.28199999999999997</v>
      </c>
      <c r="K1666">
        <f t="shared" si="127"/>
        <v>3.5460992907801421</v>
      </c>
      <c r="L1666" t="str">
        <f t="shared" si="128"/>
        <v>Funded</v>
      </c>
      <c r="M1666">
        <f t="shared" si="129"/>
        <v>1.2658482080440234</v>
      </c>
    </row>
    <row r="1667" spans="1:13" x14ac:dyDescent="0.25">
      <c r="A1667" t="s">
        <v>3459</v>
      </c>
      <c r="B1667" t="s">
        <v>125</v>
      </c>
      <c r="C1667" t="s">
        <v>393</v>
      </c>
      <c r="D1667" t="s">
        <v>120</v>
      </c>
      <c r="E1667" t="s">
        <v>170</v>
      </c>
      <c r="F1667" t="s">
        <v>50</v>
      </c>
      <c r="H1667">
        <v>1</v>
      </c>
      <c r="I1667">
        <f t="shared" ref="I1667:I1706" si="130">IF(B1667="","",
VALUE(SUBSTITUTE(SUBSTITUTE(B1667,"$",""),"B","")))</f>
        <v>1</v>
      </c>
      <c r="J1667" s="2">
        <f t="shared" ref="J1667:J1706" si="131">IF(C1667="","",
IF(C1667="$0",0,
IF(RIGHT(C1667,1)="B",
VALUE(SUBSTITUTE(SUBSTITUTE(C1667,"$",""),"B","")),
IF(RIGHT(C1667,1)="M",
VALUE(SUBSTITUTE(SUBSTITUTE(C1667,"$",""),"M",""))/1000,
IF(RIGHT(C1667,1)="K",
VALUE(SUBSTITUTE(SUBSTITUTE(C1667,"$",""),"K",""))/1000000,
VALUE(SUBSTITUTE(C1667,"$",""))
)))))</f>
        <v>0.6</v>
      </c>
      <c r="K1667">
        <f t="shared" ref="K1667:K1706" si="132">IF(J1667&gt;0,I1667/J1667,"")</f>
        <v>1.6666666666666667</v>
      </c>
      <c r="L1667" t="str">
        <f t="shared" ref="L1667:L1706" si="133">IF(J1667=0,"Bootstrapped","Funded")</f>
        <v>Funded</v>
      </c>
      <c r="M1667">
        <f t="shared" ref="M1667:M1706" si="134">IF(AND(I1667&gt;0,J1667&gt;0),LN(I1667/J1667),"")</f>
        <v>0.51082562376599072</v>
      </c>
    </row>
    <row r="1668" spans="1:13" x14ac:dyDescent="0.25">
      <c r="A1668" t="s">
        <v>3460</v>
      </c>
      <c r="B1668" t="s">
        <v>125</v>
      </c>
      <c r="C1668" t="s">
        <v>3461</v>
      </c>
      <c r="D1668" t="s">
        <v>3462</v>
      </c>
      <c r="E1668" t="s">
        <v>10</v>
      </c>
      <c r="F1668" t="s">
        <v>11</v>
      </c>
      <c r="H1668">
        <v>1</v>
      </c>
      <c r="I1668">
        <f t="shared" si="130"/>
        <v>1</v>
      </c>
      <c r="J1668" s="2">
        <f t="shared" si="131"/>
        <v>5.3999999999999999E-2</v>
      </c>
      <c r="K1668">
        <f t="shared" si="132"/>
        <v>18.518518518518519</v>
      </c>
      <c r="L1668" t="str">
        <f t="shared" si="133"/>
        <v>Funded</v>
      </c>
      <c r="M1668">
        <f t="shared" si="134"/>
        <v>2.9187712324178627</v>
      </c>
    </row>
    <row r="1669" spans="1:13" x14ac:dyDescent="0.25">
      <c r="A1669" t="s">
        <v>3463</v>
      </c>
      <c r="B1669" t="s">
        <v>125</v>
      </c>
      <c r="C1669" t="s">
        <v>1996</v>
      </c>
      <c r="D1669" t="s">
        <v>3464</v>
      </c>
      <c r="E1669" t="s">
        <v>604</v>
      </c>
      <c r="F1669" t="s">
        <v>21</v>
      </c>
      <c r="H1669">
        <v>1</v>
      </c>
      <c r="I1669">
        <f t="shared" si="130"/>
        <v>1</v>
      </c>
      <c r="J1669" s="2">
        <f t="shared" si="131"/>
        <v>1.4999999999999999E-2</v>
      </c>
      <c r="K1669">
        <f t="shared" si="132"/>
        <v>66.666666666666671</v>
      </c>
      <c r="L1669" t="str">
        <f t="shared" si="133"/>
        <v>Funded</v>
      </c>
      <c r="M1669">
        <f t="shared" si="134"/>
        <v>4.1997050778799272</v>
      </c>
    </row>
    <row r="1670" spans="1:13" x14ac:dyDescent="0.25">
      <c r="A1670" t="s">
        <v>3465</v>
      </c>
      <c r="B1670" t="s">
        <v>125</v>
      </c>
      <c r="C1670" t="s">
        <v>2031</v>
      </c>
      <c r="D1670" t="s">
        <v>1146</v>
      </c>
      <c r="E1670" t="s">
        <v>170</v>
      </c>
      <c r="F1670" t="s">
        <v>50</v>
      </c>
      <c r="H1670">
        <v>1</v>
      </c>
      <c r="I1670">
        <f t="shared" si="130"/>
        <v>1</v>
      </c>
      <c r="J1670" s="2">
        <f t="shared" si="131"/>
        <v>0.34</v>
      </c>
      <c r="K1670">
        <f t="shared" si="132"/>
        <v>2.9411764705882351</v>
      </c>
      <c r="L1670" t="str">
        <f t="shared" si="133"/>
        <v>Funded</v>
      </c>
      <c r="M1670">
        <f t="shared" si="134"/>
        <v>1.0788096613719298</v>
      </c>
    </row>
    <row r="1671" spans="1:13" x14ac:dyDescent="0.25">
      <c r="A1671" t="s">
        <v>3466</v>
      </c>
      <c r="B1671" t="s">
        <v>125</v>
      </c>
      <c r="C1671" t="s">
        <v>1076</v>
      </c>
      <c r="D1671" t="s">
        <v>3467</v>
      </c>
      <c r="E1671" t="s">
        <v>20</v>
      </c>
      <c r="F1671" t="s">
        <v>21</v>
      </c>
      <c r="H1671">
        <v>1</v>
      </c>
      <c r="I1671">
        <f t="shared" si="130"/>
        <v>1</v>
      </c>
      <c r="J1671" s="2">
        <f t="shared" si="131"/>
        <v>0.33</v>
      </c>
      <c r="K1671">
        <f t="shared" si="132"/>
        <v>3.0303030303030303</v>
      </c>
      <c r="L1671" t="str">
        <f t="shared" si="133"/>
        <v>Funded</v>
      </c>
      <c r="M1671">
        <f t="shared" si="134"/>
        <v>1.1086626245216111</v>
      </c>
    </row>
    <row r="1672" spans="1:13" x14ac:dyDescent="0.25">
      <c r="A1672" t="s">
        <v>3468</v>
      </c>
      <c r="B1672" t="s">
        <v>125</v>
      </c>
      <c r="C1672" t="s">
        <v>1875</v>
      </c>
      <c r="D1672" t="s">
        <v>1934</v>
      </c>
      <c r="E1672" t="s">
        <v>20</v>
      </c>
      <c r="F1672" t="s">
        <v>21</v>
      </c>
      <c r="H1672">
        <v>1</v>
      </c>
      <c r="I1672">
        <f t="shared" si="130"/>
        <v>1</v>
      </c>
      <c r="J1672" s="2">
        <f t="shared" si="131"/>
        <v>0.1</v>
      </c>
      <c r="K1672">
        <f t="shared" si="132"/>
        <v>10</v>
      </c>
      <c r="L1672" t="str">
        <f t="shared" si="133"/>
        <v>Funded</v>
      </c>
      <c r="M1672">
        <f t="shared" si="134"/>
        <v>2.3025850929940459</v>
      </c>
    </row>
    <row r="1673" spans="1:13" x14ac:dyDescent="0.25">
      <c r="A1673" t="s">
        <v>3469</v>
      </c>
      <c r="B1673" t="s">
        <v>125</v>
      </c>
      <c r="C1673" t="s">
        <v>2335</v>
      </c>
      <c r="D1673" t="s">
        <v>3470</v>
      </c>
      <c r="E1673" t="s">
        <v>20</v>
      </c>
      <c r="F1673" t="s">
        <v>21</v>
      </c>
      <c r="H1673">
        <v>1</v>
      </c>
      <c r="I1673">
        <f t="shared" si="130"/>
        <v>1</v>
      </c>
      <c r="J1673" s="2">
        <f t="shared" si="131"/>
        <v>0.13</v>
      </c>
      <c r="K1673">
        <f t="shared" si="132"/>
        <v>7.6923076923076916</v>
      </c>
      <c r="L1673" t="str">
        <f t="shared" si="133"/>
        <v>Funded</v>
      </c>
      <c r="M1673">
        <f t="shared" si="134"/>
        <v>2.0402208285265546</v>
      </c>
    </row>
    <row r="1674" spans="1:13" x14ac:dyDescent="0.25">
      <c r="A1674" t="s">
        <v>3471</v>
      </c>
      <c r="B1674" t="s">
        <v>125</v>
      </c>
      <c r="C1674" t="s">
        <v>3363</v>
      </c>
      <c r="D1674" t="s">
        <v>3472</v>
      </c>
      <c r="E1674" t="s">
        <v>20</v>
      </c>
      <c r="F1674" t="s">
        <v>21</v>
      </c>
      <c r="H1674">
        <v>1</v>
      </c>
      <c r="I1674">
        <f t="shared" si="130"/>
        <v>1</v>
      </c>
      <c r="J1674" s="2">
        <f t="shared" si="131"/>
        <v>8.5999999999999993E-2</v>
      </c>
      <c r="K1674">
        <f t="shared" si="132"/>
        <v>11.627906976744187</v>
      </c>
      <c r="L1674" t="str">
        <f t="shared" si="133"/>
        <v>Funded</v>
      </c>
      <c r="M1674">
        <f t="shared" si="134"/>
        <v>2.4534079827286295</v>
      </c>
    </row>
    <row r="1675" spans="1:13" x14ac:dyDescent="0.25">
      <c r="A1675" t="s">
        <v>3473</v>
      </c>
      <c r="B1675" t="s">
        <v>125</v>
      </c>
      <c r="C1675" t="s">
        <v>2330</v>
      </c>
      <c r="D1675" t="s">
        <v>1642</v>
      </c>
      <c r="E1675" t="s">
        <v>10</v>
      </c>
      <c r="F1675" t="s">
        <v>11</v>
      </c>
      <c r="H1675">
        <v>1</v>
      </c>
      <c r="I1675">
        <f t="shared" si="130"/>
        <v>1</v>
      </c>
      <c r="J1675" s="2">
        <f t="shared" si="131"/>
        <v>0.128</v>
      </c>
      <c r="K1675">
        <f t="shared" si="132"/>
        <v>7.8125</v>
      </c>
      <c r="L1675" t="str">
        <f t="shared" si="133"/>
        <v>Funded</v>
      </c>
      <c r="M1675">
        <f t="shared" si="134"/>
        <v>2.0557250150625199</v>
      </c>
    </row>
    <row r="1676" spans="1:13" x14ac:dyDescent="0.25">
      <c r="A1676" t="s">
        <v>3474</v>
      </c>
      <c r="B1676" t="s">
        <v>125</v>
      </c>
      <c r="C1676" t="s">
        <v>3475</v>
      </c>
      <c r="D1676" t="s">
        <v>3476</v>
      </c>
      <c r="E1676" t="s">
        <v>10</v>
      </c>
      <c r="F1676" t="s">
        <v>11</v>
      </c>
      <c r="H1676">
        <v>1</v>
      </c>
      <c r="I1676">
        <f t="shared" si="130"/>
        <v>1</v>
      </c>
      <c r="J1676" s="2">
        <f t="shared" si="131"/>
        <v>0.36899999999999999</v>
      </c>
      <c r="K1676">
        <f t="shared" si="132"/>
        <v>2.7100271002710028</v>
      </c>
      <c r="L1676" t="str">
        <f t="shared" si="133"/>
        <v>Funded</v>
      </c>
      <c r="M1676">
        <f t="shared" si="134"/>
        <v>0.99695863494160986</v>
      </c>
    </row>
    <row r="1677" spans="1:13" x14ac:dyDescent="0.25">
      <c r="A1677" t="s">
        <v>3477</v>
      </c>
      <c r="B1677" t="s">
        <v>125</v>
      </c>
      <c r="C1677" t="s">
        <v>1088</v>
      </c>
      <c r="D1677" t="s">
        <v>3478</v>
      </c>
      <c r="E1677" t="s">
        <v>187</v>
      </c>
      <c r="F1677" t="s">
        <v>50</v>
      </c>
      <c r="H1677">
        <v>1</v>
      </c>
      <c r="I1677">
        <f t="shared" si="130"/>
        <v>1</v>
      </c>
      <c r="J1677" s="2">
        <f t="shared" si="131"/>
        <v>0.26</v>
      </c>
      <c r="K1677">
        <f t="shared" si="132"/>
        <v>3.8461538461538458</v>
      </c>
      <c r="L1677" t="str">
        <f t="shared" si="133"/>
        <v>Funded</v>
      </c>
      <c r="M1677">
        <f t="shared" si="134"/>
        <v>1.3470736479666092</v>
      </c>
    </row>
    <row r="1678" spans="1:13" x14ac:dyDescent="0.25">
      <c r="A1678" t="s">
        <v>3479</v>
      </c>
      <c r="B1678" t="s">
        <v>125</v>
      </c>
      <c r="C1678" t="s">
        <v>871</v>
      </c>
      <c r="D1678" t="s">
        <v>1712</v>
      </c>
      <c r="E1678" t="s">
        <v>20</v>
      </c>
      <c r="F1678" t="s">
        <v>21</v>
      </c>
      <c r="H1678">
        <v>1</v>
      </c>
      <c r="I1678">
        <f t="shared" si="130"/>
        <v>1</v>
      </c>
      <c r="J1678" s="2">
        <f t="shared" si="131"/>
        <v>0.05</v>
      </c>
      <c r="K1678">
        <f t="shared" si="132"/>
        <v>20</v>
      </c>
      <c r="L1678" t="str">
        <f t="shared" si="133"/>
        <v>Funded</v>
      </c>
      <c r="M1678">
        <f t="shared" si="134"/>
        <v>2.9957322735539909</v>
      </c>
    </row>
    <row r="1679" spans="1:13" x14ac:dyDescent="0.25">
      <c r="A1679" t="s">
        <v>3480</v>
      </c>
      <c r="B1679" t="s">
        <v>125</v>
      </c>
      <c r="C1679" t="s">
        <v>2637</v>
      </c>
      <c r="D1679" t="s">
        <v>3481</v>
      </c>
      <c r="E1679" t="s">
        <v>20</v>
      </c>
      <c r="F1679" t="s">
        <v>21</v>
      </c>
      <c r="H1679">
        <v>1</v>
      </c>
      <c r="I1679">
        <f t="shared" si="130"/>
        <v>1</v>
      </c>
      <c r="J1679" s="2">
        <f t="shared" si="131"/>
        <v>5.1999999999999998E-2</v>
      </c>
      <c r="K1679">
        <f t="shared" si="132"/>
        <v>19.23076923076923</v>
      </c>
      <c r="L1679" t="str">
        <f t="shared" si="133"/>
        <v>Funded</v>
      </c>
      <c r="M1679">
        <f t="shared" si="134"/>
        <v>2.9565115604007097</v>
      </c>
    </row>
    <row r="1680" spans="1:13" x14ac:dyDescent="0.25">
      <c r="A1680" t="s">
        <v>3482</v>
      </c>
      <c r="B1680" t="s">
        <v>125</v>
      </c>
      <c r="C1680" t="s">
        <v>785</v>
      </c>
      <c r="D1680" t="s">
        <v>2663</v>
      </c>
      <c r="E1680" t="s">
        <v>350</v>
      </c>
      <c r="F1680" t="s">
        <v>21</v>
      </c>
      <c r="H1680">
        <v>1</v>
      </c>
      <c r="I1680">
        <f t="shared" si="130"/>
        <v>1</v>
      </c>
      <c r="J1680" s="2">
        <f t="shared" si="131"/>
        <v>0.25</v>
      </c>
      <c r="K1680">
        <f t="shared" si="132"/>
        <v>4</v>
      </c>
      <c r="L1680" t="str">
        <f t="shared" si="133"/>
        <v>Funded</v>
      </c>
      <c r="M1680">
        <f t="shared" si="134"/>
        <v>1.3862943611198906</v>
      </c>
    </row>
    <row r="1681" spans="1:13" x14ac:dyDescent="0.25">
      <c r="A1681" t="s">
        <v>3483</v>
      </c>
      <c r="B1681" t="s">
        <v>125</v>
      </c>
      <c r="C1681" t="s">
        <v>3484</v>
      </c>
      <c r="D1681" t="s">
        <v>3485</v>
      </c>
      <c r="E1681" t="s">
        <v>187</v>
      </c>
      <c r="F1681" t="s">
        <v>50</v>
      </c>
      <c r="H1681">
        <v>1</v>
      </c>
      <c r="I1681">
        <f t="shared" si="130"/>
        <v>1</v>
      </c>
      <c r="J1681" s="2">
        <f t="shared" si="131"/>
        <v>0.32400000000000001</v>
      </c>
      <c r="K1681">
        <f t="shared" si="132"/>
        <v>3.0864197530864197</v>
      </c>
      <c r="L1681" t="str">
        <f t="shared" si="133"/>
        <v>Funded</v>
      </c>
      <c r="M1681">
        <f t="shared" si="134"/>
        <v>1.1270117631898076</v>
      </c>
    </row>
    <row r="1682" spans="1:13" x14ac:dyDescent="0.25">
      <c r="A1682" t="s">
        <v>3486</v>
      </c>
      <c r="B1682" t="s">
        <v>125</v>
      </c>
      <c r="C1682" t="s">
        <v>780</v>
      </c>
      <c r="D1682" t="s">
        <v>3487</v>
      </c>
      <c r="E1682" t="s">
        <v>20</v>
      </c>
      <c r="F1682" t="s">
        <v>21</v>
      </c>
      <c r="H1682">
        <v>1</v>
      </c>
      <c r="I1682">
        <f t="shared" si="130"/>
        <v>1</v>
      </c>
      <c r="J1682" s="2">
        <f t="shared" si="131"/>
        <v>0.45</v>
      </c>
      <c r="K1682">
        <f t="shared" si="132"/>
        <v>2.2222222222222223</v>
      </c>
      <c r="L1682" t="str">
        <f t="shared" si="133"/>
        <v>Funded</v>
      </c>
      <c r="M1682">
        <f t="shared" si="134"/>
        <v>0.79850769621777162</v>
      </c>
    </row>
    <row r="1683" spans="1:13" x14ac:dyDescent="0.25">
      <c r="A1683" t="s">
        <v>3488</v>
      </c>
      <c r="B1683" t="s">
        <v>125</v>
      </c>
      <c r="C1683" t="s">
        <v>1359</v>
      </c>
      <c r="D1683" t="s">
        <v>3489</v>
      </c>
      <c r="E1683" t="s">
        <v>187</v>
      </c>
      <c r="F1683" t="s">
        <v>50</v>
      </c>
      <c r="H1683">
        <v>1</v>
      </c>
      <c r="I1683">
        <f t="shared" si="130"/>
        <v>1</v>
      </c>
      <c r="J1683" s="2">
        <f t="shared" si="131"/>
        <v>0.32600000000000001</v>
      </c>
      <c r="K1683">
        <f t="shared" si="132"/>
        <v>3.0674846625766872</v>
      </c>
      <c r="L1683" t="str">
        <f t="shared" si="133"/>
        <v>Funded</v>
      </c>
      <c r="M1683">
        <f t="shared" si="134"/>
        <v>1.1208578976154295</v>
      </c>
    </row>
    <row r="1684" spans="1:13" x14ac:dyDescent="0.25">
      <c r="A1684" t="s">
        <v>3490</v>
      </c>
      <c r="B1684" t="s">
        <v>125</v>
      </c>
      <c r="C1684" s="1">
        <v>0</v>
      </c>
      <c r="D1684" t="s">
        <v>500</v>
      </c>
      <c r="E1684" t="s">
        <v>10</v>
      </c>
      <c r="F1684" t="s">
        <v>11</v>
      </c>
      <c r="H1684">
        <v>1</v>
      </c>
      <c r="I1684">
        <f t="shared" si="130"/>
        <v>1</v>
      </c>
      <c r="J1684" s="2">
        <f t="shared" si="131"/>
        <v>0</v>
      </c>
      <c r="K1684" t="str">
        <f t="shared" si="132"/>
        <v/>
      </c>
      <c r="L1684" t="str">
        <f t="shared" si="133"/>
        <v>Bootstrapped</v>
      </c>
      <c r="M1684" t="str">
        <f t="shared" si="134"/>
        <v/>
      </c>
    </row>
    <row r="1685" spans="1:13" x14ac:dyDescent="0.25">
      <c r="A1685" t="s">
        <v>3491</v>
      </c>
      <c r="B1685" t="s">
        <v>125</v>
      </c>
      <c r="C1685" t="s">
        <v>1638</v>
      </c>
      <c r="D1685" t="s">
        <v>3492</v>
      </c>
      <c r="E1685" t="s">
        <v>554</v>
      </c>
      <c r="F1685" t="s">
        <v>526</v>
      </c>
      <c r="H1685">
        <v>1</v>
      </c>
      <c r="I1685">
        <f t="shared" si="130"/>
        <v>1</v>
      </c>
      <c r="J1685" s="2">
        <f t="shared" si="131"/>
        <v>0.39</v>
      </c>
      <c r="K1685">
        <f t="shared" si="132"/>
        <v>2.5641025641025639</v>
      </c>
      <c r="L1685" t="str">
        <f t="shared" si="133"/>
        <v>Funded</v>
      </c>
      <c r="M1685">
        <f t="shared" si="134"/>
        <v>0.94160853985844484</v>
      </c>
    </row>
    <row r="1686" spans="1:13" x14ac:dyDescent="0.25">
      <c r="A1686" t="s">
        <v>3493</v>
      </c>
      <c r="B1686" t="s">
        <v>125</v>
      </c>
      <c r="C1686" t="s">
        <v>3494</v>
      </c>
      <c r="D1686" t="s">
        <v>309</v>
      </c>
      <c r="E1686" t="s">
        <v>20</v>
      </c>
      <c r="F1686" t="s">
        <v>21</v>
      </c>
      <c r="H1686">
        <v>1</v>
      </c>
      <c r="I1686">
        <f t="shared" si="130"/>
        <v>1</v>
      </c>
      <c r="J1686" s="2">
        <f t="shared" si="131"/>
        <v>0.16800000000000001</v>
      </c>
      <c r="K1686">
        <f t="shared" si="132"/>
        <v>5.9523809523809517</v>
      </c>
      <c r="L1686" t="str">
        <f t="shared" si="133"/>
        <v>Funded</v>
      </c>
      <c r="M1686">
        <f t="shared" si="134"/>
        <v>1.7837912995788781</v>
      </c>
    </row>
    <row r="1687" spans="1:13" x14ac:dyDescent="0.25">
      <c r="A1687" t="s">
        <v>3495</v>
      </c>
      <c r="B1687" t="s">
        <v>125</v>
      </c>
      <c r="C1687" t="s">
        <v>3496</v>
      </c>
      <c r="D1687" t="s">
        <v>3497</v>
      </c>
      <c r="E1687" t="s">
        <v>20</v>
      </c>
      <c r="F1687" t="s">
        <v>21</v>
      </c>
      <c r="H1687">
        <v>1</v>
      </c>
      <c r="I1687">
        <f t="shared" si="130"/>
        <v>1</v>
      </c>
      <c r="J1687" s="2">
        <f t="shared" si="131"/>
        <v>0.02</v>
      </c>
      <c r="K1687">
        <f t="shared" si="132"/>
        <v>50</v>
      </c>
      <c r="L1687" t="str">
        <f t="shared" si="133"/>
        <v>Funded</v>
      </c>
      <c r="M1687">
        <f t="shared" si="134"/>
        <v>3.912023005428146</v>
      </c>
    </row>
    <row r="1688" spans="1:13" x14ac:dyDescent="0.25">
      <c r="A1688" t="s">
        <v>3498</v>
      </c>
      <c r="B1688" t="s">
        <v>125</v>
      </c>
      <c r="C1688" s="1">
        <v>0</v>
      </c>
      <c r="D1688" t="s">
        <v>3499</v>
      </c>
      <c r="E1688" t="s">
        <v>365</v>
      </c>
      <c r="F1688" t="s">
        <v>11</v>
      </c>
      <c r="H1688">
        <v>1</v>
      </c>
      <c r="I1688">
        <f t="shared" si="130"/>
        <v>1</v>
      </c>
      <c r="J1688" s="2">
        <f t="shared" si="131"/>
        <v>0</v>
      </c>
      <c r="K1688" t="str">
        <f t="shared" si="132"/>
        <v/>
      </c>
      <c r="L1688" t="str">
        <f t="shared" si="133"/>
        <v>Bootstrapped</v>
      </c>
      <c r="M1688" t="str">
        <f t="shared" si="134"/>
        <v/>
      </c>
    </row>
    <row r="1689" spans="1:13" x14ac:dyDescent="0.25">
      <c r="A1689" t="s">
        <v>3500</v>
      </c>
      <c r="B1689" t="s">
        <v>125</v>
      </c>
      <c r="C1689" s="1">
        <v>0</v>
      </c>
      <c r="D1689" t="s">
        <v>2425</v>
      </c>
      <c r="E1689" t="s">
        <v>10</v>
      </c>
      <c r="F1689" t="s">
        <v>11</v>
      </c>
      <c r="H1689">
        <v>1</v>
      </c>
      <c r="I1689">
        <f t="shared" si="130"/>
        <v>1</v>
      </c>
      <c r="J1689" s="2">
        <f t="shared" si="131"/>
        <v>0</v>
      </c>
      <c r="K1689" t="str">
        <f t="shared" si="132"/>
        <v/>
      </c>
      <c r="L1689" t="str">
        <f t="shared" si="133"/>
        <v>Bootstrapped</v>
      </c>
      <c r="M1689" t="str">
        <f t="shared" si="134"/>
        <v/>
      </c>
    </row>
    <row r="1690" spans="1:13" x14ac:dyDescent="0.25">
      <c r="A1690" t="s">
        <v>3501</v>
      </c>
      <c r="B1690" t="s">
        <v>125</v>
      </c>
      <c r="C1690" s="1">
        <v>0</v>
      </c>
      <c r="D1690" t="s">
        <v>3502</v>
      </c>
      <c r="E1690" t="s">
        <v>10</v>
      </c>
      <c r="F1690" t="s">
        <v>11</v>
      </c>
      <c r="H1690">
        <v>1</v>
      </c>
      <c r="I1690">
        <f t="shared" si="130"/>
        <v>1</v>
      </c>
      <c r="J1690" s="2">
        <f t="shared" si="131"/>
        <v>0</v>
      </c>
      <c r="K1690" t="str">
        <f t="shared" si="132"/>
        <v/>
      </c>
      <c r="L1690" t="str">
        <f t="shared" si="133"/>
        <v>Bootstrapped</v>
      </c>
      <c r="M1690" t="str">
        <f t="shared" si="134"/>
        <v/>
      </c>
    </row>
    <row r="1691" spans="1:13" x14ac:dyDescent="0.25">
      <c r="A1691" t="s">
        <v>3503</v>
      </c>
      <c r="B1691" t="s">
        <v>125</v>
      </c>
      <c r="C1691" t="s">
        <v>3504</v>
      </c>
      <c r="D1691" t="s">
        <v>3505</v>
      </c>
      <c r="E1691" t="s">
        <v>326</v>
      </c>
      <c r="F1691" t="s">
        <v>21</v>
      </c>
      <c r="H1691">
        <v>1</v>
      </c>
      <c r="I1691">
        <f t="shared" si="130"/>
        <v>1</v>
      </c>
      <c r="J1691" s="2">
        <f t="shared" si="131"/>
        <v>5.0000000000000001E-4</v>
      </c>
      <c r="K1691">
        <f t="shared" si="132"/>
        <v>2000</v>
      </c>
      <c r="L1691" t="str">
        <f t="shared" si="133"/>
        <v>Funded</v>
      </c>
      <c r="M1691">
        <f t="shared" si="134"/>
        <v>7.6009024595420822</v>
      </c>
    </row>
    <row r="1692" spans="1:13" x14ac:dyDescent="0.25">
      <c r="A1692" t="s">
        <v>3506</v>
      </c>
      <c r="B1692" t="s">
        <v>125</v>
      </c>
      <c r="C1692" s="1">
        <v>0</v>
      </c>
      <c r="D1692" t="s">
        <v>3507</v>
      </c>
      <c r="E1692" t="s">
        <v>1172</v>
      </c>
      <c r="F1692" t="s">
        <v>21</v>
      </c>
      <c r="H1692">
        <v>1</v>
      </c>
      <c r="I1692">
        <f t="shared" si="130"/>
        <v>1</v>
      </c>
      <c r="J1692" s="2">
        <f t="shared" si="131"/>
        <v>0</v>
      </c>
      <c r="K1692" t="str">
        <f t="shared" si="132"/>
        <v/>
      </c>
      <c r="L1692" t="str">
        <f t="shared" si="133"/>
        <v>Bootstrapped</v>
      </c>
      <c r="M1692" t="str">
        <f t="shared" si="134"/>
        <v/>
      </c>
    </row>
    <row r="1693" spans="1:13" x14ac:dyDescent="0.25">
      <c r="A1693" t="s">
        <v>3508</v>
      </c>
      <c r="B1693" t="s">
        <v>125</v>
      </c>
      <c r="C1693" s="1">
        <v>0</v>
      </c>
      <c r="D1693" t="s">
        <v>2473</v>
      </c>
      <c r="E1693" t="s">
        <v>1008</v>
      </c>
      <c r="F1693" t="s">
        <v>11</v>
      </c>
      <c r="H1693">
        <v>1</v>
      </c>
      <c r="I1693">
        <f t="shared" si="130"/>
        <v>1</v>
      </c>
      <c r="J1693" s="2">
        <f t="shared" si="131"/>
        <v>0</v>
      </c>
      <c r="K1693" t="str">
        <f t="shared" si="132"/>
        <v/>
      </c>
      <c r="L1693" t="str">
        <f t="shared" si="133"/>
        <v>Bootstrapped</v>
      </c>
      <c r="M1693" t="str">
        <f t="shared" si="134"/>
        <v/>
      </c>
    </row>
    <row r="1694" spans="1:13" x14ac:dyDescent="0.25">
      <c r="A1694" t="s">
        <v>3509</v>
      </c>
      <c r="B1694" t="s">
        <v>125</v>
      </c>
      <c r="C1694" t="s">
        <v>1609</v>
      </c>
      <c r="D1694" t="s">
        <v>1318</v>
      </c>
      <c r="E1694" t="s">
        <v>20</v>
      </c>
      <c r="F1694" t="s">
        <v>21</v>
      </c>
      <c r="H1694">
        <v>1</v>
      </c>
      <c r="I1694">
        <f t="shared" si="130"/>
        <v>1</v>
      </c>
      <c r="J1694" s="2">
        <f t="shared" si="131"/>
        <v>0.216</v>
      </c>
      <c r="K1694">
        <f t="shared" si="132"/>
        <v>4.6296296296296298</v>
      </c>
      <c r="L1694" t="str">
        <f t="shared" si="133"/>
        <v>Funded</v>
      </c>
      <c r="M1694">
        <f t="shared" si="134"/>
        <v>1.5324768712979722</v>
      </c>
    </row>
    <row r="1695" spans="1:13" x14ac:dyDescent="0.25">
      <c r="A1695" t="s">
        <v>3510</v>
      </c>
      <c r="B1695" t="s">
        <v>125</v>
      </c>
      <c r="C1695" t="s">
        <v>995</v>
      </c>
      <c r="D1695" t="s">
        <v>3511</v>
      </c>
      <c r="E1695" t="s">
        <v>44</v>
      </c>
      <c r="F1695" t="s">
        <v>21</v>
      </c>
      <c r="H1695">
        <v>1</v>
      </c>
      <c r="I1695">
        <f t="shared" si="130"/>
        <v>1</v>
      </c>
      <c r="J1695" s="2">
        <f t="shared" si="131"/>
        <v>0.33400000000000002</v>
      </c>
      <c r="K1695">
        <f t="shared" si="132"/>
        <v>2.9940119760479038</v>
      </c>
      <c r="L1695" t="str">
        <f t="shared" si="133"/>
        <v>Funded</v>
      </c>
      <c r="M1695">
        <f t="shared" si="134"/>
        <v>1.0966142860054364</v>
      </c>
    </row>
    <row r="1696" spans="1:13" x14ac:dyDescent="0.25">
      <c r="A1696" t="s">
        <v>3512</v>
      </c>
      <c r="B1696" t="s">
        <v>125</v>
      </c>
      <c r="C1696" t="s">
        <v>2563</v>
      </c>
      <c r="D1696" t="s">
        <v>1228</v>
      </c>
      <c r="E1696" t="s">
        <v>49</v>
      </c>
      <c r="F1696" t="s">
        <v>50</v>
      </c>
      <c r="H1696">
        <v>1</v>
      </c>
      <c r="I1696">
        <f t="shared" si="130"/>
        <v>1</v>
      </c>
      <c r="J1696" s="2">
        <f t="shared" si="131"/>
        <v>0.223</v>
      </c>
      <c r="K1696">
        <f t="shared" si="132"/>
        <v>4.4843049327354256</v>
      </c>
      <c r="L1696" t="str">
        <f t="shared" si="133"/>
        <v>Funded</v>
      </c>
      <c r="M1696">
        <f t="shared" si="134"/>
        <v>1.5005835075220182</v>
      </c>
    </row>
    <row r="1697" spans="1:13" x14ac:dyDescent="0.25">
      <c r="A1697" t="s">
        <v>3513</v>
      </c>
      <c r="B1697" t="s">
        <v>125</v>
      </c>
      <c r="C1697" t="s">
        <v>1440</v>
      </c>
      <c r="D1697" t="s">
        <v>3514</v>
      </c>
      <c r="E1697" t="s">
        <v>1195</v>
      </c>
      <c r="F1697" t="s">
        <v>50</v>
      </c>
      <c r="H1697">
        <v>1</v>
      </c>
      <c r="I1697">
        <f t="shared" si="130"/>
        <v>1</v>
      </c>
      <c r="J1697" s="2">
        <f t="shared" si="131"/>
        <v>0.22</v>
      </c>
      <c r="K1697">
        <f t="shared" si="132"/>
        <v>4.5454545454545459</v>
      </c>
      <c r="L1697" t="str">
        <f t="shared" si="133"/>
        <v>Funded</v>
      </c>
      <c r="M1697">
        <f t="shared" si="134"/>
        <v>1.5141277326297755</v>
      </c>
    </row>
    <row r="1698" spans="1:13" x14ac:dyDescent="0.25">
      <c r="A1698" t="s">
        <v>3515</v>
      </c>
      <c r="B1698" t="s">
        <v>125</v>
      </c>
      <c r="C1698" t="s">
        <v>3240</v>
      </c>
      <c r="D1698" t="s">
        <v>3516</v>
      </c>
      <c r="E1698" t="s">
        <v>44</v>
      </c>
      <c r="F1698" t="s">
        <v>21</v>
      </c>
      <c r="H1698">
        <v>1</v>
      </c>
      <c r="I1698">
        <f t="shared" si="130"/>
        <v>1</v>
      </c>
      <c r="J1698" s="2">
        <f t="shared" si="131"/>
        <v>0.187</v>
      </c>
      <c r="K1698">
        <f t="shared" si="132"/>
        <v>5.3475935828877006</v>
      </c>
      <c r="L1698" t="str">
        <f t="shared" si="133"/>
        <v>Funded</v>
      </c>
      <c r="M1698">
        <f t="shared" si="134"/>
        <v>1.6766466621275504</v>
      </c>
    </row>
    <row r="1699" spans="1:13" x14ac:dyDescent="0.25">
      <c r="A1699" t="s">
        <v>3517</v>
      </c>
      <c r="B1699" t="s">
        <v>125</v>
      </c>
      <c r="C1699" t="s">
        <v>936</v>
      </c>
      <c r="D1699" t="s">
        <v>3518</v>
      </c>
      <c r="E1699" t="s">
        <v>49</v>
      </c>
      <c r="F1699" t="s">
        <v>50</v>
      </c>
      <c r="H1699">
        <v>1</v>
      </c>
      <c r="I1699">
        <f t="shared" si="130"/>
        <v>1</v>
      </c>
      <c r="J1699" s="2">
        <f t="shared" si="131"/>
        <v>0.15</v>
      </c>
      <c r="K1699">
        <f t="shared" si="132"/>
        <v>6.666666666666667</v>
      </c>
      <c r="L1699" t="str">
        <f t="shared" si="133"/>
        <v>Funded</v>
      </c>
      <c r="M1699">
        <f t="shared" si="134"/>
        <v>1.8971199848858813</v>
      </c>
    </row>
    <row r="1700" spans="1:13" x14ac:dyDescent="0.25">
      <c r="A1700" t="s">
        <v>3519</v>
      </c>
      <c r="B1700" t="s">
        <v>125</v>
      </c>
      <c r="C1700" t="s">
        <v>2273</v>
      </c>
      <c r="D1700" t="s">
        <v>3520</v>
      </c>
      <c r="E1700" t="s">
        <v>10</v>
      </c>
      <c r="F1700" t="s">
        <v>11</v>
      </c>
      <c r="H1700">
        <v>1</v>
      </c>
      <c r="I1700">
        <f t="shared" si="130"/>
        <v>1</v>
      </c>
      <c r="J1700" s="2">
        <f t="shared" si="131"/>
        <v>0.58099999999999996</v>
      </c>
      <c r="K1700">
        <f t="shared" si="132"/>
        <v>1.7211703958691911</v>
      </c>
      <c r="L1700" t="str">
        <f t="shared" si="133"/>
        <v>Funded</v>
      </c>
      <c r="M1700">
        <f t="shared" si="134"/>
        <v>0.54300452213022588</v>
      </c>
    </row>
    <row r="1701" spans="1:13" x14ac:dyDescent="0.25">
      <c r="A1701" t="s">
        <v>3521</v>
      </c>
      <c r="B1701" t="s">
        <v>125</v>
      </c>
      <c r="C1701" t="s">
        <v>2017</v>
      </c>
      <c r="D1701" t="s">
        <v>3522</v>
      </c>
      <c r="E1701" t="s">
        <v>10</v>
      </c>
      <c r="F1701" t="s">
        <v>11</v>
      </c>
      <c r="H1701">
        <v>1</v>
      </c>
      <c r="I1701">
        <f t="shared" si="130"/>
        <v>1</v>
      </c>
      <c r="J1701" s="2">
        <f t="shared" si="131"/>
        <v>0.17699999999999999</v>
      </c>
      <c r="K1701">
        <f t="shared" si="132"/>
        <v>5.6497175141242941</v>
      </c>
      <c r="L1701" t="str">
        <f t="shared" si="133"/>
        <v>Funded</v>
      </c>
      <c r="M1701">
        <f t="shared" si="134"/>
        <v>1.731605546408308</v>
      </c>
    </row>
    <row r="1702" spans="1:13" x14ac:dyDescent="0.25">
      <c r="A1702" t="s">
        <v>3523</v>
      </c>
      <c r="B1702" t="s">
        <v>125</v>
      </c>
      <c r="C1702" t="s">
        <v>2435</v>
      </c>
      <c r="D1702" t="s">
        <v>3524</v>
      </c>
      <c r="E1702" t="s">
        <v>210</v>
      </c>
      <c r="F1702" t="s">
        <v>50</v>
      </c>
      <c r="H1702">
        <v>1</v>
      </c>
      <c r="I1702">
        <f t="shared" si="130"/>
        <v>1</v>
      </c>
      <c r="J1702" s="2">
        <f t="shared" si="131"/>
        <v>0.29199999999999998</v>
      </c>
      <c r="K1702">
        <f t="shared" si="132"/>
        <v>3.4246575342465757</v>
      </c>
      <c r="L1702" t="str">
        <f t="shared" si="133"/>
        <v>Funded</v>
      </c>
      <c r="M1702">
        <f t="shared" si="134"/>
        <v>1.2310014767138555</v>
      </c>
    </row>
    <row r="1703" spans="1:13" x14ac:dyDescent="0.25">
      <c r="A1703" t="s">
        <v>3525</v>
      </c>
      <c r="B1703" t="s">
        <v>125</v>
      </c>
      <c r="C1703" t="s">
        <v>2999</v>
      </c>
      <c r="D1703" t="s">
        <v>517</v>
      </c>
      <c r="E1703" t="s">
        <v>10</v>
      </c>
      <c r="F1703" t="s">
        <v>11</v>
      </c>
      <c r="H1703">
        <v>1</v>
      </c>
      <c r="I1703">
        <f t="shared" si="130"/>
        <v>1</v>
      </c>
      <c r="J1703" s="2">
        <f t="shared" si="131"/>
        <v>0.38300000000000001</v>
      </c>
      <c r="K1703">
        <f t="shared" si="132"/>
        <v>2.6109660574412534</v>
      </c>
      <c r="L1703" t="str">
        <f t="shared" si="133"/>
        <v>Funded</v>
      </c>
      <c r="M1703">
        <f t="shared" si="134"/>
        <v>0.95972028980149116</v>
      </c>
    </row>
    <row r="1704" spans="1:13" x14ac:dyDescent="0.25">
      <c r="A1704" t="s">
        <v>3526</v>
      </c>
      <c r="B1704" s="1">
        <v>0</v>
      </c>
      <c r="C1704" s="1">
        <v>0</v>
      </c>
      <c r="E1704" t="s">
        <v>10</v>
      </c>
      <c r="F1704" t="s">
        <v>11</v>
      </c>
      <c r="H1704">
        <v>1</v>
      </c>
      <c r="I1704">
        <f t="shared" si="130"/>
        <v>0</v>
      </c>
      <c r="J1704" s="2">
        <f t="shared" si="131"/>
        <v>0</v>
      </c>
      <c r="K1704" t="str">
        <f t="shared" si="132"/>
        <v/>
      </c>
      <c r="L1704" t="str">
        <f t="shared" si="133"/>
        <v>Bootstrapped</v>
      </c>
      <c r="M1704" t="str">
        <f t="shared" si="134"/>
        <v/>
      </c>
    </row>
    <row r="1705" spans="1:13" x14ac:dyDescent="0.25">
      <c r="A1705" t="s">
        <v>3527</v>
      </c>
      <c r="B1705" s="1">
        <v>0</v>
      </c>
      <c r="C1705" t="s">
        <v>106</v>
      </c>
      <c r="D1705" t="s">
        <v>752</v>
      </c>
      <c r="E1705" t="s">
        <v>1035</v>
      </c>
      <c r="F1705" t="s">
        <v>21</v>
      </c>
      <c r="H1705">
        <v>1</v>
      </c>
      <c r="I1705">
        <f t="shared" si="130"/>
        <v>0</v>
      </c>
      <c r="J1705" s="2">
        <f t="shared" si="131"/>
        <v>0.21</v>
      </c>
      <c r="K1705">
        <f t="shared" si="132"/>
        <v>0</v>
      </c>
      <c r="L1705" t="str">
        <f t="shared" si="133"/>
        <v>Funded</v>
      </c>
      <c r="M1705" t="str">
        <f t="shared" si="134"/>
        <v/>
      </c>
    </row>
    <row r="1706" spans="1:13" x14ac:dyDescent="0.25">
      <c r="A1706" t="s">
        <v>3528</v>
      </c>
      <c r="B1706" s="1">
        <v>0</v>
      </c>
      <c r="C1706" t="s">
        <v>1255</v>
      </c>
      <c r="D1706" t="s">
        <v>3529</v>
      </c>
      <c r="E1706" t="s">
        <v>384</v>
      </c>
      <c r="F1706" t="s">
        <v>21</v>
      </c>
      <c r="H1706">
        <v>1</v>
      </c>
      <c r="I1706">
        <f t="shared" si="130"/>
        <v>0</v>
      </c>
      <c r="J1706" s="2">
        <f t="shared" si="131"/>
        <v>0.58199999999999996</v>
      </c>
      <c r="K1706">
        <f t="shared" si="132"/>
        <v>0</v>
      </c>
      <c r="L1706" t="str">
        <f t="shared" si="133"/>
        <v>Funded</v>
      </c>
      <c r="M1706" t="str">
        <f t="shared" si="134"/>
        <v/>
      </c>
    </row>
  </sheetData>
  <autoFilter ref="H1:M1706" xr:uid="{623F5DC7-2D42-4072-BC22-3DC7CDE18D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51D7-91B0-4556-BE73-586712305805}">
  <dimension ref="A1:I1706"/>
  <sheetViews>
    <sheetView tabSelected="1" workbookViewId="0">
      <selection activeCell="D8" sqref="D8"/>
    </sheetView>
  </sheetViews>
  <sheetFormatPr defaultRowHeight="15" x14ac:dyDescent="0.25"/>
  <cols>
    <col min="1" max="1" width="21.140625" customWidth="1"/>
    <col min="2" max="2" width="9.28515625" bestFit="1" customWidth="1"/>
    <col min="3" max="3" width="8" bestFit="1" customWidth="1"/>
    <col min="4" max="4" width="42.28515625" customWidth="1"/>
    <col min="5" max="5" width="20" bestFit="1" customWidth="1"/>
    <col min="6" max="6" width="14" bestFit="1" customWidth="1"/>
    <col min="7" max="7" width="12" bestFit="1" customWidth="1"/>
    <col min="8" max="8" width="12.85546875" bestFit="1" customWidth="1"/>
    <col min="9" max="9" width="13.140625" bestFit="1" customWidth="1"/>
  </cols>
  <sheetData>
    <row r="1" spans="1:9" x14ac:dyDescent="0.25">
      <c r="A1" t="s">
        <v>3538</v>
      </c>
      <c r="B1" t="s">
        <v>3530</v>
      </c>
      <c r="C1" t="s">
        <v>3531</v>
      </c>
      <c r="D1" t="s">
        <v>3542</v>
      </c>
      <c r="E1" t="s">
        <v>3539</v>
      </c>
      <c r="F1" t="s">
        <v>3540</v>
      </c>
      <c r="G1" t="s">
        <v>3532</v>
      </c>
      <c r="H1" t="s">
        <v>3534</v>
      </c>
      <c r="I1" t="s">
        <v>3533</v>
      </c>
    </row>
    <row r="2" spans="1:9" x14ac:dyDescent="0.25">
      <c r="A2" t="s">
        <v>6</v>
      </c>
      <c r="B2">
        <v>840</v>
      </c>
      <c r="C2">
        <v>169</v>
      </c>
      <c r="D2" t="s">
        <v>9</v>
      </c>
      <c r="E2" t="s">
        <v>10</v>
      </c>
      <c r="F2" t="s">
        <v>11</v>
      </c>
      <c r="G2">
        <v>4.9704142011834316</v>
      </c>
      <c r="H2">
        <v>1.6035031769142858</v>
      </c>
      <c r="I2" t="s">
        <v>3536</v>
      </c>
    </row>
    <row r="3" spans="1:9" x14ac:dyDescent="0.25">
      <c r="A3" t="s">
        <v>12</v>
      </c>
      <c r="B3">
        <v>800</v>
      </c>
      <c r="C3">
        <v>9</v>
      </c>
      <c r="D3" t="s">
        <v>15</v>
      </c>
      <c r="E3" t="s">
        <v>10</v>
      </c>
      <c r="F3" t="s">
        <v>11</v>
      </c>
      <c r="G3">
        <v>88.888888888888886</v>
      </c>
      <c r="H3">
        <v>4.487387150331708</v>
      </c>
      <c r="I3" t="s">
        <v>3536</v>
      </c>
    </row>
    <row r="4" spans="1:9" x14ac:dyDescent="0.25">
      <c r="A4" t="s">
        <v>16</v>
      </c>
      <c r="B4">
        <v>480</v>
      </c>
      <c r="C4">
        <v>8</v>
      </c>
      <c r="D4" t="s">
        <v>19</v>
      </c>
      <c r="E4" t="s">
        <v>20</v>
      </c>
      <c r="F4" t="s">
        <v>21</v>
      </c>
      <c r="G4">
        <v>60</v>
      </c>
      <c r="H4">
        <v>4.0943445622221004</v>
      </c>
      <c r="I4" t="s">
        <v>3536</v>
      </c>
    </row>
    <row r="5" spans="1:9" x14ac:dyDescent="0.25">
      <c r="A5" t="s">
        <v>22</v>
      </c>
      <c r="B5">
        <v>380</v>
      </c>
      <c r="C5">
        <v>56</v>
      </c>
      <c r="D5" t="s">
        <v>25</v>
      </c>
      <c r="E5" t="s">
        <v>10</v>
      </c>
      <c r="F5" t="s">
        <v>11</v>
      </c>
      <c r="G5">
        <v>6.7857142857142856</v>
      </c>
      <c r="H5">
        <v>1.9148195619852821</v>
      </c>
      <c r="I5" t="s">
        <v>3536</v>
      </c>
    </row>
    <row r="6" spans="1:9" x14ac:dyDescent="0.25">
      <c r="A6" t="s">
        <v>26</v>
      </c>
      <c r="B6">
        <v>159</v>
      </c>
      <c r="C6">
        <v>9</v>
      </c>
      <c r="D6" t="s">
        <v>28</v>
      </c>
      <c r="E6" t="s">
        <v>10</v>
      </c>
      <c r="F6" t="s">
        <v>11</v>
      </c>
      <c r="G6">
        <v>17.666666666666668</v>
      </c>
      <c r="H6">
        <v>2.8716796248840124</v>
      </c>
      <c r="I6" t="s">
        <v>3536</v>
      </c>
    </row>
    <row r="7" spans="1:9" x14ac:dyDescent="0.25">
      <c r="A7" t="s">
        <v>29</v>
      </c>
      <c r="B7">
        <v>150</v>
      </c>
      <c r="C7">
        <v>19</v>
      </c>
      <c r="D7" t="s">
        <v>32</v>
      </c>
      <c r="E7" t="s">
        <v>20</v>
      </c>
      <c r="F7" t="s">
        <v>21</v>
      </c>
      <c r="G7">
        <v>7.8947368421052628</v>
      </c>
      <c r="H7">
        <v>2.0661963149298153</v>
      </c>
      <c r="I7" t="s">
        <v>3536</v>
      </c>
    </row>
    <row r="8" spans="1:9" x14ac:dyDescent="0.25">
      <c r="A8" t="s">
        <v>33</v>
      </c>
      <c r="B8">
        <v>134</v>
      </c>
      <c r="C8">
        <v>20</v>
      </c>
      <c r="D8" t="s">
        <v>36</v>
      </c>
      <c r="E8" t="s">
        <v>10</v>
      </c>
      <c r="F8" t="s">
        <v>11</v>
      </c>
      <c r="G8">
        <v>6.7</v>
      </c>
      <c r="H8">
        <v>1.9021075263969205</v>
      </c>
      <c r="I8" t="s">
        <v>3536</v>
      </c>
    </row>
    <row r="9" spans="1:9" x14ac:dyDescent="0.25">
      <c r="A9" t="s">
        <v>37</v>
      </c>
      <c r="B9">
        <v>126</v>
      </c>
      <c r="C9">
        <v>27</v>
      </c>
      <c r="D9" t="s">
        <v>40</v>
      </c>
      <c r="E9" t="s">
        <v>10</v>
      </c>
      <c r="F9" t="s">
        <v>11</v>
      </c>
      <c r="G9">
        <v>4.666666666666667</v>
      </c>
      <c r="H9">
        <v>1.5404450409471491</v>
      </c>
      <c r="I9" t="s">
        <v>3536</v>
      </c>
    </row>
    <row r="10" spans="1:9" x14ac:dyDescent="0.25">
      <c r="A10" t="s">
        <v>41</v>
      </c>
      <c r="B10">
        <v>101</v>
      </c>
      <c r="C10">
        <v>8</v>
      </c>
      <c r="D10" t="s">
        <v>43</v>
      </c>
      <c r="E10" t="s">
        <v>44</v>
      </c>
      <c r="F10" t="s">
        <v>21</v>
      </c>
      <c r="G10">
        <v>12.625</v>
      </c>
      <c r="H10">
        <v>2.5356789751614235</v>
      </c>
      <c r="I10" t="s">
        <v>3536</v>
      </c>
    </row>
    <row r="11" spans="1:9" x14ac:dyDescent="0.25">
      <c r="A11" t="s">
        <v>45</v>
      </c>
      <c r="B11">
        <v>75</v>
      </c>
      <c r="C11">
        <v>2</v>
      </c>
      <c r="D11" t="s">
        <v>48</v>
      </c>
      <c r="E11" t="s">
        <v>49</v>
      </c>
      <c r="F11" t="s">
        <v>50</v>
      </c>
      <c r="G11">
        <v>37.5</v>
      </c>
      <c r="H11">
        <v>3.6243409329763652</v>
      </c>
      <c r="I11" t="s">
        <v>3536</v>
      </c>
    </row>
    <row r="12" spans="1:9" x14ac:dyDescent="0.25">
      <c r="A12" t="s">
        <v>51</v>
      </c>
      <c r="B12">
        <v>66</v>
      </c>
      <c r="C12">
        <v>4</v>
      </c>
      <c r="D12" t="s">
        <v>54</v>
      </c>
      <c r="E12" t="s">
        <v>20</v>
      </c>
      <c r="F12" t="s">
        <v>21</v>
      </c>
      <c r="G12">
        <v>16.5</v>
      </c>
      <c r="H12">
        <v>2.8033603809065348</v>
      </c>
      <c r="I12" t="s">
        <v>3536</v>
      </c>
    </row>
    <row r="13" spans="1:9" x14ac:dyDescent="0.25">
      <c r="A13" t="s">
        <v>55</v>
      </c>
      <c r="B13">
        <v>58</v>
      </c>
      <c r="C13">
        <v>20</v>
      </c>
      <c r="D13" t="s">
        <v>57</v>
      </c>
      <c r="E13" t="s">
        <v>44</v>
      </c>
      <c r="F13" t="s">
        <v>21</v>
      </c>
      <c r="G13">
        <v>2.9</v>
      </c>
      <c r="H13">
        <v>1.0647107369924282</v>
      </c>
      <c r="I13" t="s">
        <v>3536</v>
      </c>
    </row>
    <row r="14" spans="1:9" x14ac:dyDescent="0.25">
      <c r="A14" t="s">
        <v>58</v>
      </c>
      <c r="B14">
        <v>42</v>
      </c>
      <c r="C14">
        <v>0.57999999999999996</v>
      </c>
      <c r="D14" t="s">
        <v>61</v>
      </c>
      <c r="E14" t="s">
        <v>62</v>
      </c>
      <c r="F14" t="s">
        <v>63</v>
      </c>
      <c r="G14">
        <v>72.413793103448285</v>
      </c>
      <c r="H14">
        <v>4.2823967937250407</v>
      </c>
      <c r="I14" t="s">
        <v>3536</v>
      </c>
    </row>
    <row r="15" spans="1:9" x14ac:dyDescent="0.25">
      <c r="A15" t="s">
        <v>64</v>
      </c>
      <c r="B15">
        <v>40</v>
      </c>
      <c r="C15">
        <v>2</v>
      </c>
      <c r="D15" t="s">
        <v>66</v>
      </c>
      <c r="E15" t="s">
        <v>49</v>
      </c>
      <c r="F15" t="s">
        <v>50</v>
      </c>
      <c r="G15">
        <v>20</v>
      </c>
      <c r="H15">
        <v>2.9957322735539909</v>
      </c>
      <c r="I15" t="s">
        <v>3536</v>
      </c>
    </row>
    <row r="16" spans="1:9" x14ac:dyDescent="0.25">
      <c r="A16" t="s">
        <v>67</v>
      </c>
      <c r="B16">
        <v>40</v>
      </c>
      <c r="C16">
        <v>0.79400000000000004</v>
      </c>
      <c r="D16" t="s">
        <v>69</v>
      </c>
      <c r="E16" t="s">
        <v>10</v>
      </c>
      <c r="F16" t="s">
        <v>11</v>
      </c>
      <c r="G16">
        <v>50.377833753148614</v>
      </c>
      <c r="H16">
        <v>3.9195512718489378</v>
      </c>
      <c r="I16" t="s">
        <v>3536</v>
      </c>
    </row>
    <row r="17" spans="1:9" x14ac:dyDescent="0.25">
      <c r="A17" t="s">
        <v>70</v>
      </c>
      <c r="B17">
        <v>39</v>
      </c>
      <c r="C17">
        <v>2</v>
      </c>
      <c r="D17" t="s">
        <v>72</v>
      </c>
      <c r="E17" t="s">
        <v>10</v>
      </c>
      <c r="F17" t="s">
        <v>11</v>
      </c>
      <c r="G17">
        <v>19.5</v>
      </c>
      <c r="H17">
        <v>2.9704144655697009</v>
      </c>
      <c r="I17" t="s">
        <v>3536</v>
      </c>
    </row>
    <row r="18" spans="1:9" x14ac:dyDescent="0.25">
      <c r="A18" t="s">
        <v>73</v>
      </c>
      <c r="B18">
        <v>38</v>
      </c>
      <c r="C18">
        <v>15</v>
      </c>
      <c r="D18" t="s">
        <v>76</v>
      </c>
      <c r="E18" t="s">
        <v>10</v>
      </c>
      <c r="F18" t="s">
        <v>11</v>
      </c>
      <c r="G18">
        <v>2.5333333333333332</v>
      </c>
      <c r="H18">
        <v>0.92953595862417571</v>
      </c>
      <c r="I18" t="s">
        <v>3536</v>
      </c>
    </row>
    <row r="19" spans="1:9" x14ac:dyDescent="0.25">
      <c r="A19" t="s">
        <v>77</v>
      </c>
      <c r="B19">
        <v>32</v>
      </c>
      <c r="C19">
        <v>2</v>
      </c>
      <c r="D19" t="s">
        <v>79</v>
      </c>
      <c r="E19" t="s">
        <v>10</v>
      </c>
      <c r="F19" t="s">
        <v>11</v>
      </c>
      <c r="G19">
        <v>16</v>
      </c>
      <c r="H19">
        <v>2.7725887222397811</v>
      </c>
      <c r="I19" t="s">
        <v>3536</v>
      </c>
    </row>
    <row r="20" spans="1:9" x14ac:dyDescent="0.25">
      <c r="A20" t="s">
        <v>80</v>
      </c>
      <c r="B20">
        <v>32</v>
      </c>
      <c r="C20">
        <v>3</v>
      </c>
      <c r="D20" t="s">
        <v>82</v>
      </c>
      <c r="E20" t="s">
        <v>10</v>
      </c>
      <c r="F20" t="s">
        <v>11</v>
      </c>
      <c r="G20">
        <v>10.666666666666666</v>
      </c>
      <c r="H20">
        <v>2.367123614131617</v>
      </c>
      <c r="I20" t="s">
        <v>3536</v>
      </c>
    </row>
    <row r="21" spans="1:9" x14ac:dyDescent="0.25">
      <c r="A21" t="s">
        <v>83</v>
      </c>
      <c r="B21">
        <v>31</v>
      </c>
      <c r="C21">
        <v>5</v>
      </c>
      <c r="D21" t="s">
        <v>86</v>
      </c>
      <c r="E21" t="s">
        <v>10</v>
      </c>
      <c r="F21" t="s">
        <v>11</v>
      </c>
      <c r="G21">
        <v>6.2</v>
      </c>
      <c r="H21">
        <v>1.824549292051046</v>
      </c>
      <c r="I21" t="s">
        <v>3536</v>
      </c>
    </row>
    <row r="22" spans="1:9" x14ac:dyDescent="0.25">
      <c r="A22" t="s">
        <v>87</v>
      </c>
      <c r="B22">
        <v>31</v>
      </c>
      <c r="C22">
        <v>6</v>
      </c>
      <c r="D22" t="s">
        <v>89</v>
      </c>
      <c r="E22" t="s">
        <v>10</v>
      </c>
      <c r="F22" t="s">
        <v>11</v>
      </c>
      <c r="G22">
        <v>5.166666666666667</v>
      </c>
      <c r="H22">
        <v>1.6422277352570913</v>
      </c>
      <c r="I22" t="s">
        <v>3536</v>
      </c>
    </row>
    <row r="23" spans="1:9" x14ac:dyDescent="0.25">
      <c r="A23" t="s">
        <v>90</v>
      </c>
      <c r="B23">
        <v>30</v>
      </c>
      <c r="C23">
        <v>9</v>
      </c>
      <c r="D23" t="s">
        <v>92</v>
      </c>
      <c r="E23" t="s">
        <v>10</v>
      </c>
      <c r="F23" t="s">
        <v>11</v>
      </c>
      <c r="G23">
        <v>3.3333333333333335</v>
      </c>
      <c r="H23">
        <v>1.2039728043259361</v>
      </c>
      <c r="I23" t="s">
        <v>3536</v>
      </c>
    </row>
    <row r="24" spans="1:9" x14ac:dyDescent="0.25">
      <c r="A24" t="s">
        <v>93</v>
      </c>
      <c r="B24">
        <v>30</v>
      </c>
      <c r="C24">
        <v>4</v>
      </c>
      <c r="D24" t="s">
        <v>94</v>
      </c>
      <c r="E24" t="s">
        <v>20</v>
      </c>
      <c r="F24" t="s">
        <v>21</v>
      </c>
      <c r="G24">
        <v>7.5</v>
      </c>
      <c r="H24">
        <v>2.0149030205422647</v>
      </c>
      <c r="I24" t="s">
        <v>3536</v>
      </c>
    </row>
    <row r="25" spans="1:9" x14ac:dyDescent="0.25">
      <c r="A25" t="s">
        <v>95</v>
      </c>
      <c r="B25">
        <v>30</v>
      </c>
      <c r="C25">
        <v>0.88100000000000001</v>
      </c>
      <c r="D25" t="s">
        <v>97</v>
      </c>
      <c r="E25" t="s">
        <v>10</v>
      </c>
      <c r="F25" t="s">
        <v>11</v>
      </c>
      <c r="G25">
        <v>34.052213393870602</v>
      </c>
      <c r="H25">
        <v>3.5278950347081128</v>
      </c>
      <c r="I25" t="s">
        <v>3536</v>
      </c>
    </row>
    <row r="26" spans="1:9" x14ac:dyDescent="0.25">
      <c r="A26" t="s">
        <v>98</v>
      </c>
      <c r="B26">
        <v>29</v>
      </c>
      <c r="C26">
        <v>3</v>
      </c>
      <c r="D26" t="s">
        <v>100</v>
      </c>
      <c r="E26" t="s">
        <v>10</v>
      </c>
      <c r="F26" t="s">
        <v>11</v>
      </c>
      <c r="G26">
        <v>9.6666666666666661</v>
      </c>
      <c r="H26">
        <v>2.2686835413183641</v>
      </c>
      <c r="I26" t="s">
        <v>3536</v>
      </c>
    </row>
    <row r="27" spans="1:9" x14ac:dyDescent="0.25">
      <c r="A27" t="s">
        <v>101</v>
      </c>
      <c r="B27">
        <v>29</v>
      </c>
      <c r="C27">
        <v>16</v>
      </c>
      <c r="D27" t="s">
        <v>103</v>
      </c>
      <c r="E27" t="s">
        <v>10</v>
      </c>
      <c r="F27" t="s">
        <v>11</v>
      </c>
      <c r="G27">
        <v>1.8125</v>
      </c>
      <c r="H27">
        <v>0.59470710774669278</v>
      </c>
      <c r="I27" t="s">
        <v>3536</v>
      </c>
    </row>
    <row r="28" spans="1:9" x14ac:dyDescent="0.25">
      <c r="A28" t="s">
        <v>104</v>
      </c>
      <c r="B28">
        <v>25</v>
      </c>
      <c r="C28">
        <v>0.21</v>
      </c>
      <c r="D28" t="s">
        <v>107</v>
      </c>
      <c r="E28" t="s">
        <v>108</v>
      </c>
      <c r="F28" t="s">
        <v>109</v>
      </c>
      <c r="G28">
        <v>119.04761904761905</v>
      </c>
      <c r="H28">
        <v>4.7795235731328694</v>
      </c>
      <c r="I28" t="s">
        <v>3536</v>
      </c>
    </row>
    <row r="29" spans="1:9" x14ac:dyDescent="0.25">
      <c r="A29" t="s">
        <v>110</v>
      </c>
      <c r="B29">
        <v>23</v>
      </c>
      <c r="C29">
        <v>3</v>
      </c>
      <c r="D29" t="s">
        <v>112</v>
      </c>
      <c r="E29" t="s">
        <v>10</v>
      </c>
      <c r="F29" t="s">
        <v>11</v>
      </c>
      <c r="G29">
        <v>7.666666666666667</v>
      </c>
      <c r="H29">
        <v>2.0368819272610401</v>
      </c>
      <c r="I29" t="s">
        <v>3536</v>
      </c>
    </row>
    <row r="30" spans="1:9" x14ac:dyDescent="0.25">
      <c r="A30" t="s">
        <v>113</v>
      </c>
      <c r="B30">
        <v>23</v>
      </c>
      <c r="C30">
        <v>7</v>
      </c>
      <c r="D30" t="s">
        <v>115</v>
      </c>
      <c r="E30" t="s">
        <v>20</v>
      </c>
      <c r="F30" t="s">
        <v>21</v>
      </c>
      <c r="G30">
        <v>3.2857142857142856</v>
      </c>
      <c r="H30">
        <v>1.1895840668738364</v>
      </c>
      <c r="I30" t="s">
        <v>3536</v>
      </c>
    </row>
    <row r="31" spans="1:9" x14ac:dyDescent="0.25">
      <c r="A31" t="s">
        <v>116</v>
      </c>
      <c r="B31">
        <v>23</v>
      </c>
      <c r="C31">
        <v>8</v>
      </c>
      <c r="D31" t="s">
        <v>117</v>
      </c>
      <c r="E31" t="s">
        <v>10</v>
      </c>
      <c r="F31" t="s">
        <v>11</v>
      </c>
      <c r="G31">
        <v>2.875</v>
      </c>
      <c r="H31">
        <v>1.0560526742493137</v>
      </c>
      <c r="I31" t="s">
        <v>3536</v>
      </c>
    </row>
    <row r="32" spans="1:9" x14ac:dyDescent="0.25">
      <c r="A32" t="s">
        <v>118</v>
      </c>
      <c r="B32">
        <v>22</v>
      </c>
      <c r="C32">
        <v>5</v>
      </c>
      <c r="D32" t="s">
        <v>120</v>
      </c>
      <c r="E32" t="s">
        <v>44</v>
      </c>
      <c r="F32" t="s">
        <v>21</v>
      </c>
      <c r="G32">
        <v>4.4000000000000004</v>
      </c>
      <c r="H32">
        <v>1.4816045409242156</v>
      </c>
      <c r="I32" t="s">
        <v>3536</v>
      </c>
    </row>
    <row r="33" spans="1:9" x14ac:dyDescent="0.25">
      <c r="A33" t="s">
        <v>121</v>
      </c>
      <c r="B33">
        <v>21</v>
      </c>
      <c r="C33">
        <v>2</v>
      </c>
      <c r="D33" t="s">
        <v>123</v>
      </c>
      <c r="E33" t="s">
        <v>20</v>
      </c>
      <c r="F33" t="s">
        <v>21</v>
      </c>
      <c r="G33">
        <v>10.5</v>
      </c>
      <c r="H33">
        <v>2.3513752571634776</v>
      </c>
      <c r="I33" t="s">
        <v>3536</v>
      </c>
    </row>
    <row r="34" spans="1:9" x14ac:dyDescent="0.25">
      <c r="A34" t="s">
        <v>124</v>
      </c>
      <c r="B34">
        <v>20</v>
      </c>
      <c r="C34">
        <v>1</v>
      </c>
      <c r="D34" t="s">
        <v>126</v>
      </c>
      <c r="E34" t="s">
        <v>10</v>
      </c>
      <c r="F34" t="s">
        <v>11</v>
      </c>
      <c r="G34">
        <v>20</v>
      </c>
      <c r="H34">
        <v>2.9957322735539909</v>
      </c>
      <c r="I34" t="s">
        <v>3536</v>
      </c>
    </row>
    <row r="35" spans="1:9" x14ac:dyDescent="0.25">
      <c r="A35" t="s">
        <v>127</v>
      </c>
      <c r="B35">
        <v>20</v>
      </c>
      <c r="C35">
        <v>4</v>
      </c>
      <c r="D35" t="s">
        <v>128</v>
      </c>
      <c r="E35" t="s">
        <v>49</v>
      </c>
      <c r="F35" t="s">
        <v>50</v>
      </c>
      <c r="G35">
        <v>5</v>
      </c>
      <c r="H35">
        <v>1.6094379124341003</v>
      </c>
      <c r="I35" t="s">
        <v>3536</v>
      </c>
    </row>
    <row r="36" spans="1:9" x14ac:dyDescent="0.25">
      <c r="A36" t="s">
        <v>129</v>
      </c>
      <c r="B36">
        <v>20</v>
      </c>
      <c r="C36">
        <v>1</v>
      </c>
      <c r="D36" t="s">
        <v>130</v>
      </c>
      <c r="E36" t="s">
        <v>10</v>
      </c>
      <c r="F36" t="s">
        <v>11</v>
      </c>
      <c r="G36">
        <v>20</v>
      </c>
      <c r="H36">
        <v>2.9957322735539909</v>
      </c>
      <c r="I36" t="s">
        <v>3536</v>
      </c>
    </row>
    <row r="37" spans="1:9" x14ac:dyDescent="0.25">
      <c r="A37" t="s">
        <v>131</v>
      </c>
      <c r="B37">
        <v>19</v>
      </c>
      <c r="C37">
        <v>5</v>
      </c>
      <c r="E37" t="s">
        <v>20</v>
      </c>
      <c r="F37" t="s">
        <v>21</v>
      </c>
      <c r="G37">
        <v>3.8</v>
      </c>
      <c r="H37">
        <v>1.33500106673234</v>
      </c>
      <c r="I37" t="s">
        <v>3536</v>
      </c>
    </row>
    <row r="38" spans="1:9" x14ac:dyDescent="0.25">
      <c r="A38" t="s">
        <v>132</v>
      </c>
      <c r="B38">
        <v>18</v>
      </c>
      <c r="C38">
        <v>5</v>
      </c>
      <c r="D38" t="s">
        <v>134</v>
      </c>
      <c r="E38" t="s">
        <v>20</v>
      </c>
      <c r="F38" t="s">
        <v>21</v>
      </c>
      <c r="G38">
        <v>3.6</v>
      </c>
      <c r="H38">
        <v>1.2809338454620642</v>
      </c>
      <c r="I38" t="s">
        <v>3536</v>
      </c>
    </row>
    <row r="39" spans="1:9" x14ac:dyDescent="0.25">
      <c r="A39" t="s">
        <v>135</v>
      </c>
      <c r="B39">
        <v>18</v>
      </c>
      <c r="C39">
        <v>0.47599999999999998</v>
      </c>
      <c r="D39" t="s">
        <v>137</v>
      </c>
      <c r="E39" t="s">
        <v>10</v>
      </c>
      <c r="F39" t="s">
        <v>11</v>
      </c>
      <c r="G39">
        <v>37.815126050420169</v>
      </c>
      <c r="H39">
        <v>3.6327091826468818</v>
      </c>
      <c r="I39" t="s">
        <v>3536</v>
      </c>
    </row>
    <row r="40" spans="1:9" x14ac:dyDescent="0.25">
      <c r="A40" t="s">
        <v>138</v>
      </c>
      <c r="B40">
        <v>17</v>
      </c>
      <c r="C40">
        <v>0.98199999999999998</v>
      </c>
      <c r="D40" t="s">
        <v>141</v>
      </c>
      <c r="E40" t="s">
        <v>10</v>
      </c>
      <c r="F40" t="s">
        <v>11</v>
      </c>
      <c r="G40">
        <v>17.311608961303463</v>
      </c>
      <c r="H40">
        <v>2.8513773146838872</v>
      </c>
      <c r="I40" t="s">
        <v>3536</v>
      </c>
    </row>
    <row r="41" spans="1:9" x14ac:dyDescent="0.25">
      <c r="A41" t="s">
        <v>142</v>
      </c>
      <c r="B41">
        <v>17</v>
      </c>
      <c r="C41">
        <v>0.91800000000000004</v>
      </c>
      <c r="D41" t="s">
        <v>144</v>
      </c>
      <c r="E41" t="s">
        <v>20</v>
      </c>
      <c r="F41" t="s">
        <v>21</v>
      </c>
      <c r="G41">
        <v>18.518518518518519</v>
      </c>
      <c r="H41">
        <v>2.9187712324178627</v>
      </c>
      <c r="I41" t="s">
        <v>3536</v>
      </c>
    </row>
    <row r="42" spans="1:9" x14ac:dyDescent="0.25">
      <c r="A42" t="s">
        <v>145</v>
      </c>
      <c r="B42">
        <v>17</v>
      </c>
      <c r="C42">
        <v>4</v>
      </c>
      <c r="D42" t="s">
        <v>146</v>
      </c>
      <c r="E42" t="s">
        <v>20</v>
      </c>
      <c r="F42" t="s">
        <v>21</v>
      </c>
      <c r="G42">
        <v>4.25</v>
      </c>
      <c r="H42">
        <v>1.4469189829363254</v>
      </c>
      <c r="I42" t="s">
        <v>3536</v>
      </c>
    </row>
    <row r="43" spans="1:9" x14ac:dyDescent="0.25">
      <c r="A43" t="s">
        <v>147</v>
      </c>
      <c r="B43">
        <v>17</v>
      </c>
      <c r="C43">
        <v>2</v>
      </c>
      <c r="D43" t="s">
        <v>148</v>
      </c>
      <c r="E43" t="s">
        <v>10</v>
      </c>
      <c r="F43" t="s">
        <v>11</v>
      </c>
      <c r="G43">
        <v>8.5</v>
      </c>
      <c r="H43">
        <v>2.1400661634962708</v>
      </c>
      <c r="I43" t="s">
        <v>3536</v>
      </c>
    </row>
    <row r="44" spans="1:9" x14ac:dyDescent="0.25">
      <c r="A44" t="s">
        <v>149</v>
      </c>
      <c r="B44">
        <v>17</v>
      </c>
      <c r="C44">
        <v>2</v>
      </c>
      <c r="D44" t="s">
        <v>150</v>
      </c>
      <c r="E44" t="s">
        <v>151</v>
      </c>
      <c r="F44" t="s">
        <v>50</v>
      </c>
      <c r="G44">
        <v>8.5</v>
      </c>
      <c r="H44">
        <v>2.1400661634962708</v>
      </c>
      <c r="I44" t="s">
        <v>3536</v>
      </c>
    </row>
    <row r="45" spans="1:9" x14ac:dyDescent="0.25">
      <c r="A45" t="s">
        <v>152</v>
      </c>
      <c r="B45">
        <v>16</v>
      </c>
      <c r="C45">
        <v>3</v>
      </c>
      <c r="D45" t="s">
        <v>153</v>
      </c>
      <c r="E45" t="s">
        <v>20</v>
      </c>
      <c r="F45" t="s">
        <v>21</v>
      </c>
      <c r="G45">
        <v>5.333333333333333</v>
      </c>
      <c r="H45">
        <v>1.6739764335716716</v>
      </c>
      <c r="I45" t="s">
        <v>3536</v>
      </c>
    </row>
    <row r="46" spans="1:9" x14ac:dyDescent="0.25">
      <c r="A46" t="s">
        <v>154</v>
      </c>
      <c r="B46">
        <v>15</v>
      </c>
      <c r="C46">
        <v>0.98299999999999998</v>
      </c>
      <c r="D46" t="s">
        <v>156</v>
      </c>
      <c r="E46" t="s">
        <v>10</v>
      </c>
      <c r="F46" t="s">
        <v>11</v>
      </c>
      <c r="G46">
        <v>15.25940996948118</v>
      </c>
      <c r="H46">
        <v>2.7251963599371805</v>
      </c>
      <c r="I46" t="s">
        <v>3536</v>
      </c>
    </row>
    <row r="47" spans="1:9" x14ac:dyDescent="0.25">
      <c r="A47" t="s">
        <v>157</v>
      </c>
      <c r="B47">
        <v>15</v>
      </c>
      <c r="C47">
        <v>0.72099999999999997</v>
      </c>
      <c r="D47" t="s">
        <v>159</v>
      </c>
      <c r="E47" t="s">
        <v>20</v>
      </c>
      <c r="F47" t="s">
        <v>21</v>
      </c>
      <c r="G47">
        <v>20.804438280166437</v>
      </c>
      <c r="H47">
        <v>3.035166342799398</v>
      </c>
      <c r="I47" t="s">
        <v>3536</v>
      </c>
    </row>
    <row r="48" spans="1:9" x14ac:dyDescent="0.25">
      <c r="A48" t="s">
        <v>160</v>
      </c>
      <c r="B48">
        <v>15</v>
      </c>
      <c r="C48">
        <v>1</v>
      </c>
      <c r="D48" t="s">
        <v>161</v>
      </c>
      <c r="E48" t="s">
        <v>10</v>
      </c>
      <c r="F48" t="s">
        <v>11</v>
      </c>
      <c r="G48">
        <v>15</v>
      </c>
      <c r="H48">
        <v>2.7080502011022101</v>
      </c>
      <c r="I48" t="s">
        <v>3536</v>
      </c>
    </row>
    <row r="49" spans="1:9" x14ac:dyDescent="0.25">
      <c r="A49" t="s">
        <v>162</v>
      </c>
      <c r="B49">
        <v>15</v>
      </c>
      <c r="C49">
        <v>0.76500000000000001</v>
      </c>
      <c r="D49" t="s">
        <v>164</v>
      </c>
      <c r="E49" t="s">
        <v>20</v>
      </c>
      <c r="F49" t="s">
        <v>21</v>
      </c>
      <c r="G49">
        <v>19.607843137254903</v>
      </c>
      <c r="H49">
        <v>2.9759296462578115</v>
      </c>
      <c r="I49" t="s">
        <v>3536</v>
      </c>
    </row>
    <row r="50" spans="1:9" x14ac:dyDescent="0.25">
      <c r="A50" t="s">
        <v>165</v>
      </c>
      <c r="B50">
        <v>15</v>
      </c>
      <c r="C50">
        <v>1</v>
      </c>
      <c r="D50" t="s">
        <v>166</v>
      </c>
      <c r="E50" t="s">
        <v>10</v>
      </c>
      <c r="F50" t="s">
        <v>11</v>
      </c>
      <c r="G50">
        <v>15</v>
      </c>
      <c r="H50">
        <v>2.7080502011022101</v>
      </c>
      <c r="I50" t="s">
        <v>3536</v>
      </c>
    </row>
    <row r="51" spans="1:9" x14ac:dyDescent="0.25">
      <c r="A51" t="s">
        <v>167</v>
      </c>
      <c r="B51">
        <v>15</v>
      </c>
      <c r="C51">
        <v>1</v>
      </c>
      <c r="D51" t="s">
        <v>156</v>
      </c>
      <c r="E51" t="s">
        <v>10</v>
      </c>
      <c r="F51" t="s">
        <v>11</v>
      </c>
      <c r="G51">
        <v>15</v>
      </c>
      <c r="H51">
        <v>2.7080502011022101</v>
      </c>
      <c r="I51" t="s">
        <v>3536</v>
      </c>
    </row>
    <row r="52" spans="1:9" x14ac:dyDescent="0.25">
      <c r="A52" t="s">
        <v>168</v>
      </c>
      <c r="B52">
        <v>15</v>
      </c>
      <c r="C52">
        <v>1</v>
      </c>
      <c r="D52" t="s">
        <v>169</v>
      </c>
      <c r="E52" t="s">
        <v>170</v>
      </c>
      <c r="F52" t="s">
        <v>50</v>
      </c>
      <c r="G52">
        <v>15</v>
      </c>
      <c r="H52">
        <v>2.7080502011022101</v>
      </c>
      <c r="I52" t="s">
        <v>3536</v>
      </c>
    </row>
    <row r="53" spans="1:9" x14ac:dyDescent="0.25">
      <c r="A53" t="s">
        <v>171</v>
      </c>
      <c r="B53">
        <v>15</v>
      </c>
      <c r="C53">
        <v>4</v>
      </c>
      <c r="D53" t="s">
        <v>172</v>
      </c>
      <c r="E53" t="s">
        <v>49</v>
      </c>
      <c r="F53" t="s">
        <v>50</v>
      </c>
      <c r="G53">
        <v>3.75</v>
      </c>
      <c r="H53">
        <v>1.3217558399823195</v>
      </c>
      <c r="I53" t="s">
        <v>3536</v>
      </c>
    </row>
    <row r="54" spans="1:9" x14ac:dyDescent="0.25">
      <c r="A54" t="s">
        <v>173</v>
      </c>
      <c r="B54">
        <v>15</v>
      </c>
      <c r="C54">
        <v>0.255</v>
      </c>
      <c r="D54" t="s">
        <v>175</v>
      </c>
      <c r="E54" t="s">
        <v>10</v>
      </c>
      <c r="F54" t="s">
        <v>11</v>
      </c>
      <c r="G54">
        <v>58.823529411764703</v>
      </c>
      <c r="H54">
        <v>4.0745419349259206</v>
      </c>
      <c r="I54" t="s">
        <v>3536</v>
      </c>
    </row>
    <row r="55" spans="1:9" x14ac:dyDescent="0.25">
      <c r="A55" t="s">
        <v>176</v>
      </c>
      <c r="B55">
        <v>15</v>
      </c>
      <c r="C55">
        <v>2</v>
      </c>
      <c r="D55" t="s">
        <v>177</v>
      </c>
      <c r="E55" t="s">
        <v>44</v>
      </c>
      <c r="F55" t="s">
        <v>21</v>
      </c>
      <c r="G55">
        <v>7.5</v>
      </c>
      <c r="H55">
        <v>2.0149030205422647</v>
      </c>
      <c r="I55" t="s">
        <v>3536</v>
      </c>
    </row>
    <row r="56" spans="1:9" x14ac:dyDescent="0.25">
      <c r="A56" t="s">
        <v>178</v>
      </c>
      <c r="B56">
        <v>14</v>
      </c>
      <c r="C56">
        <v>3</v>
      </c>
      <c r="E56" t="s">
        <v>20</v>
      </c>
      <c r="F56" t="s">
        <v>21</v>
      </c>
      <c r="G56">
        <v>4.666666666666667</v>
      </c>
      <c r="H56">
        <v>1.5404450409471491</v>
      </c>
      <c r="I56" t="s">
        <v>3536</v>
      </c>
    </row>
    <row r="57" spans="1:9" x14ac:dyDescent="0.25">
      <c r="A57" t="s">
        <v>180</v>
      </c>
      <c r="B57">
        <v>14</v>
      </c>
      <c r="C57">
        <v>0</v>
      </c>
      <c r="E57" t="s">
        <v>10</v>
      </c>
      <c r="F57" t="s">
        <v>11</v>
      </c>
      <c r="G57" t="s">
        <v>3535</v>
      </c>
      <c r="H57" t="s">
        <v>3535</v>
      </c>
      <c r="I57" t="s">
        <v>3537</v>
      </c>
    </row>
    <row r="58" spans="1:9" x14ac:dyDescent="0.25">
      <c r="A58" t="s">
        <v>181</v>
      </c>
      <c r="B58">
        <v>14</v>
      </c>
      <c r="C58">
        <v>2</v>
      </c>
      <c r="D58" t="s">
        <v>182</v>
      </c>
      <c r="E58" t="s">
        <v>10</v>
      </c>
      <c r="F58" t="s">
        <v>11</v>
      </c>
      <c r="G58">
        <v>7</v>
      </c>
      <c r="H58">
        <v>1.9459101490553132</v>
      </c>
      <c r="I58" t="s">
        <v>3536</v>
      </c>
    </row>
    <row r="59" spans="1:9" x14ac:dyDescent="0.25">
      <c r="A59" t="s">
        <v>183</v>
      </c>
      <c r="B59">
        <v>14</v>
      </c>
      <c r="C59">
        <v>2</v>
      </c>
      <c r="D59" t="s">
        <v>184</v>
      </c>
      <c r="E59" t="s">
        <v>170</v>
      </c>
      <c r="F59" t="s">
        <v>50</v>
      </c>
      <c r="G59">
        <v>7</v>
      </c>
      <c r="H59">
        <v>1.9459101490553132</v>
      </c>
      <c r="I59" t="s">
        <v>3536</v>
      </c>
    </row>
    <row r="60" spans="1:9" x14ac:dyDescent="0.25">
      <c r="A60" t="s">
        <v>185</v>
      </c>
      <c r="B60">
        <v>14</v>
      </c>
      <c r="C60">
        <v>3</v>
      </c>
      <c r="D60" t="s">
        <v>186</v>
      </c>
      <c r="E60" t="s">
        <v>187</v>
      </c>
      <c r="F60" t="s">
        <v>50</v>
      </c>
      <c r="G60">
        <v>4.666666666666667</v>
      </c>
      <c r="H60">
        <v>1.5404450409471491</v>
      </c>
      <c r="I60" t="s">
        <v>3536</v>
      </c>
    </row>
    <row r="61" spans="1:9" x14ac:dyDescent="0.25">
      <c r="A61" t="s">
        <v>188</v>
      </c>
      <c r="B61">
        <v>13</v>
      </c>
      <c r="C61">
        <v>0.42699999999999999</v>
      </c>
      <c r="D61" t="s">
        <v>191</v>
      </c>
      <c r="E61" t="s">
        <v>10</v>
      </c>
      <c r="F61" t="s">
        <v>11</v>
      </c>
      <c r="G61">
        <v>30.444964871194379</v>
      </c>
      <c r="H61">
        <v>3.4159206232150492</v>
      </c>
      <c r="I61" t="s">
        <v>3536</v>
      </c>
    </row>
    <row r="62" spans="1:9" x14ac:dyDescent="0.25">
      <c r="A62" t="s">
        <v>192</v>
      </c>
      <c r="B62">
        <v>13</v>
      </c>
      <c r="C62">
        <v>0.4</v>
      </c>
      <c r="D62" t="s">
        <v>194</v>
      </c>
      <c r="E62" t="s">
        <v>10</v>
      </c>
      <c r="F62" t="s">
        <v>11</v>
      </c>
      <c r="G62">
        <v>32.5</v>
      </c>
      <c r="H62">
        <v>3.4812400893356918</v>
      </c>
      <c r="I62" t="s">
        <v>3536</v>
      </c>
    </row>
    <row r="63" spans="1:9" x14ac:dyDescent="0.25">
      <c r="A63" t="s">
        <v>195</v>
      </c>
      <c r="B63">
        <v>13</v>
      </c>
      <c r="C63">
        <v>3</v>
      </c>
      <c r="D63" t="s">
        <v>196</v>
      </c>
      <c r="E63" t="s">
        <v>10</v>
      </c>
      <c r="F63" t="s">
        <v>11</v>
      </c>
      <c r="G63">
        <v>4.333333333333333</v>
      </c>
      <c r="H63">
        <v>1.466337068793427</v>
      </c>
      <c r="I63" t="s">
        <v>3536</v>
      </c>
    </row>
    <row r="64" spans="1:9" x14ac:dyDescent="0.25">
      <c r="A64" t="s">
        <v>197</v>
      </c>
      <c r="B64">
        <v>13</v>
      </c>
      <c r="C64">
        <v>2</v>
      </c>
      <c r="D64" t="s">
        <v>120</v>
      </c>
      <c r="E64" t="s">
        <v>170</v>
      </c>
      <c r="F64" t="s">
        <v>50</v>
      </c>
      <c r="G64">
        <v>6.5</v>
      </c>
      <c r="H64">
        <v>1.8718021769015913</v>
      </c>
      <c r="I64" t="s">
        <v>3536</v>
      </c>
    </row>
    <row r="65" spans="1:9" x14ac:dyDescent="0.25">
      <c r="A65" t="s">
        <v>198</v>
      </c>
      <c r="B65">
        <v>12</v>
      </c>
      <c r="C65">
        <v>0</v>
      </c>
      <c r="E65" t="s">
        <v>10</v>
      </c>
      <c r="F65" t="s">
        <v>11</v>
      </c>
      <c r="G65" t="s">
        <v>3535</v>
      </c>
      <c r="H65" t="s">
        <v>3535</v>
      </c>
      <c r="I65" t="s">
        <v>3537</v>
      </c>
    </row>
    <row r="66" spans="1:9" x14ac:dyDescent="0.25">
      <c r="A66" t="s">
        <v>200</v>
      </c>
      <c r="B66">
        <v>12</v>
      </c>
      <c r="C66">
        <v>0.77800000000000002</v>
      </c>
      <c r="D66" t="s">
        <v>202</v>
      </c>
      <c r="E66" t="s">
        <v>10</v>
      </c>
      <c r="F66" t="s">
        <v>11</v>
      </c>
      <c r="G66">
        <v>15.424164524421593</v>
      </c>
      <c r="H66">
        <v>2.7359354045917459</v>
      </c>
      <c r="I66" t="s">
        <v>3536</v>
      </c>
    </row>
    <row r="67" spans="1:9" x14ac:dyDescent="0.25">
      <c r="A67" t="s">
        <v>203</v>
      </c>
      <c r="B67">
        <v>12</v>
      </c>
      <c r="C67">
        <v>5</v>
      </c>
      <c r="D67" t="s">
        <v>169</v>
      </c>
      <c r="E67" t="s">
        <v>20</v>
      </c>
      <c r="F67" t="s">
        <v>21</v>
      </c>
      <c r="G67">
        <v>2.4</v>
      </c>
      <c r="H67">
        <v>0.87546873735389985</v>
      </c>
      <c r="I67" t="s">
        <v>3536</v>
      </c>
    </row>
    <row r="68" spans="1:9" x14ac:dyDescent="0.25">
      <c r="A68" t="s">
        <v>204</v>
      </c>
      <c r="B68">
        <v>12</v>
      </c>
      <c r="C68">
        <v>0.76700000000000002</v>
      </c>
      <c r="D68" t="s">
        <v>206</v>
      </c>
      <c r="E68" t="s">
        <v>10</v>
      </c>
      <c r="F68" t="s">
        <v>11</v>
      </c>
      <c r="G68">
        <v>15.645371577574966</v>
      </c>
      <c r="H68">
        <v>2.7501751274028812</v>
      </c>
      <c r="I68" t="s">
        <v>3536</v>
      </c>
    </row>
    <row r="69" spans="1:9" x14ac:dyDescent="0.25">
      <c r="A69" t="s">
        <v>207</v>
      </c>
      <c r="B69">
        <v>12</v>
      </c>
      <c r="C69">
        <v>2</v>
      </c>
      <c r="D69" t="s">
        <v>15</v>
      </c>
      <c r="E69" t="s">
        <v>10</v>
      </c>
      <c r="F69" t="s">
        <v>11</v>
      </c>
      <c r="G69">
        <v>6</v>
      </c>
      <c r="H69">
        <v>1.791759469228055</v>
      </c>
      <c r="I69" t="s">
        <v>3536</v>
      </c>
    </row>
    <row r="70" spans="1:9" x14ac:dyDescent="0.25">
      <c r="A70" t="s">
        <v>208</v>
      </c>
      <c r="B70">
        <v>12</v>
      </c>
      <c r="C70">
        <v>4</v>
      </c>
      <c r="D70" t="s">
        <v>209</v>
      </c>
      <c r="E70" t="s">
        <v>210</v>
      </c>
      <c r="F70" t="s">
        <v>50</v>
      </c>
      <c r="G70">
        <v>3</v>
      </c>
      <c r="H70">
        <v>1.0986122886681098</v>
      </c>
      <c r="I70" t="s">
        <v>3536</v>
      </c>
    </row>
    <row r="71" spans="1:9" x14ac:dyDescent="0.25">
      <c r="A71" t="s">
        <v>211</v>
      </c>
      <c r="B71">
        <v>12</v>
      </c>
      <c r="C71">
        <v>1</v>
      </c>
      <c r="D71" t="s">
        <v>212</v>
      </c>
      <c r="E71" t="s">
        <v>10</v>
      </c>
      <c r="F71" t="s">
        <v>11</v>
      </c>
      <c r="G71">
        <v>12</v>
      </c>
      <c r="H71">
        <v>2.4849066497880004</v>
      </c>
      <c r="I71" t="s">
        <v>3536</v>
      </c>
    </row>
    <row r="72" spans="1:9" x14ac:dyDescent="0.25">
      <c r="A72" t="s">
        <v>213</v>
      </c>
      <c r="B72">
        <v>12</v>
      </c>
      <c r="C72">
        <v>1</v>
      </c>
      <c r="D72" t="s">
        <v>214</v>
      </c>
      <c r="E72" t="s">
        <v>49</v>
      </c>
      <c r="F72" t="s">
        <v>50</v>
      </c>
      <c r="G72">
        <v>12</v>
      </c>
      <c r="H72">
        <v>2.4849066497880004</v>
      </c>
      <c r="I72" t="s">
        <v>3536</v>
      </c>
    </row>
    <row r="73" spans="1:9" x14ac:dyDescent="0.25">
      <c r="A73" t="s">
        <v>215</v>
      </c>
      <c r="B73">
        <v>12</v>
      </c>
      <c r="C73">
        <v>0.97499999999999998</v>
      </c>
      <c r="D73" t="s">
        <v>217</v>
      </c>
      <c r="E73" t="s">
        <v>10</v>
      </c>
      <c r="F73" t="s">
        <v>11</v>
      </c>
      <c r="G73">
        <v>12.307692307692308</v>
      </c>
      <c r="H73">
        <v>2.5102244577722903</v>
      </c>
      <c r="I73" t="s">
        <v>3536</v>
      </c>
    </row>
    <row r="74" spans="1:9" x14ac:dyDescent="0.25">
      <c r="A74" t="s">
        <v>218</v>
      </c>
      <c r="B74">
        <v>11</v>
      </c>
      <c r="C74">
        <v>0.61599999999999999</v>
      </c>
      <c r="D74" t="s">
        <v>221</v>
      </c>
      <c r="E74" t="s">
        <v>222</v>
      </c>
      <c r="F74" t="s">
        <v>50</v>
      </c>
      <c r="G74">
        <v>17.857142857142858</v>
      </c>
      <c r="H74">
        <v>2.8824035882469881</v>
      </c>
      <c r="I74" t="s">
        <v>3536</v>
      </c>
    </row>
    <row r="75" spans="1:9" x14ac:dyDescent="0.25">
      <c r="A75" t="s">
        <v>223</v>
      </c>
      <c r="B75">
        <v>11</v>
      </c>
      <c r="C75">
        <v>0.78100000000000003</v>
      </c>
      <c r="D75" t="s">
        <v>225</v>
      </c>
      <c r="E75" t="s">
        <v>10</v>
      </c>
      <c r="F75" t="s">
        <v>11</v>
      </c>
      <c r="G75">
        <v>14.08450704225352</v>
      </c>
      <c r="H75">
        <v>2.6450754019408214</v>
      </c>
      <c r="I75" t="s">
        <v>3536</v>
      </c>
    </row>
    <row r="76" spans="1:9" x14ac:dyDescent="0.25">
      <c r="A76" t="s">
        <v>226</v>
      </c>
      <c r="B76">
        <v>11</v>
      </c>
      <c r="C76">
        <v>0.34300000000000003</v>
      </c>
      <c r="D76" t="s">
        <v>228</v>
      </c>
      <c r="E76" t="s">
        <v>10</v>
      </c>
      <c r="F76" t="s">
        <v>11</v>
      </c>
      <c r="G76">
        <v>32.069970845481045</v>
      </c>
      <c r="H76">
        <v>3.4679201046145676</v>
      </c>
      <c r="I76" t="s">
        <v>3536</v>
      </c>
    </row>
    <row r="77" spans="1:9" x14ac:dyDescent="0.25">
      <c r="A77" t="s">
        <v>229</v>
      </c>
      <c r="B77">
        <v>11</v>
      </c>
      <c r="C77">
        <v>1</v>
      </c>
      <c r="D77" t="s">
        <v>97</v>
      </c>
      <c r="E77" t="s">
        <v>230</v>
      </c>
      <c r="F77" t="s">
        <v>50</v>
      </c>
      <c r="G77">
        <v>11</v>
      </c>
      <c r="H77">
        <v>2.3978952727983707</v>
      </c>
      <c r="I77" t="s">
        <v>3536</v>
      </c>
    </row>
    <row r="78" spans="1:9" x14ac:dyDescent="0.25">
      <c r="A78" t="s">
        <v>231</v>
      </c>
      <c r="B78">
        <v>11</v>
      </c>
      <c r="C78">
        <v>2</v>
      </c>
      <c r="D78" t="s">
        <v>232</v>
      </c>
      <c r="E78" t="s">
        <v>10</v>
      </c>
      <c r="F78" t="s">
        <v>11</v>
      </c>
      <c r="G78">
        <v>5.5</v>
      </c>
      <c r="H78">
        <v>1.7047480922384253</v>
      </c>
      <c r="I78" t="s">
        <v>3536</v>
      </c>
    </row>
    <row r="79" spans="1:9" x14ac:dyDescent="0.25">
      <c r="A79" t="s">
        <v>233</v>
      </c>
      <c r="B79">
        <v>11</v>
      </c>
      <c r="C79">
        <v>0.81299999999999994</v>
      </c>
      <c r="D79" t="s">
        <v>235</v>
      </c>
      <c r="E79" t="s">
        <v>10</v>
      </c>
      <c r="F79" t="s">
        <v>11</v>
      </c>
      <c r="G79">
        <v>13.530135301353015</v>
      </c>
      <c r="H79">
        <v>2.6049194422326973</v>
      </c>
      <c r="I79" t="s">
        <v>3536</v>
      </c>
    </row>
    <row r="80" spans="1:9" x14ac:dyDescent="0.25">
      <c r="A80" t="s">
        <v>236</v>
      </c>
      <c r="B80">
        <v>11</v>
      </c>
      <c r="C80">
        <v>0.9</v>
      </c>
      <c r="D80" t="s">
        <v>238</v>
      </c>
      <c r="E80" t="s">
        <v>10</v>
      </c>
      <c r="F80" t="s">
        <v>11</v>
      </c>
      <c r="G80">
        <v>12.222222222222221</v>
      </c>
      <c r="H80">
        <v>2.5032557884561966</v>
      </c>
      <c r="I80" t="s">
        <v>3536</v>
      </c>
    </row>
    <row r="81" spans="1:9" x14ac:dyDescent="0.25">
      <c r="A81" t="s">
        <v>239</v>
      </c>
      <c r="B81">
        <v>10</v>
      </c>
      <c r="C81">
        <v>0.628</v>
      </c>
      <c r="D81" t="s">
        <v>242</v>
      </c>
      <c r="E81" t="s">
        <v>10</v>
      </c>
      <c r="F81" t="s">
        <v>11</v>
      </c>
      <c r="G81">
        <v>15.923566878980891</v>
      </c>
      <c r="H81">
        <v>2.7678002055079842</v>
      </c>
      <c r="I81" t="s">
        <v>3536</v>
      </c>
    </row>
    <row r="82" spans="1:9" x14ac:dyDescent="0.25">
      <c r="A82" t="s">
        <v>243</v>
      </c>
      <c r="B82">
        <v>10</v>
      </c>
      <c r="C82">
        <v>0.89600000000000002</v>
      </c>
      <c r="D82" t="s">
        <v>245</v>
      </c>
      <c r="E82" t="s">
        <v>10</v>
      </c>
      <c r="F82" t="s">
        <v>11</v>
      </c>
      <c r="G82">
        <v>11.160714285714285</v>
      </c>
      <c r="H82">
        <v>2.4123999590012524</v>
      </c>
      <c r="I82" t="s">
        <v>3536</v>
      </c>
    </row>
    <row r="83" spans="1:9" x14ac:dyDescent="0.25">
      <c r="A83" t="s">
        <v>246</v>
      </c>
      <c r="B83">
        <v>10</v>
      </c>
      <c r="C83">
        <v>0.56399999999999995</v>
      </c>
      <c r="D83" t="s">
        <v>248</v>
      </c>
      <c r="E83" t="s">
        <v>10</v>
      </c>
      <c r="F83" t="s">
        <v>11</v>
      </c>
      <c r="G83">
        <v>17.730496453900709</v>
      </c>
      <c r="H83">
        <v>2.8752861204781239</v>
      </c>
      <c r="I83" t="s">
        <v>3536</v>
      </c>
    </row>
    <row r="84" spans="1:9" x14ac:dyDescent="0.25">
      <c r="A84" t="s">
        <v>249</v>
      </c>
      <c r="B84">
        <v>10</v>
      </c>
      <c r="C84">
        <v>0.18</v>
      </c>
      <c r="D84" t="s">
        <v>251</v>
      </c>
      <c r="E84" t="s">
        <v>108</v>
      </c>
      <c r="F84" t="s">
        <v>109</v>
      </c>
      <c r="G84">
        <v>55.555555555555557</v>
      </c>
      <c r="H84">
        <v>4.0173835210859723</v>
      </c>
      <c r="I84" t="s">
        <v>3536</v>
      </c>
    </row>
    <row r="85" spans="1:9" x14ac:dyDescent="0.25">
      <c r="A85" t="s">
        <v>252</v>
      </c>
      <c r="B85">
        <v>10</v>
      </c>
      <c r="C85">
        <v>0.63500000000000001</v>
      </c>
      <c r="D85" t="s">
        <v>254</v>
      </c>
      <c r="E85" t="s">
        <v>10</v>
      </c>
      <c r="F85" t="s">
        <v>11</v>
      </c>
      <c r="G85">
        <v>15.748031496062993</v>
      </c>
      <c r="H85">
        <v>2.756715373083491</v>
      </c>
      <c r="I85" t="s">
        <v>3536</v>
      </c>
    </row>
    <row r="86" spans="1:9" x14ac:dyDescent="0.25">
      <c r="A86" t="s">
        <v>255</v>
      </c>
      <c r="B86">
        <v>10</v>
      </c>
      <c r="C86">
        <v>0.48399999999999999</v>
      </c>
      <c r="D86" t="s">
        <v>257</v>
      </c>
      <c r="E86" t="s">
        <v>10</v>
      </c>
      <c r="F86" t="s">
        <v>11</v>
      </c>
      <c r="G86">
        <v>20.66115702479339</v>
      </c>
      <c r="H86">
        <v>3.028255465259551</v>
      </c>
      <c r="I86" t="s">
        <v>3536</v>
      </c>
    </row>
    <row r="87" spans="1:9" x14ac:dyDescent="0.25">
      <c r="A87" t="s">
        <v>258</v>
      </c>
      <c r="B87">
        <v>10</v>
      </c>
      <c r="C87">
        <v>3</v>
      </c>
      <c r="D87" t="s">
        <v>259</v>
      </c>
      <c r="E87" t="s">
        <v>10</v>
      </c>
      <c r="F87" t="s">
        <v>11</v>
      </c>
      <c r="G87">
        <v>3.3333333333333335</v>
      </c>
      <c r="H87">
        <v>1.2039728043259361</v>
      </c>
      <c r="I87" t="s">
        <v>3536</v>
      </c>
    </row>
    <row r="88" spans="1:9" x14ac:dyDescent="0.25">
      <c r="A88" t="s">
        <v>260</v>
      </c>
      <c r="B88">
        <v>10</v>
      </c>
      <c r="C88">
        <v>0</v>
      </c>
      <c r="D88" t="s">
        <v>261</v>
      </c>
      <c r="E88" t="s">
        <v>10</v>
      </c>
      <c r="F88" t="s">
        <v>11</v>
      </c>
      <c r="G88" t="s">
        <v>3535</v>
      </c>
      <c r="H88" t="s">
        <v>3535</v>
      </c>
      <c r="I88" t="s">
        <v>3537</v>
      </c>
    </row>
    <row r="89" spans="1:9" x14ac:dyDescent="0.25">
      <c r="A89" t="s">
        <v>262</v>
      </c>
      <c r="B89">
        <v>10</v>
      </c>
      <c r="C89">
        <v>3</v>
      </c>
      <c r="D89" t="s">
        <v>263</v>
      </c>
      <c r="E89" t="s">
        <v>20</v>
      </c>
      <c r="F89" t="s">
        <v>21</v>
      </c>
      <c r="G89">
        <v>3.3333333333333335</v>
      </c>
      <c r="H89">
        <v>1.2039728043259361</v>
      </c>
      <c r="I89" t="s">
        <v>3536</v>
      </c>
    </row>
    <row r="90" spans="1:9" x14ac:dyDescent="0.25">
      <c r="A90" t="s">
        <v>264</v>
      </c>
      <c r="B90">
        <v>10</v>
      </c>
      <c r="C90">
        <v>4</v>
      </c>
      <c r="D90" t="s">
        <v>265</v>
      </c>
      <c r="E90" t="s">
        <v>20</v>
      </c>
      <c r="F90" t="s">
        <v>21</v>
      </c>
      <c r="G90">
        <v>2.5</v>
      </c>
      <c r="H90">
        <v>0.91629073187415511</v>
      </c>
      <c r="I90" t="s">
        <v>3536</v>
      </c>
    </row>
    <row r="91" spans="1:9" x14ac:dyDescent="0.25">
      <c r="A91" t="s">
        <v>266</v>
      </c>
      <c r="B91">
        <v>10</v>
      </c>
      <c r="C91">
        <v>0.497</v>
      </c>
      <c r="D91" t="s">
        <v>268</v>
      </c>
      <c r="E91" t="s">
        <v>10</v>
      </c>
      <c r="F91" t="s">
        <v>11</v>
      </c>
      <c r="G91">
        <v>20.120724346076457</v>
      </c>
      <c r="H91">
        <v>3.0017503458795538</v>
      </c>
      <c r="I91" t="s">
        <v>3536</v>
      </c>
    </row>
    <row r="92" spans="1:9" x14ac:dyDescent="0.25">
      <c r="A92" t="s">
        <v>269</v>
      </c>
      <c r="B92">
        <v>10</v>
      </c>
      <c r="C92">
        <v>2</v>
      </c>
      <c r="D92" t="s">
        <v>270</v>
      </c>
      <c r="E92" t="s">
        <v>10</v>
      </c>
      <c r="F92" t="s">
        <v>11</v>
      </c>
      <c r="G92">
        <v>5</v>
      </c>
      <c r="H92">
        <v>1.6094379124341003</v>
      </c>
      <c r="I92" t="s">
        <v>3536</v>
      </c>
    </row>
    <row r="93" spans="1:9" x14ac:dyDescent="0.25">
      <c r="A93" t="s">
        <v>271</v>
      </c>
      <c r="B93">
        <v>10</v>
      </c>
      <c r="C93">
        <v>2</v>
      </c>
      <c r="D93" t="s">
        <v>272</v>
      </c>
      <c r="E93" t="s">
        <v>273</v>
      </c>
      <c r="F93" t="s">
        <v>21</v>
      </c>
      <c r="G93">
        <v>5</v>
      </c>
      <c r="H93">
        <v>1.6094379124341003</v>
      </c>
      <c r="I93" t="s">
        <v>3536</v>
      </c>
    </row>
    <row r="94" spans="1:9" x14ac:dyDescent="0.25">
      <c r="A94" t="s">
        <v>274</v>
      </c>
      <c r="B94">
        <v>10</v>
      </c>
      <c r="C94">
        <v>3</v>
      </c>
      <c r="D94" t="s">
        <v>161</v>
      </c>
      <c r="E94" t="s">
        <v>275</v>
      </c>
      <c r="F94" t="s">
        <v>21</v>
      </c>
      <c r="G94">
        <v>3.3333333333333335</v>
      </c>
      <c r="H94">
        <v>1.2039728043259361</v>
      </c>
      <c r="I94" t="s">
        <v>3536</v>
      </c>
    </row>
    <row r="95" spans="1:9" x14ac:dyDescent="0.25">
      <c r="A95" t="s">
        <v>276</v>
      </c>
      <c r="B95">
        <v>10</v>
      </c>
      <c r="C95">
        <v>0.38800000000000001</v>
      </c>
      <c r="D95" t="s">
        <v>159</v>
      </c>
      <c r="E95" t="s">
        <v>44</v>
      </c>
      <c r="F95" t="s">
        <v>21</v>
      </c>
      <c r="G95">
        <v>25.773195876288661</v>
      </c>
      <c r="H95">
        <v>3.2493350323529095</v>
      </c>
      <c r="I95" t="s">
        <v>3536</v>
      </c>
    </row>
    <row r="96" spans="1:9" x14ac:dyDescent="0.25">
      <c r="A96" t="s">
        <v>278</v>
      </c>
      <c r="B96">
        <v>10</v>
      </c>
      <c r="C96">
        <v>1</v>
      </c>
      <c r="D96" t="s">
        <v>82</v>
      </c>
      <c r="E96" t="s">
        <v>10</v>
      </c>
      <c r="F96" t="s">
        <v>11</v>
      </c>
      <c r="G96">
        <v>10</v>
      </c>
      <c r="H96">
        <v>2.3025850929940459</v>
      </c>
      <c r="I96" t="s">
        <v>3536</v>
      </c>
    </row>
    <row r="97" spans="1:9" x14ac:dyDescent="0.25">
      <c r="A97" t="s">
        <v>279</v>
      </c>
      <c r="B97">
        <v>10</v>
      </c>
      <c r="C97">
        <v>0.746</v>
      </c>
      <c r="D97" t="s">
        <v>281</v>
      </c>
      <c r="E97" t="s">
        <v>10</v>
      </c>
      <c r="F97" t="s">
        <v>11</v>
      </c>
      <c r="G97">
        <v>13.404825737265416</v>
      </c>
      <c r="H97">
        <v>2.5956147717724218</v>
      </c>
      <c r="I97" t="s">
        <v>3536</v>
      </c>
    </row>
    <row r="98" spans="1:9" x14ac:dyDescent="0.25">
      <c r="A98" t="s">
        <v>282</v>
      </c>
      <c r="B98">
        <v>9</v>
      </c>
      <c r="C98">
        <v>0.86299999999999999</v>
      </c>
      <c r="D98" t="s">
        <v>284</v>
      </c>
      <c r="E98" t="s">
        <v>10</v>
      </c>
      <c r="F98" t="s">
        <v>11</v>
      </c>
      <c r="G98">
        <v>10.428736964078794</v>
      </c>
      <c r="H98">
        <v>2.3445651652349286</v>
      </c>
      <c r="I98" t="s">
        <v>3536</v>
      </c>
    </row>
    <row r="99" spans="1:9" x14ac:dyDescent="0.25">
      <c r="A99" t="s">
        <v>285</v>
      </c>
      <c r="B99">
        <v>9</v>
      </c>
      <c r="C99">
        <v>0.98899999999999999</v>
      </c>
      <c r="D99" t="s">
        <v>287</v>
      </c>
      <c r="E99" t="s">
        <v>44</v>
      </c>
      <c r="F99" t="s">
        <v>21</v>
      </c>
      <c r="G99">
        <v>9.1001011122345812</v>
      </c>
      <c r="H99">
        <v>2.2082855246956443</v>
      </c>
      <c r="I99" t="s">
        <v>3536</v>
      </c>
    </row>
    <row r="100" spans="1:9" x14ac:dyDescent="0.25">
      <c r="A100" t="s">
        <v>288</v>
      </c>
      <c r="B100">
        <v>9</v>
      </c>
      <c r="C100">
        <v>2</v>
      </c>
      <c r="D100" t="s">
        <v>289</v>
      </c>
      <c r="E100" t="s">
        <v>170</v>
      </c>
      <c r="F100" t="s">
        <v>50</v>
      </c>
      <c r="G100">
        <v>4.5</v>
      </c>
      <c r="H100">
        <v>1.5040773967762742</v>
      </c>
      <c r="I100" t="s">
        <v>3536</v>
      </c>
    </row>
    <row r="101" spans="1:9" x14ac:dyDescent="0.25">
      <c r="A101" t="s">
        <v>290</v>
      </c>
      <c r="B101">
        <v>9</v>
      </c>
      <c r="C101">
        <v>0.747</v>
      </c>
      <c r="D101" t="s">
        <v>292</v>
      </c>
      <c r="E101" t="s">
        <v>10</v>
      </c>
      <c r="F101" t="s">
        <v>11</v>
      </c>
      <c r="G101">
        <v>12.048192771084338</v>
      </c>
      <c r="H101">
        <v>2.488914671185539</v>
      </c>
      <c r="I101" t="s">
        <v>3536</v>
      </c>
    </row>
    <row r="102" spans="1:9" x14ac:dyDescent="0.25">
      <c r="A102" t="s">
        <v>293</v>
      </c>
      <c r="B102">
        <v>9</v>
      </c>
      <c r="C102">
        <v>2</v>
      </c>
      <c r="D102" t="s">
        <v>254</v>
      </c>
      <c r="E102" t="s">
        <v>294</v>
      </c>
      <c r="F102" t="s">
        <v>21</v>
      </c>
      <c r="G102">
        <v>4.5</v>
      </c>
      <c r="H102">
        <v>1.5040773967762742</v>
      </c>
      <c r="I102" t="s">
        <v>3536</v>
      </c>
    </row>
    <row r="103" spans="1:9" x14ac:dyDescent="0.25">
      <c r="A103" t="s">
        <v>295</v>
      </c>
      <c r="B103">
        <v>9</v>
      </c>
      <c r="C103">
        <v>3</v>
      </c>
      <c r="D103" t="s">
        <v>296</v>
      </c>
      <c r="E103" t="s">
        <v>49</v>
      </c>
      <c r="F103" t="s">
        <v>50</v>
      </c>
      <c r="G103">
        <v>3</v>
      </c>
      <c r="H103">
        <v>1.0986122886681098</v>
      </c>
      <c r="I103" t="s">
        <v>3536</v>
      </c>
    </row>
    <row r="104" spans="1:9" x14ac:dyDescent="0.25">
      <c r="A104" t="s">
        <v>297</v>
      </c>
      <c r="B104">
        <v>9</v>
      </c>
      <c r="C104">
        <v>0.59399999999999997</v>
      </c>
      <c r="D104" t="s">
        <v>299</v>
      </c>
      <c r="E104" t="s">
        <v>20</v>
      </c>
      <c r="F104" t="s">
        <v>21</v>
      </c>
      <c r="G104">
        <v>15.151515151515152</v>
      </c>
      <c r="H104">
        <v>2.7181005369557116</v>
      </c>
      <c r="I104" t="s">
        <v>3536</v>
      </c>
    </row>
    <row r="105" spans="1:9" x14ac:dyDescent="0.25">
      <c r="A105" t="s">
        <v>300</v>
      </c>
      <c r="B105">
        <v>9</v>
      </c>
      <c r="C105">
        <v>2</v>
      </c>
      <c r="D105" t="s">
        <v>107</v>
      </c>
      <c r="E105" t="s">
        <v>10</v>
      </c>
      <c r="F105" t="s">
        <v>11</v>
      </c>
      <c r="G105">
        <v>4.5</v>
      </c>
      <c r="H105">
        <v>1.5040773967762742</v>
      </c>
      <c r="I105" t="s">
        <v>3536</v>
      </c>
    </row>
    <row r="106" spans="1:9" x14ac:dyDescent="0.25">
      <c r="A106" t="s">
        <v>301</v>
      </c>
      <c r="B106">
        <v>9</v>
      </c>
      <c r="C106">
        <v>2</v>
      </c>
      <c r="D106" t="s">
        <v>302</v>
      </c>
      <c r="E106" t="s">
        <v>10</v>
      </c>
      <c r="F106" t="s">
        <v>11</v>
      </c>
      <c r="G106">
        <v>4.5</v>
      </c>
      <c r="H106">
        <v>1.5040773967762742</v>
      </c>
      <c r="I106" t="s">
        <v>3536</v>
      </c>
    </row>
    <row r="107" spans="1:9" x14ac:dyDescent="0.25">
      <c r="A107" t="s">
        <v>303</v>
      </c>
      <c r="B107">
        <v>9</v>
      </c>
      <c r="C107">
        <v>0.77</v>
      </c>
      <c r="D107" t="s">
        <v>148</v>
      </c>
      <c r="E107" t="s">
        <v>10</v>
      </c>
      <c r="F107" t="s">
        <v>11</v>
      </c>
      <c r="G107">
        <v>11.688311688311687</v>
      </c>
      <c r="H107">
        <v>2.4585893414706268</v>
      </c>
      <c r="I107" t="s">
        <v>3536</v>
      </c>
    </row>
    <row r="108" spans="1:9" x14ac:dyDescent="0.25">
      <c r="A108" t="s">
        <v>305</v>
      </c>
      <c r="B108">
        <v>9</v>
      </c>
      <c r="C108">
        <v>0.48599999999999999</v>
      </c>
      <c r="E108" t="s">
        <v>44</v>
      </c>
      <c r="F108" t="s">
        <v>21</v>
      </c>
      <c r="G108">
        <v>18.518518518518519</v>
      </c>
      <c r="H108">
        <v>2.9187712324178627</v>
      </c>
      <c r="I108" t="s">
        <v>3536</v>
      </c>
    </row>
    <row r="109" spans="1:9" x14ac:dyDescent="0.25">
      <c r="A109" t="s">
        <v>307</v>
      </c>
      <c r="B109">
        <v>9</v>
      </c>
      <c r="C109">
        <v>1</v>
      </c>
      <c r="D109" t="s">
        <v>308</v>
      </c>
      <c r="E109" t="s">
        <v>20</v>
      </c>
      <c r="F109" t="s">
        <v>21</v>
      </c>
      <c r="G109">
        <v>9</v>
      </c>
      <c r="H109">
        <v>2.1972245773362196</v>
      </c>
      <c r="I109" t="s">
        <v>3536</v>
      </c>
    </row>
    <row r="110" spans="1:9" x14ac:dyDescent="0.25">
      <c r="A110" t="s">
        <v>124</v>
      </c>
      <c r="B110">
        <v>9</v>
      </c>
      <c r="C110">
        <v>1</v>
      </c>
      <c r="D110" t="s">
        <v>309</v>
      </c>
      <c r="E110" t="s">
        <v>49</v>
      </c>
      <c r="F110" t="s">
        <v>50</v>
      </c>
      <c r="G110">
        <v>9</v>
      </c>
      <c r="H110">
        <v>2.1972245773362196</v>
      </c>
      <c r="I110" t="s">
        <v>3536</v>
      </c>
    </row>
    <row r="111" spans="1:9" x14ac:dyDescent="0.25">
      <c r="A111" t="s">
        <v>310</v>
      </c>
      <c r="B111">
        <v>9</v>
      </c>
      <c r="C111">
        <v>2</v>
      </c>
      <c r="D111" t="s">
        <v>311</v>
      </c>
      <c r="E111" t="s">
        <v>49</v>
      </c>
      <c r="F111" t="s">
        <v>50</v>
      </c>
      <c r="G111">
        <v>4.5</v>
      </c>
      <c r="H111">
        <v>1.5040773967762742</v>
      </c>
      <c r="I111" t="s">
        <v>3536</v>
      </c>
    </row>
    <row r="112" spans="1:9" x14ac:dyDescent="0.25">
      <c r="A112" t="s">
        <v>312</v>
      </c>
      <c r="B112">
        <v>9</v>
      </c>
      <c r="C112">
        <v>4</v>
      </c>
      <c r="D112" t="s">
        <v>313</v>
      </c>
      <c r="E112" t="s">
        <v>10</v>
      </c>
      <c r="F112" t="s">
        <v>11</v>
      </c>
      <c r="G112">
        <v>2.25</v>
      </c>
      <c r="H112">
        <v>0.81093021621632877</v>
      </c>
      <c r="I112" t="s">
        <v>3536</v>
      </c>
    </row>
    <row r="113" spans="1:9" x14ac:dyDescent="0.25">
      <c r="A113" t="s">
        <v>314</v>
      </c>
      <c r="B113">
        <v>9</v>
      </c>
      <c r="C113">
        <v>0.72399999999999998</v>
      </c>
      <c r="D113" t="s">
        <v>316</v>
      </c>
      <c r="E113" t="s">
        <v>170</v>
      </c>
      <c r="F113" t="s">
        <v>50</v>
      </c>
      <c r="G113">
        <v>12.430939226519337</v>
      </c>
      <c r="H113">
        <v>2.52018846393264</v>
      </c>
      <c r="I113" t="s">
        <v>3536</v>
      </c>
    </row>
    <row r="114" spans="1:9" x14ac:dyDescent="0.25">
      <c r="A114" t="s">
        <v>317</v>
      </c>
      <c r="B114">
        <v>8</v>
      </c>
      <c r="C114">
        <v>2</v>
      </c>
      <c r="D114" t="s">
        <v>318</v>
      </c>
      <c r="E114" t="s">
        <v>319</v>
      </c>
      <c r="F114" t="s">
        <v>50</v>
      </c>
      <c r="G114">
        <v>4</v>
      </c>
      <c r="H114">
        <v>1.3862943611198906</v>
      </c>
      <c r="I114" t="s">
        <v>3536</v>
      </c>
    </row>
    <row r="115" spans="1:9" x14ac:dyDescent="0.25">
      <c r="A115" t="s">
        <v>320</v>
      </c>
      <c r="B115">
        <v>8</v>
      </c>
      <c r="C115">
        <v>0.54900000000000004</v>
      </c>
      <c r="D115" t="s">
        <v>322</v>
      </c>
      <c r="E115" t="s">
        <v>10</v>
      </c>
      <c r="F115" t="s">
        <v>11</v>
      </c>
      <c r="G115">
        <v>14.571948998178506</v>
      </c>
      <c r="H115">
        <v>2.6790983791524425</v>
      </c>
      <c r="I115" t="s">
        <v>3536</v>
      </c>
    </row>
    <row r="116" spans="1:9" x14ac:dyDescent="0.25">
      <c r="A116" t="s">
        <v>323</v>
      </c>
      <c r="B116">
        <v>8</v>
      </c>
      <c r="C116">
        <v>0.75</v>
      </c>
      <c r="D116" t="s">
        <v>325</v>
      </c>
      <c r="E116" t="s">
        <v>326</v>
      </c>
      <c r="F116" t="s">
        <v>21</v>
      </c>
      <c r="G116">
        <v>10.666666666666666</v>
      </c>
      <c r="H116">
        <v>2.367123614131617</v>
      </c>
      <c r="I116" t="s">
        <v>3536</v>
      </c>
    </row>
    <row r="117" spans="1:9" x14ac:dyDescent="0.25">
      <c r="A117" t="s">
        <v>327</v>
      </c>
      <c r="B117">
        <v>8</v>
      </c>
      <c r="C117">
        <v>0.51200000000000001</v>
      </c>
      <c r="D117" t="s">
        <v>177</v>
      </c>
      <c r="E117" t="s">
        <v>329</v>
      </c>
      <c r="F117" t="s">
        <v>50</v>
      </c>
      <c r="G117">
        <v>15.625</v>
      </c>
      <c r="H117">
        <v>2.7488721956224653</v>
      </c>
      <c r="I117" t="s">
        <v>3536</v>
      </c>
    </row>
    <row r="118" spans="1:9" x14ac:dyDescent="0.25">
      <c r="A118" t="s">
        <v>330</v>
      </c>
      <c r="B118">
        <v>8</v>
      </c>
      <c r="C118">
        <v>1</v>
      </c>
      <c r="D118" t="s">
        <v>331</v>
      </c>
      <c r="E118" t="s">
        <v>10</v>
      </c>
      <c r="F118" t="s">
        <v>11</v>
      </c>
      <c r="G118">
        <v>8</v>
      </c>
      <c r="H118">
        <v>2.0794415416798357</v>
      </c>
      <c r="I118" t="s">
        <v>3536</v>
      </c>
    </row>
    <row r="119" spans="1:9" x14ac:dyDescent="0.25">
      <c r="A119" t="s">
        <v>332</v>
      </c>
      <c r="B119">
        <v>8</v>
      </c>
      <c r="C119">
        <v>0.105</v>
      </c>
      <c r="D119" t="s">
        <v>130</v>
      </c>
      <c r="E119" t="s">
        <v>20</v>
      </c>
      <c r="F119" t="s">
        <v>21</v>
      </c>
      <c r="G119">
        <v>76.19047619047619</v>
      </c>
      <c r="H119">
        <v>4.3332364705044499</v>
      </c>
      <c r="I119" t="s">
        <v>3536</v>
      </c>
    </row>
    <row r="120" spans="1:9" x14ac:dyDescent="0.25">
      <c r="A120" t="s">
        <v>334</v>
      </c>
      <c r="B120">
        <v>8</v>
      </c>
      <c r="C120">
        <v>2</v>
      </c>
      <c r="D120" t="s">
        <v>335</v>
      </c>
      <c r="E120" t="s">
        <v>10</v>
      </c>
      <c r="F120" t="s">
        <v>11</v>
      </c>
      <c r="G120">
        <v>4</v>
      </c>
      <c r="H120">
        <v>1.3862943611198906</v>
      </c>
      <c r="I120" t="s">
        <v>3536</v>
      </c>
    </row>
    <row r="121" spans="1:9" x14ac:dyDescent="0.25">
      <c r="A121" t="s">
        <v>336</v>
      </c>
      <c r="B121">
        <v>8</v>
      </c>
      <c r="C121">
        <v>1</v>
      </c>
      <c r="D121" t="s">
        <v>337</v>
      </c>
      <c r="E121" t="s">
        <v>10</v>
      </c>
      <c r="F121" t="s">
        <v>11</v>
      </c>
      <c r="G121">
        <v>8</v>
      </c>
      <c r="H121">
        <v>2.0794415416798357</v>
      </c>
      <c r="I121" t="s">
        <v>3536</v>
      </c>
    </row>
    <row r="122" spans="1:9" x14ac:dyDescent="0.25">
      <c r="A122" t="s">
        <v>338</v>
      </c>
      <c r="B122">
        <v>8</v>
      </c>
      <c r="C122">
        <v>2</v>
      </c>
      <c r="D122" t="s">
        <v>339</v>
      </c>
      <c r="E122" t="s">
        <v>49</v>
      </c>
      <c r="F122" t="s">
        <v>50</v>
      </c>
      <c r="G122">
        <v>4</v>
      </c>
      <c r="H122">
        <v>1.3862943611198906</v>
      </c>
      <c r="I122" t="s">
        <v>3536</v>
      </c>
    </row>
    <row r="123" spans="1:9" x14ac:dyDescent="0.25">
      <c r="A123" t="s">
        <v>340</v>
      </c>
      <c r="B123">
        <v>8</v>
      </c>
      <c r="C123">
        <v>1</v>
      </c>
      <c r="D123" t="s">
        <v>341</v>
      </c>
      <c r="E123" t="s">
        <v>62</v>
      </c>
      <c r="F123" t="s">
        <v>63</v>
      </c>
      <c r="G123">
        <v>8</v>
      </c>
      <c r="H123">
        <v>2.0794415416798357</v>
      </c>
      <c r="I123" t="s">
        <v>3536</v>
      </c>
    </row>
    <row r="124" spans="1:9" x14ac:dyDescent="0.25">
      <c r="A124" t="s">
        <v>342</v>
      </c>
      <c r="B124">
        <v>8</v>
      </c>
      <c r="C124">
        <v>2</v>
      </c>
      <c r="D124" t="s">
        <v>343</v>
      </c>
      <c r="E124" t="s">
        <v>10</v>
      </c>
      <c r="F124" t="s">
        <v>11</v>
      </c>
      <c r="G124">
        <v>4</v>
      </c>
      <c r="H124">
        <v>1.3862943611198906</v>
      </c>
      <c r="I124" t="s">
        <v>3536</v>
      </c>
    </row>
    <row r="125" spans="1:9" x14ac:dyDescent="0.25">
      <c r="A125" t="s">
        <v>344</v>
      </c>
      <c r="B125">
        <v>8</v>
      </c>
      <c r="C125">
        <v>0.47399999999999998</v>
      </c>
      <c r="D125" t="s">
        <v>346</v>
      </c>
      <c r="E125" t="s">
        <v>10</v>
      </c>
      <c r="F125" t="s">
        <v>11</v>
      </c>
      <c r="G125">
        <v>16.877637130801688</v>
      </c>
      <c r="H125">
        <v>2.8259894989668966</v>
      </c>
      <c r="I125" t="s">
        <v>3536</v>
      </c>
    </row>
    <row r="126" spans="1:9" x14ac:dyDescent="0.25">
      <c r="A126" t="s">
        <v>347</v>
      </c>
      <c r="B126">
        <v>8</v>
      </c>
      <c r="C126">
        <v>0.26100000000000001</v>
      </c>
      <c r="D126" t="s">
        <v>349</v>
      </c>
      <c r="E126" t="s">
        <v>350</v>
      </c>
      <c r="F126" t="s">
        <v>21</v>
      </c>
      <c r="G126">
        <v>30.651340996168582</v>
      </c>
      <c r="H126">
        <v>3.4226764133392797</v>
      </c>
      <c r="I126" t="s">
        <v>3536</v>
      </c>
    </row>
    <row r="127" spans="1:9" x14ac:dyDescent="0.25">
      <c r="A127" t="s">
        <v>351</v>
      </c>
      <c r="B127">
        <v>8</v>
      </c>
      <c r="C127">
        <v>1</v>
      </c>
      <c r="D127" t="s">
        <v>15</v>
      </c>
      <c r="E127" t="s">
        <v>10</v>
      </c>
      <c r="F127" t="s">
        <v>11</v>
      </c>
      <c r="G127">
        <v>8</v>
      </c>
      <c r="H127">
        <v>2.0794415416798357</v>
      </c>
      <c r="I127" t="s">
        <v>3536</v>
      </c>
    </row>
    <row r="128" spans="1:9" x14ac:dyDescent="0.25">
      <c r="A128" t="s">
        <v>352</v>
      </c>
      <c r="B128">
        <v>8</v>
      </c>
      <c r="C128">
        <v>2</v>
      </c>
      <c r="D128" t="s">
        <v>353</v>
      </c>
      <c r="E128" t="s">
        <v>10</v>
      </c>
      <c r="F128" t="s">
        <v>11</v>
      </c>
      <c r="G128">
        <v>4</v>
      </c>
      <c r="H128">
        <v>1.3862943611198906</v>
      </c>
      <c r="I128" t="s">
        <v>3536</v>
      </c>
    </row>
    <row r="129" spans="1:9" x14ac:dyDescent="0.25">
      <c r="A129" t="s">
        <v>354</v>
      </c>
      <c r="B129">
        <v>8</v>
      </c>
      <c r="C129">
        <v>0.129</v>
      </c>
      <c r="E129" t="s">
        <v>294</v>
      </c>
      <c r="F129" t="s">
        <v>21</v>
      </c>
      <c r="G129">
        <v>62.015503875968989</v>
      </c>
      <c r="H129">
        <v>4.1273844163003011</v>
      </c>
      <c r="I129" t="s">
        <v>3536</v>
      </c>
    </row>
    <row r="130" spans="1:9" x14ac:dyDescent="0.25">
      <c r="A130" t="s">
        <v>356</v>
      </c>
      <c r="B130">
        <v>8</v>
      </c>
      <c r="C130">
        <v>1</v>
      </c>
      <c r="D130" t="s">
        <v>357</v>
      </c>
      <c r="E130" t="s">
        <v>44</v>
      </c>
      <c r="F130" t="s">
        <v>21</v>
      </c>
      <c r="G130">
        <v>8</v>
      </c>
      <c r="H130">
        <v>2.0794415416798357</v>
      </c>
      <c r="I130" t="s">
        <v>3536</v>
      </c>
    </row>
    <row r="131" spans="1:9" x14ac:dyDescent="0.25">
      <c r="A131" t="s">
        <v>358</v>
      </c>
      <c r="B131">
        <v>8</v>
      </c>
      <c r="C131">
        <v>2</v>
      </c>
      <c r="E131" t="s">
        <v>20</v>
      </c>
      <c r="F131" t="s">
        <v>21</v>
      </c>
      <c r="G131">
        <v>4</v>
      </c>
      <c r="H131">
        <v>1.3862943611198906</v>
      </c>
      <c r="I131" t="s">
        <v>3536</v>
      </c>
    </row>
    <row r="132" spans="1:9" x14ac:dyDescent="0.25">
      <c r="A132" t="s">
        <v>359</v>
      </c>
      <c r="B132">
        <v>8</v>
      </c>
      <c r="C132">
        <v>0</v>
      </c>
      <c r="E132" t="s">
        <v>360</v>
      </c>
      <c r="F132" t="s">
        <v>50</v>
      </c>
      <c r="G132" t="s">
        <v>3535</v>
      </c>
      <c r="H132" t="s">
        <v>3535</v>
      </c>
      <c r="I132" t="s">
        <v>3537</v>
      </c>
    </row>
    <row r="133" spans="1:9" x14ac:dyDescent="0.25">
      <c r="A133" t="s">
        <v>361</v>
      </c>
      <c r="B133">
        <v>8</v>
      </c>
      <c r="C133">
        <v>0.69399999999999995</v>
      </c>
      <c r="E133" t="s">
        <v>20</v>
      </c>
      <c r="F133" t="s">
        <v>21</v>
      </c>
      <c r="G133">
        <v>11.527377521613834</v>
      </c>
      <c r="H133">
        <v>2.4447248601551688</v>
      </c>
      <c r="I133" t="s">
        <v>3536</v>
      </c>
    </row>
    <row r="134" spans="1:9" x14ac:dyDescent="0.25">
      <c r="A134" t="s">
        <v>363</v>
      </c>
      <c r="B134">
        <v>8</v>
      </c>
      <c r="C134">
        <v>0.61299999999999999</v>
      </c>
      <c r="D134" t="s">
        <v>148</v>
      </c>
      <c r="E134" t="s">
        <v>365</v>
      </c>
      <c r="F134" t="s">
        <v>11</v>
      </c>
      <c r="G134">
        <v>13.050570962479609</v>
      </c>
      <c r="H134">
        <v>2.5688318847257618</v>
      </c>
      <c r="I134" t="s">
        <v>3536</v>
      </c>
    </row>
    <row r="135" spans="1:9" x14ac:dyDescent="0.25">
      <c r="A135" t="s">
        <v>366</v>
      </c>
      <c r="B135">
        <v>8</v>
      </c>
      <c r="C135">
        <v>2</v>
      </c>
      <c r="D135" t="s">
        <v>66</v>
      </c>
      <c r="E135" t="s">
        <v>10</v>
      </c>
      <c r="F135" t="s">
        <v>11</v>
      </c>
      <c r="G135">
        <v>4</v>
      </c>
      <c r="H135">
        <v>1.3862943611198906</v>
      </c>
      <c r="I135" t="s">
        <v>3536</v>
      </c>
    </row>
    <row r="136" spans="1:9" x14ac:dyDescent="0.25">
      <c r="A136" t="s">
        <v>367</v>
      </c>
      <c r="B136">
        <v>8</v>
      </c>
      <c r="C136">
        <v>2</v>
      </c>
      <c r="D136" t="s">
        <v>368</v>
      </c>
      <c r="E136" t="s">
        <v>10</v>
      </c>
      <c r="F136" t="s">
        <v>11</v>
      </c>
      <c r="G136">
        <v>4</v>
      </c>
      <c r="H136">
        <v>1.3862943611198906</v>
      </c>
      <c r="I136" t="s">
        <v>3536</v>
      </c>
    </row>
    <row r="137" spans="1:9" x14ac:dyDescent="0.25">
      <c r="A137" t="s">
        <v>369</v>
      </c>
      <c r="B137">
        <v>8</v>
      </c>
      <c r="C137">
        <v>0.65600000000000003</v>
      </c>
      <c r="D137" t="s">
        <v>15</v>
      </c>
      <c r="E137" t="s">
        <v>10</v>
      </c>
      <c r="F137" t="s">
        <v>11</v>
      </c>
      <c r="G137">
        <v>12.195121951219512</v>
      </c>
      <c r="H137">
        <v>2.5010360317178839</v>
      </c>
      <c r="I137" t="s">
        <v>3536</v>
      </c>
    </row>
    <row r="138" spans="1:9" x14ac:dyDescent="0.25">
      <c r="A138" t="s">
        <v>371</v>
      </c>
      <c r="B138">
        <v>8</v>
      </c>
      <c r="C138">
        <v>0.78500000000000003</v>
      </c>
      <c r="D138" t="s">
        <v>373</v>
      </c>
      <c r="E138" t="s">
        <v>10</v>
      </c>
      <c r="F138" t="s">
        <v>11</v>
      </c>
      <c r="G138">
        <v>10.19108280254777</v>
      </c>
      <c r="H138">
        <v>2.3215131028795644</v>
      </c>
      <c r="I138" t="s">
        <v>3536</v>
      </c>
    </row>
    <row r="139" spans="1:9" x14ac:dyDescent="0.25">
      <c r="A139" t="s">
        <v>374</v>
      </c>
      <c r="B139">
        <v>7</v>
      </c>
      <c r="C139">
        <v>0.752</v>
      </c>
      <c r="D139" t="s">
        <v>376</v>
      </c>
      <c r="E139" t="s">
        <v>10</v>
      </c>
      <c r="F139" t="s">
        <v>11</v>
      </c>
      <c r="G139">
        <v>9.3085106382978715</v>
      </c>
      <c r="H139">
        <v>2.2309291040876102</v>
      </c>
      <c r="I139" t="s">
        <v>3536</v>
      </c>
    </row>
    <row r="140" spans="1:9" x14ac:dyDescent="0.25">
      <c r="A140" t="s">
        <v>377</v>
      </c>
      <c r="B140">
        <v>7</v>
      </c>
      <c r="C140">
        <v>1</v>
      </c>
      <c r="D140" t="s">
        <v>378</v>
      </c>
      <c r="E140" t="s">
        <v>10</v>
      </c>
      <c r="F140" t="s">
        <v>11</v>
      </c>
      <c r="G140">
        <v>7</v>
      </c>
      <c r="H140">
        <v>1.9459101490553132</v>
      </c>
      <c r="I140" t="s">
        <v>3536</v>
      </c>
    </row>
    <row r="141" spans="1:9" x14ac:dyDescent="0.25">
      <c r="A141" t="s">
        <v>379</v>
      </c>
      <c r="B141">
        <v>7</v>
      </c>
      <c r="C141">
        <v>1</v>
      </c>
      <c r="D141" t="s">
        <v>380</v>
      </c>
      <c r="E141" t="s">
        <v>10</v>
      </c>
      <c r="F141" t="s">
        <v>11</v>
      </c>
      <c r="G141">
        <v>7</v>
      </c>
      <c r="H141">
        <v>1.9459101490553132</v>
      </c>
      <c r="I141" t="s">
        <v>3536</v>
      </c>
    </row>
    <row r="142" spans="1:9" x14ac:dyDescent="0.25">
      <c r="A142" t="s">
        <v>381</v>
      </c>
      <c r="B142">
        <v>7</v>
      </c>
      <c r="C142">
        <v>0.65200000000000002</v>
      </c>
      <c r="D142" t="s">
        <v>383</v>
      </c>
      <c r="E142" t="s">
        <v>384</v>
      </c>
      <c r="F142" t="s">
        <v>21</v>
      </c>
      <c r="G142">
        <v>10.736196319018404</v>
      </c>
      <c r="H142">
        <v>2.3736208661107971</v>
      </c>
      <c r="I142" t="s">
        <v>3536</v>
      </c>
    </row>
    <row r="143" spans="1:9" x14ac:dyDescent="0.25">
      <c r="A143" t="s">
        <v>385</v>
      </c>
      <c r="B143">
        <v>7</v>
      </c>
      <c r="C143">
        <v>0.58299999999999996</v>
      </c>
      <c r="D143" t="s">
        <v>331</v>
      </c>
      <c r="E143" t="s">
        <v>10</v>
      </c>
      <c r="F143" t="s">
        <v>11</v>
      </c>
      <c r="G143">
        <v>12.006861063464838</v>
      </c>
      <c r="H143">
        <v>2.4854782416869581</v>
      </c>
      <c r="I143" t="s">
        <v>3536</v>
      </c>
    </row>
    <row r="144" spans="1:9" x14ac:dyDescent="0.25">
      <c r="A144" t="s">
        <v>387</v>
      </c>
      <c r="B144">
        <v>7</v>
      </c>
      <c r="C144">
        <v>0.76800000000000002</v>
      </c>
      <c r="D144" t="s">
        <v>389</v>
      </c>
      <c r="E144" t="s">
        <v>10</v>
      </c>
      <c r="F144" t="s">
        <v>11</v>
      </c>
      <c r="G144">
        <v>9.1145833333333339</v>
      </c>
      <c r="H144">
        <v>2.2098756948897784</v>
      </c>
      <c r="I144" t="s">
        <v>3536</v>
      </c>
    </row>
    <row r="145" spans="1:9" x14ac:dyDescent="0.25">
      <c r="A145" t="s">
        <v>390</v>
      </c>
      <c r="B145">
        <v>7</v>
      </c>
      <c r="C145">
        <v>1</v>
      </c>
      <c r="D145" t="s">
        <v>391</v>
      </c>
      <c r="E145" t="s">
        <v>365</v>
      </c>
      <c r="F145" t="s">
        <v>11</v>
      </c>
      <c r="G145">
        <v>7</v>
      </c>
      <c r="H145">
        <v>1.9459101490553132</v>
      </c>
      <c r="I145" t="s">
        <v>3536</v>
      </c>
    </row>
    <row r="146" spans="1:9" x14ac:dyDescent="0.25">
      <c r="A146" t="s">
        <v>392</v>
      </c>
      <c r="B146">
        <v>7</v>
      </c>
      <c r="C146">
        <v>0.6</v>
      </c>
      <c r="D146" t="s">
        <v>394</v>
      </c>
      <c r="E146" t="s">
        <v>49</v>
      </c>
      <c r="F146" t="s">
        <v>50</v>
      </c>
      <c r="G146">
        <v>11.666666666666668</v>
      </c>
      <c r="H146">
        <v>2.456735772821304</v>
      </c>
      <c r="I146" t="s">
        <v>3536</v>
      </c>
    </row>
    <row r="147" spans="1:9" x14ac:dyDescent="0.25">
      <c r="A147" t="s">
        <v>395</v>
      </c>
      <c r="B147">
        <v>7</v>
      </c>
      <c r="C147">
        <v>0.66</v>
      </c>
      <c r="D147" t="s">
        <v>248</v>
      </c>
      <c r="E147" t="s">
        <v>10</v>
      </c>
      <c r="F147" t="s">
        <v>11</v>
      </c>
      <c r="G147">
        <v>10.606060606060606</v>
      </c>
      <c r="H147">
        <v>2.3614255930169792</v>
      </c>
      <c r="I147" t="s">
        <v>3536</v>
      </c>
    </row>
    <row r="148" spans="1:9" x14ac:dyDescent="0.25">
      <c r="A148" t="s">
        <v>397</v>
      </c>
      <c r="B148">
        <v>7</v>
      </c>
      <c r="C148">
        <v>1</v>
      </c>
      <c r="D148" t="s">
        <v>398</v>
      </c>
      <c r="E148" t="s">
        <v>10</v>
      </c>
      <c r="F148" t="s">
        <v>11</v>
      </c>
      <c r="G148">
        <v>7</v>
      </c>
      <c r="H148">
        <v>1.9459101490553132</v>
      </c>
      <c r="I148" t="s">
        <v>3536</v>
      </c>
    </row>
    <row r="149" spans="1:9" x14ac:dyDescent="0.25">
      <c r="A149" t="s">
        <v>399</v>
      </c>
      <c r="B149">
        <v>7</v>
      </c>
      <c r="C149">
        <v>1</v>
      </c>
      <c r="D149" t="s">
        <v>400</v>
      </c>
      <c r="E149" t="s">
        <v>20</v>
      </c>
      <c r="F149" t="s">
        <v>21</v>
      </c>
      <c r="G149">
        <v>7</v>
      </c>
      <c r="H149">
        <v>1.9459101490553132</v>
      </c>
      <c r="I149" t="s">
        <v>3536</v>
      </c>
    </row>
    <row r="150" spans="1:9" x14ac:dyDescent="0.25">
      <c r="A150" t="s">
        <v>401</v>
      </c>
      <c r="B150">
        <v>7</v>
      </c>
      <c r="C150">
        <v>1</v>
      </c>
      <c r="E150" t="s">
        <v>49</v>
      </c>
      <c r="F150" t="s">
        <v>50</v>
      </c>
      <c r="G150">
        <v>7</v>
      </c>
      <c r="H150">
        <v>1.9459101490553132</v>
      </c>
      <c r="I150" t="s">
        <v>3536</v>
      </c>
    </row>
    <row r="151" spans="1:9" x14ac:dyDescent="0.25">
      <c r="A151" t="s">
        <v>402</v>
      </c>
      <c r="B151">
        <v>7</v>
      </c>
      <c r="C151">
        <v>0.86299999999999999</v>
      </c>
      <c r="D151" t="s">
        <v>148</v>
      </c>
      <c r="E151" t="s">
        <v>10</v>
      </c>
      <c r="F151" t="s">
        <v>11</v>
      </c>
      <c r="G151">
        <v>8.1112398609501746</v>
      </c>
      <c r="H151">
        <v>2.0932507369540225</v>
      </c>
      <c r="I151" t="s">
        <v>3536</v>
      </c>
    </row>
    <row r="152" spans="1:9" x14ac:dyDescent="0.25">
      <c r="A152" t="s">
        <v>403</v>
      </c>
      <c r="B152">
        <v>7</v>
      </c>
      <c r="C152">
        <v>2</v>
      </c>
      <c r="D152" t="s">
        <v>404</v>
      </c>
      <c r="E152" t="s">
        <v>10</v>
      </c>
      <c r="F152" t="s">
        <v>11</v>
      </c>
      <c r="G152">
        <v>3.5</v>
      </c>
      <c r="H152">
        <v>1.2527629684953681</v>
      </c>
      <c r="I152" t="s">
        <v>3536</v>
      </c>
    </row>
    <row r="153" spans="1:9" x14ac:dyDescent="0.25">
      <c r="A153" t="s">
        <v>405</v>
      </c>
      <c r="B153">
        <v>7</v>
      </c>
      <c r="C153">
        <v>0.81</v>
      </c>
      <c r="D153" t="s">
        <v>407</v>
      </c>
      <c r="E153" t="s">
        <v>10</v>
      </c>
      <c r="F153" t="s">
        <v>11</v>
      </c>
      <c r="G153">
        <v>8.6419753086419746</v>
      </c>
      <c r="H153">
        <v>2.1566311803709657</v>
      </c>
      <c r="I153" t="s">
        <v>3536</v>
      </c>
    </row>
    <row r="154" spans="1:9" x14ac:dyDescent="0.25">
      <c r="A154" t="s">
        <v>408</v>
      </c>
      <c r="B154">
        <v>7</v>
      </c>
      <c r="C154">
        <v>2</v>
      </c>
      <c r="D154" t="s">
        <v>409</v>
      </c>
      <c r="E154" t="s">
        <v>10</v>
      </c>
      <c r="F154" t="s">
        <v>11</v>
      </c>
      <c r="G154">
        <v>3.5</v>
      </c>
      <c r="H154">
        <v>1.2527629684953681</v>
      </c>
      <c r="I154" t="s">
        <v>3536</v>
      </c>
    </row>
    <row r="155" spans="1:9" x14ac:dyDescent="0.25">
      <c r="A155" t="s">
        <v>410</v>
      </c>
      <c r="B155">
        <v>7</v>
      </c>
      <c r="C155">
        <v>2</v>
      </c>
      <c r="D155" t="s">
        <v>411</v>
      </c>
      <c r="E155" t="s">
        <v>365</v>
      </c>
      <c r="F155" t="s">
        <v>11</v>
      </c>
      <c r="G155">
        <v>3.5</v>
      </c>
      <c r="H155">
        <v>1.2527629684953681</v>
      </c>
      <c r="I155" t="s">
        <v>3536</v>
      </c>
    </row>
    <row r="156" spans="1:9" x14ac:dyDescent="0.25">
      <c r="A156" t="s">
        <v>412</v>
      </c>
      <c r="B156">
        <v>7</v>
      </c>
      <c r="C156">
        <v>1</v>
      </c>
      <c r="D156" t="s">
        <v>413</v>
      </c>
      <c r="E156" t="s">
        <v>10</v>
      </c>
      <c r="F156" t="s">
        <v>11</v>
      </c>
      <c r="G156">
        <v>7</v>
      </c>
      <c r="H156">
        <v>1.9459101490553132</v>
      </c>
      <c r="I156" t="s">
        <v>3536</v>
      </c>
    </row>
    <row r="157" spans="1:9" x14ac:dyDescent="0.25">
      <c r="A157" t="s">
        <v>414</v>
      </c>
      <c r="B157">
        <v>7</v>
      </c>
      <c r="C157">
        <v>2</v>
      </c>
      <c r="D157" t="s">
        <v>415</v>
      </c>
      <c r="E157" t="s">
        <v>10</v>
      </c>
      <c r="F157" t="s">
        <v>11</v>
      </c>
      <c r="G157">
        <v>3.5</v>
      </c>
      <c r="H157">
        <v>1.2527629684953681</v>
      </c>
      <c r="I157" t="s">
        <v>3536</v>
      </c>
    </row>
    <row r="158" spans="1:9" x14ac:dyDescent="0.25">
      <c r="A158" t="s">
        <v>416</v>
      </c>
      <c r="B158">
        <v>7</v>
      </c>
      <c r="C158">
        <v>0.90800000000000003</v>
      </c>
      <c r="D158" t="s">
        <v>418</v>
      </c>
      <c r="E158" t="s">
        <v>10</v>
      </c>
      <c r="F158" t="s">
        <v>11</v>
      </c>
      <c r="G158">
        <v>7.7092511013215859</v>
      </c>
      <c r="H158">
        <v>2.042421049436157</v>
      </c>
      <c r="I158" t="s">
        <v>3536</v>
      </c>
    </row>
    <row r="159" spans="1:9" x14ac:dyDescent="0.25">
      <c r="A159" t="s">
        <v>419</v>
      </c>
      <c r="B159">
        <v>7</v>
      </c>
      <c r="C159">
        <v>2</v>
      </c>
      <c r="D159" t="s">
        <v>420</v>
      </c>
      <c r="E159" t="s">
        <v>44</v>
      </c>
      <c r="F159" t="s">
        <v>21</v>
      </c>
      <c r="G159">
        <v>3.5</v>
      </c>
      <c r="H159">
        <v>1.2527629684953681</v>
      </c>
      <c r="I159" t="s">
        <v>3536</v>
      </c>
    </row>
    <row r="160" spans="1:9" x14ac:dyDescent="0.25">
      <c r="A160" t="s">
        <v>421</v>
      </c>
      <c r="B160">
        <v>7</v>
      </c>
      <c r="C160">
        <v>1</v>
      </c>
      <c r="D160" t="s">
        <v>422</v>
      </c>
      <c r="E160" t="s">
        <v>294</v>
      </c>
      <c r="F160" t="s">
        <v>21</v>
      </c>
      <c r="G160">
        <v>7</v>
      </c>
      <c r="H160">
        <v>1.9459101490553132</v>
      </c>
      <c r="I160" t="s">
        <v>3536</v>
      </c>
    </row>
    <row r="161" spans="1:9" x14ac:dyDescent="0.25">
      <c r="A161" t="s">
        <v>423</v>
      </c>
      <c r="B161">
        <v>7</v>
      </c>
      <c r="C161">
        <v>2</v>
      </c>
      <c r="D161" t="s">
        <v>424</v>
      </c>
      <c r="E161" t="s">
        <v>10</v>
      </c>
      <c r="F161" t="s">
        <v>11</v>
      </c>
      <c r="G161">
        <v>3.5</v>
      </c>
      <c r="H161">
        <v>1.2527629684953681</v>
      </c>
      <c r="I161" t="s">
        <v>3536</v>
      </c>
    </row>
    <row r="162" spans="1:9" x14ac:dyDescent="0.25">
      <c r="A162" t="s">
        <v>425</v>
      </c>
      <c r="B162">
        <v>7</v>
      </c>
      <c r="C162">
        <v>0.92</v>
      </c>
      <c r="D162" t="s">
        <v>137</v>
      </c>
      <c r="E162" t="s">
        <v>365</v>
      </c>
      <c r="F162" t="s">
        <v>11</v>
      </c>
      <c r="G162">
        <v>7.6086956521739131</v>
      </c>
      <c r="H162">
        <v>2.0292917579943643</v>
      </c>
      <c r="I162" t="s">
        <v>3536</v>
      </c>
    </row>
    <row r="163" spans="1:9" x14ac:dyDescent="0.25">
      <c r="A163" t="s">
        <v>427</v>
      </c>
      <c r="B163">
        <v>7</v>
      </c>
      <c r="C163">
        <v>0.85299999999999998</v>
      </c>
      <c r="D163" t="s">
        <v>429</v>
      </c>
      <c r="E163" t="s">
        <v>10</v>
      </c>
      <c r="F163" t="s">
        <v>11</v>
      </c>
      <c r="G163">
        <v>8.2063305978898011</v>
      </c>
      <c r="H163">
        <v>2.1049058805457714</v>
      </c>
      <c r="I163" t="s">
        <v>3536</v>
      </c>
    </row>
    <row r="164" spans="1:9" x14ac:dyDescent="0.25">
      <c r="A164" t="s">
        <v>430</v>
      </c>
      <c r="B164">
        <v>7</v>
      </c>
      <c r="C164">
        <v>1</v>
      </c>
      <c r="D164" t="s">
        <v>431</v>
      </c>
      <c r="E164" t="s">
        <v>20</v>
      </c>
      <c r="F164" t="s">
        <v>21</v>
      </c>
      <c r="G164">
        <v>7</v>
      </c>
      <c r="H164">
        <v>1.9459101490553132</v>
      </c>
      <c r="I164" t="s">
        <v>3536</v>
      </c>
    </row>
    <row r="165" spans="1:9" x14ac:dyDescent="0.25">
      <c r="A165" t="s">
        <v>432</v>
      </c>
      <c r="B165">
        <v>7</v>
      </c>
      <c r="C165">
        <v>4</v>
      </c>
      <c r="D165" t="s">
        <v>433</v>
      </c>
      <c r="E165" t="s">
        <v>44</v>
      </c>
      <c r="F165" t="s">
        <v>21</v>
      </c>
      <c r="G165">
        <v>1.75</v>
      </c>
      <c r="H165">
        <v>0.55961578793542266</v>
      </c>
      <c r="I165" t="s">
        <v>3536</v>
      </c>
    </row>
    <row r="166" spans="1:9" x14ac:dyDescent="0.25">
      <c r="A166" t="s">
        <v>434</v>
      </c>
      <c r="B166">
        <v>7</v>
      </c>
      <c r="C166">
        <v>2</v>
      </c>
      <c r="D166" t="s">
        <v>254</v>
      </c>
      <c r="E166" t="s">
        <v>20</v>
      </c>
      <c r="F166" t="s">
        <v>21</v>
      </c>
      <c r="G166">
        <v>3.5</v>
      </c>
      <c r="H166">
        <v>1.2527629684953681</v>
      </c>
      <c r="I166" t="s">
        <v>3536</v>
      </c>
    </row>
    <row r="167" spans="1:9" x14ac:dyDescent="0.25">
      <c r="A167" t="s">
        <v>435</v>
      </c>
      <c r="B167">
        <v>7</v>
      </c>
      <c r="C167">
        <v>0.55200000000000005</v>
      </c>
      <c r="D167" t="s">
        <v>437</v>
      </c>
      <c r="E167" t="s">
        <v>210</v>
      </c>
      <c r="F167" t="s">
        <v>50</v>
      </c>
      <c r="G167">
        <v>12.681159420289854</v>
      </c>
      <c r="H167">
        <v>2.5401173817603548</v>
      </c>
      <c r="I167" t="s">
        <v>3536</v>
      </c>
    </row>
    <row r="168" spans="1:9" x14ac:dyDescent="0.25">
      <c r="A168" t="s">
        <v>438</v>
      </c>
      <c r="B168">
        <v>7</v>
      </c>
      <c r="C168">
        <v>0.74199999999999999</v>
      </c>
      <c r="D168" t="s">
        <v>440</v>
      </c>
      <c r="E168" t="s">
        <v>44</v>
      </c>
      <c r="F168" t="s">
        <v>21</v>
      </c>
      <c r="G168">
        <v>9.433962264150944</v>
      </c>
      <c r="H168">
        <v>2.2443161848700699</v>
      </c>
      <c r="I168" t="s">
        <v>3536</v>
      </c>
    </row>
    <row r="169" spans="1:9" x14ac:dyDescent="0.25">
      <c r="A169" t="s">
        <v>441</v>
      </c>
      <c r="B169">
        <v>7</v>
      </c>
      <c r="C169">
        <v>2</v>
      </c>
      <c r="D169" t="s">
        <v>442</v>
      </c>
      <c r="E169" t="s">
        <v>44</v>
      </c>
      <c r="F169" t="s">
        <v>21</v>
      </c>
      <c r="G169">
        <v>3.5</v>
      </c>
      <c r="H169">
        <v>1.2527629684953681</v>
      </c>
      <c r="I169" t="s">
        <v>3536</v>
      </c>
    </row>
    <row r="170" spans="1:9" x14ac:dyDescent="0.25">
      <c r="A170" t="s">
        <v>443</v>
      </c>
      <c r="B170">
        <v>6</v>
      </c>
      <c r="C170">
        <v>0.92800000000000005</v>
      </c>
      <c r="D170" t="s">
        <v>302</v>
      </c>
      <c r="E170" t="s">
        <v>445</v>
      </c>
      <c r="F170" t="s">
        <v>50</v>
      </c>
      <c r="G170">
        <v>6.4655172413793096</v>
      </c>
      <c r="H170">
        <v>1.8664830154239913</v>
      </c>
      <c r="I170" t="s">
        <v>3536</v>
      </c>
    </row>
    <row r="171" spans="1:9" x14ac:dyDescent="0.25">
      <c r="A171" t="s">
        <v>446</v>
      </c>
      <c r="B171">
        <v>6</v>
      </c>
      <c r="C171">
        <v>0.81499999999999995</v>
      </c>
      <c r="D171" t="s">
        <v>448</v>
      </c>
      <c r="E171" t="s">
        <v>187</v>
      </c>
      <c r="F171" t="s">
        <v>50</v>
      </c>
      <c r="G171">
        <v>7.3619631901840492</v>
      </c>
      <c r="H171">
        <v>1.9963266349693294</v>
      </c>
      <c r="I171" t="s">
        <v>3536</v>
      </c>
    </row>
    <row r="172" spans="1:9" x14ac:dyDescent="0.25">
      <c r="A172" t="s">
        <v>449</v>
      </c>
      <c r="B172">
        <v>6</v>
      </c>
      <c r="C172">
        <v>3</v>
      </c>
      <c r="D172" t="s">
        <v>450</v>
      </c>
      <c r="E172" t="s">
        <v>20</v>
      </c>
      <c r="F172" t="s">
        <v>21</v>
      </c>
      <c r="G172">
        <v>2</v>
      </c>
      <c r="H172">
        <v>0.69314718055994529</v>
      </c>
      <c r="I172" t="s">
        <v>3536</v>
      </c>
    </row>
    <row r="173" spans="1:9" x14ac:dyDescent="0.25">
      <c r="A173" t="s">
        <v>451</v>
      </c>
      <c r="B173">
        <v>6</v>
      </c>
      <c r="C173">
        <v>1</v>
      </c>
      <c r="D173" t="s">
        <v>452</v>
      </c>
      <c r="E173" t="s">
        <v>10</v>
      </c>
      <c r="F173" t="s">
        <v>11</v>
      </c>
      <c r="G173">
        <v>6</v>
      </c>
      <c r="H173">
        <v>1.791759469228055</v>
      </c>
      <c r="I173" t="s">
        <v>3536</v>
      </c>
    </row>
    <row r="174" spans="1:9" x14ac:dyDescent="0.25">
      <c r="A174" t="s">
        <v>453</v>
      </c>
      <c r="B174">
        <v>6</v>
      </c>
      <c r="C174">
        <v>2</v>
      </c>
      <c r="D174" t="s">
        <v>454</v>
      </c>
      <c r="E174" t="s">
        <v>20</v>
      </c>
      <c r="F174" t="s">
        <v>21</v>
      </c>
      <c r="G174">
        <v>3</v>
      </c>
      <c r="H174">
        <v>1.0986122886681098</v>
      </c>
      <c r="I174" t="s">
        <v>3536</v>
      </c>
    </row>
    <row r="175" spans="1:9" x14ac:dyDescent="0.25">
      <c r="A175" t="s">
        <v>455</v>
      </c>
      <c r="B175">
        <v>6</v>
      </c>
      <c r="C175">
        <v>0.41199999999999998</v>
      </c>
      <c r="D175" t="s">
        <v>457</v>
      </c>
      <c r="E175" t="s">
        <v>10</v>
      </c>
      <c r="F175" t="s">
        <v>11</v>
      </c>
      <c r="G175">
        <v>14.563106796116505</v>
      </c>
      <c r="H175">
        <v>2.6784913988606656</v>
      </c>
      <c r="I175" t="s">
        <v>3536</v>
      </c>
    </row>
    <row r="176" spans="1:9" x14ac:dyDescent="0.25">
      <c r="A176" t="s">
        <v>458</v>
      </c>
      <c r="B176">
        <v>6</v>
      </c>
      <c r="C176">
        <v>2</v>
      </c>
      <c r="D176" t="s">
        <v>459</v>
      </c>
      <c r="E176" t="s">
        <v>10</v>
      </c>
      <c r="F176" t="s">
        <v>11</v>
      </c>
      <c r="G176">
        <v>3</v>
      </c>
      <c r="H176">
        <v>1.0986122886681098</v>
      </c>
      <c r="I176" t="s">
        <v>3536</v>
      </c>
    </row>
    <row r="177" spans="1:9" x14ac:dyDescent="0.25">
      <c r="A177" t="s">
        <v>460</v>
      </c>
      <c r="B177">
        <v>6</v>
      </c>
      <c r="C177">
        <v>2</v>
      </c>
      <c r="D177" t="s">
        <v>461</v>
      </c>
      <c r="E177" t="s">
        <v>20</v>
      </c>
      <c r="F177" t="s">
        <v>21</v>
      </c>
      <c r="G177">
        <v>3</v>
      </c>
      <c r="H177">
        <v>1.0986122886681098</v>
      </c>
      <c r="I177" t="s">
        <v>3536</v>
      </c>
    </row>
    <row r="178" spans="1:9" x14ac:dyDescent="0.25">
      <c r="A178" t="s">
        <v>462</v>
      </c>
      <c r="B178">
        <v>6</v>
      </c>
      <c r="C178">
        <v>1</v>
      </c>
      <c r="D178" t="s">
        <v>463</v>
      </c>
      <c r="E178" t="s">
        <v>20</v>
      </c>
      <c r="F178" t="s">
        <v>21</v>
      </c>
      <c r="G178">
        <v>6</v>
      </c>
      <c r="H178">
        <v>1.791759469228055</v>
      </c>
      <c r="I178" t="s">
        <v>3536</v>
      </c>
    </row>
    <row r="179" spans="1:9" x14ac:dyDescent="0.25">
      <c r="A179" t="s">
        <v>464</v>
      </c>
      <c r="B179">
        <v>6</v>
      </c>
      <c r="C179">
        <v>2</v>
      </c>
      <c r="D179" t="s">
        <v>465</v>
      </c>
      <c r="E179" t="s">
        <v>20</v>
      </c>
      <c r="F179" t="s">
        <v>21</v>
      </c>
      <c r="G179">
        <v>3</v>
      </c>
      <c r="H179">
        <v>1.0986122886681098</v>
      </c>
      <c r="I179" t="s">
        <v>3536</v>
      </c>
    </row>
    <row r="180" spans="1:9" x14ac:dyDescent="0.25">
      <c r="A180" t="s">
        <v>466</v>
      </c>
      <c r="B180">
        <v>6</v>
      </c>
      <c r="C180">
        <v>2</v>
      </c>
      <c r="D180" t="s">
        <v>66</v>
      </c>
      <c r="E180" t="s">
        <v>10</v>
      </c>
      <c r="F180" t="s">
        <v>11</v>
      </c>
      <c r="G180">
        <v>3</v>
      </c>
      <c r="H180">
        <v>1.0986122886681098</v>
      </c>
      <c r="I180" t="s">
        <v>3536</v>
      </c>
    </row>
    <row r="181" spans="1:9" x14ac:dyDescent="0.25">
      <c r="A181" t="s">
        <v>467</v>
      </c>
      <c r="B181">
        <v>6</v>
      </c>
      <c r="C181">
        <v>0.82099999999999995</v>
      </c>
      <c r="D181" t="s">
        <v>469</v>
      </c>
      <c r="E181" t="s">
        <v>10</v>
      </c>
      <c r="F181" t="s">
        <v>11</v>
      </c>
      <c r="G181">
        <v>7.3081607795371504</v>
      </c>
      <c r="H181">
        <v>1.988991638757764</v>
      </c>
      <c r="I181" t="s">
        <v>3536</v>
      </c>
    </row>
    <row r="182" spans="1:9" x14ac:dyDescent="0.25">
      <c r="A182" t="s">
        <v>470</v>
      </c>
      <c r="B182">
        <v>6</v>
      </c>
      <c r="C182">
        <v>0.80500000000000005</v>
      </c>
      <c r="D182" t="s">
        <v>79</v>
      </c>
      <c r="E182" t="s">
        <v>10</v>
      </c>
      <c r="F182" t="s">
        <v>11</v>
      </c>
      <c r="G182">
        <v>7.4534161490683228</v>
      </c>
      <c r="H182">
        <v>2.0086724707916286</v>
      </c>
      <c r="I182" t="s">
        <v>3536</v>
      </c>
    </row>
    <row r="183" spans="1:9" x14ac:dyDescent="0.25">
      <c r="A183" t="s">
        <v>472</v>
      </c>
      <c r="B183">
        <v>6</v>
      </c>
      <c r="C183">
        <v>0.81100000000000005</v>
      </c>
      <c r="D183" t="s">
        <v>474</v>
      </c>
      <c r="E183" t="s">
        <v>273</v>
      </c>
      <c r="F183" t="s">
        <v>21</v>
      </c>
      <c r="G183">
        <v>7.3982737361282362</v>
      </c>
      <c r="H183">
        <v>2.0012466940947791</v>
      </c>
      <c r="I183" t="s">
        <v>3536</v>
      </c>
    </row>
    <row r="184" spans="1:9" x14ac:dyDescent="0.25">
      <c r="A184" t="s">
        <v>475</v>
      </c>
      <c r="B184">
        <v>6</v>
      </c>
      <c r="C184">
        <v>2</v>
      </c>
      <c r="D184" t="s">
        <v>476</v>
      </c>
      <c r="E184" t="s">
        <v>49</v>
      </c>
      <c r="F184" t="s">
        <v>50</v>
      </c>
      <c r="G184">
        <v>3</v>
      </c>
      <c r="H184">
        <v>1.0986122886681098</v>
      </c>
      <c r="I184" t="s">
        <v>3536</v>
      </c>
    </row>
    <row r="185" spans="1:9" x14ac:dyDescent="0.25">
      <c r="A185" t="s">
        <v>477</v>
      </c>
      <c r="B185">
        <v>6</v>
      </c>
      <c r="C185">
        <v>0.91</v>
      </c>
      <c r="D185" t="s">
        <v>156</v>
      </c>
      <c r="E185" t="s">
        <v>10</v>
      </c>
      <c r="F185" t="s">
        <v>11</v>
      </c>
      <c r="G185">
        <v>6.5934065934065931</v>
      </c>
      <c r="H185">
        <v>1.8860701486992963</v>
      </c>
      <c r="I185" t="s">
        <v>3536</v>
      </c>
    </row>
    <row r="186" spans="1:9" x14ac:dyDescent="0.25">
      <c r="A186" t="s">
        <v>479</v>
      </c>
      <c r="B186">
        <v>6</v>
      </c>
      <c r="C186">
        <v>0.66400000000000003</v>
      </c>
      <c r="D186" t="s">
        <v>476</v>
      </c>
      <c r="E186" t="s">
        <v>10</v>
      </c>
      <c r="F186" t="s">
        <v>11</v>
      </c>
      <c r="G186">
        <v>9.0361445783132517</v>
      </c>
      <c r="H186">
        <v>2.2012325987337582</v>
      </c>
      <c r="I186" t="s">
        <v>3536</v>
      </c>
    </row>
    <row r="187" spans="1:9" x14ac:dyDescent="0.25">
      <c r="A187" t="s">
        <v>481</v>
      </c>
      <c r="B187">
        <v>6</v>
      </c>
      <c r="C187">
        <v>0.95</v>
      </c>
      <c r="D187" t="s">
        <v>483</v>
      </c>
      <c r="E187" t="s">
        <v>10</v>
      </c>
      <c r="F187" t="s">
        <v>11</v>
      </c>
      <c r="G187">
        <v>6.3157894736842106</v>
      </c>
      <c r="H187">
        <v>1.8430527636156055</v>
      </c>
      <c r="I187" t="s">
        <v>3536</v>
      </c>
    </row>
    <row r="188" spans="1:9" x14ac:dyDescent="0.25">
      <c r="A188" t="s">
        <v>484</v>
      </c>
      <c r="B188">
        <v>6</v>
      </c>
      <c r="C188">
        <v>0.89100000000000001</v>
      </c>
      <c r="D188" t="s">
        <v>339</v>
      </c>
      <c r="E188" t="s">
        <v>10</v>
      </c>
      <c r="F188" t="s">
        <v>11</v>
      </c>
      <c r="G188">
        <v>6.7340067340067336</v>
      </c>
      <c r="H188">
        <v>1.9071703207393826</v>
      </c>
      <c r="I188" t="s">
        <v>3536</v>
      </c>
    </row>
    <row r="189" spans="1:9" x14ac:dyDescent="0.25">
      <c r="A189" t="s">
        <v>486</v>
      </c>
      <c r="B189">
        <v>6</v>
      </c>
      <c r="C189">
        <v>0.41499999999999998</v>
      </c>
      <c r="D189" t="s">
        <v>488</v>
      </c>
      <c r="E189" t="s">
        <v>10</v>
      </c>
      <c r="F189" t="s">
        <v>11</v>
      </c>
      <c r="G189">
        <v>14.457831325301205</v>
      </c>
      <c r="H189">
        <v>2.6712362279794939</v>
      </c>
      <c r="I189" t="s">
        <v>3536</v>
      </c>
    </row>
    <row r="190" spans="1:9" x14ac:dyDescent="0.25">
      <c r="A190" t="s">
        <v>489</v>
      </c>
      <c r="B190">
        <v>6</v>
      </c>
      <c r="C190">
        <v>1</v>
      </c>
      <c r="D190" t="s">
        <v>490</v>
      </c>
      <c r="E190" t="s">
        <v>187</v>
      </c>
      <c r="F190" t="s">
        <v>50</v>
      </c>
      <c r="G190">
        <v>6</v>
      </c>
      <c r="H190">
        <v>1.791759469228055</v>
      </c>
      <c r="I190" t="s">
        <v>3536</v>
      </c>
    </row>
    <row r="191" spans="1:9" x14ac:dyDescent="0.25">
      <c r="A191" t="s">
        <v>491</v>
      </c>
      <c r="B191">
        <v>6</v>
      </c>
      <c r="C191">
        <v>0.80300000000000005</v>
      </c>
      <c r="D191" t="s">
        <v>493</v>
      </c>
      <c r="E191" t="s">
        <v>230</v>
      </c>
      <c r="F191" t="s">
        <v>50</v>
      </c>
      <c r="G191">
        <v>7.4719800747198004</v>
      </c>
      <c r="H191">
        <v>2.0111600342634302</v>
      </c>
      <c r="I191" t="s">
        <v>3536</v>
      </c>
    </row>
    <row r="192" spans="1:9" x14ac:dyDescent="0.25">
      <c r="A192" t="s">
        <v>494</v>
      </c>
      <c r="B192">
        <v>6</v>
      </c>
      <c r="C192">
        <v>0.433</v>
      </c>
      <c r="D192" t="s">
        <v>496</v>
      </c>
      <c r="E192" t="s">
        <v>10</v>
      </c>
      <c r="F192" t="s">
        <v>11</v>
      </c>
      <c r="G192">
        <v>13.856812933025404</v>
      </c>
      <c r="H192">
        <v>2.6287770202077021</v>
      </c>
      <c r="I192" t="s">
        <v>3536</v>
      </c>
    </row>
    <row r="193" spans="1:9" x14ac:dyDescent="0.25">
      <c r="A193" t="s">
        <v>497</v>
      </c>
      <c r="B193">
        <v>6</v>
      </c>
      <c r="C193">
        <v>0.72799999999999998</v>
      </c>
      <c r="D193" t="s">
        <v>15</v>
      </c>
      <c r="E193" t="s">
        <v>10</v>
      </c>
      <c r="F193" t="s">
        <v>11</v>
      </c>
      <c r="G193">
        <v>8.2417582417582427</v>
      </c>
      <c r="H193">
        <v>2.1092137000135063</v>
      </c>
      <c r="I193" t="s">
        <v>3536</v>
      </c>
    </row>
    <row r="194" spans="1:9" x14ac:dyDescent="0.25">
      <c r="A194" t="s">
        <v>499</v>
      </c>
      <c r="B194">
        <v>6</v>
      </c>
      <c r="C194">
        <v>1</v>
      </c>
      <c r="D194" t="s">
        <v>500</v>
      </c>
      <c r="E194" t="s">
        <v>187</v>
      </c>
      <c r="F194" t="s">
        <v>50</v>
      </c>
      <c r="G194">
        <v>6</v>
      </c>
      <c r="H194">
        <v>1.791759469228055</v>
      </c>
      <c r="I194" t="s">
        <v>3536</v>
      </c>
    </row>
    <row r="195" spans="1:9" x14ac:dyDescent="0.25">
      <c r="A195" t="s">
        <v>501</v>
      </c>
      <c r="B195">
        <v>6</v>
      </c>
      <c r="C195">
        <v>1</v>
      </c>
      <c r="D195" t="s">
        <v>476</v>
      </c>
      <c r="E195" t="s">
        <v>10</v>
      </c>
      <c r="F195" t="s">
        <v>11</v>
      </c>
      <c r="G195">
        <v>6</v>
      </c>
      <c r="H195">
        <v>1.791759469228055</v>
      </c>
      <c r="I195" t="s">
        <v>3536</v>
      </c>
    </row>
    <row r="196" spans="1:9" x14ac:dyDescent="0.25">
      <c r="A196" t="s">
        <v>502</v>
      </c>
      <c r="B196">
        <v>6</v>
      </c>
      <c r="C196">
        <v>3</v>
      </c>
      <c r="D196" t="s">
        <v>503</v>
      </c>
      <c r="E196" t="s">
        <v>20</v>
      </c>
      <c r="F196" t="s">
        <v>21</v>
      </c>
      <c r="G196">
        <v>2</v>
      </c>
      <c r="H196">
        <v>0.69314718055994529</v>
      </c>
      <c r="I196" t="s">
        <v>3536</v>
      </c>
    </row>
    <row r="197" spans="1:9" x14ac:dyDescent="0.25">
      <c r="A197" t="s">
        <v>504</v>
      </c>
      <c r="B197">
        <v>6</v>
      </c>
      <c r="C197">
        <v>0.44800000000000001</v>
      </c>
      <c r="D197" t="s">
        <v>506</v>
      </c>
      <c r="E197" t="s">
        <v>170</v>
      </c>
      <c r="F197" t="s">
        <v>50</v>
      </c>
      <c r="G197">
        <v>13.392857142857142</v>
      </c>
      <c r="H197">
        <v>2.5947215157952068</v>
      </c>
      <c r="I197" t="s">
        <v>3536</v>
      </c>
    </row>
    <row r="198" spans="1:9" x14ac:dyDescent="0.25">
      <c r="A198" t="s">
        <v>507</v>
      </c>
      <c r="B198">
        <v>6</v>
      </c>
      <c r="C198">
        <v>0.48199999999999998</v>
      </c>
      <c r="D198" t="s">
        <v>509</v>
      </c>
      <c r="E198" t="s">
        <v>44</v>
      </c>
      <c r="F198" t="s">
        <v>21</v>
      </c>
      <c r="G198">
        <v>12.448132780082988</v>
      </c>
      <c r="H198">
        <v>2.5215706341595916</v>
      </c>
      <c r="I198" t="s">
        <v>3536</v>
      </c>
    </row>
    <row r="199" spans="1:9" x14ac:dyDescent="0.25">
      <c r="A199" t="s">
        <v>510</v>
      </c>
      <c r="B199">
        <v>6</v>
      </c>
      <c r="C199">
        <v>0.44500000000000001</v>
      </c>
      <c r="D199" t="s">
        <v>254</v>
      </c>
      <c r="E199" t="s">
        <v>10</v>
      </c>
      <c r="F199" t="s">
        <v>11</v>
      </c>
      <c r="G199">
        <v>13.48314606741573</v>
      </c>
      <c r="H199">
        <v>2.6014404660439516</v>
      </c>
      <c r="I199" t="s">
        <v>3536</v>
      </c>
    </row>
    <row r="200" spans="1:9" x14ac:dyDescent="0.25">
      <c r="A200" t="s">
        <v>512</v>
      </c>
      <c r="B200">
        <v>6</v>
      </c>
      <c r="C200">
        <v>0.96399999999999997</v>
      </c>
      <c r="D200" t="s">
        <v>514</v>
      </c>
      <c r="E200" t="s">
        <v>10</v>
      </c>
      <c r="F200" t="s">
        <v>11</v>
      </c>
      <c r="G200">
        <v>6.2240663900414939</v>
      </c>
      <c r="H200">
        <v>1.8284234535996464</v>
      </c>
      <c r="I200" t="s">
        <v>3536</v>
      </c>
    </row>
    <row r="201" spans="1:9" x14ac:dyDescent="0.25">
      <c r="A201" t="s">
        <v>515</v>
      </c>
      <c r="B201">
        <v>6</v>
      </c>
      <c r="C201">
        <v>0.56999999999999995</v>
      </c>
      <c r="D201" t="s">
        <v>517</v>
      </c>
      <c r="E201" t="s">
        <v>10</v>
      </c>
      <c r="F201" t="s">
        <v>11</v>
      </c>
      <c r="G201">
        <v>10.526315789473685</v>
      </c>
      <c r="H201">
        <v>2.3538783873815965</v>
      </c>
      <c r="I201" t="s">
        <v>3536</v>
      </c>
    </row>
    <row r="202" spans="1:9" x14ac:dyDescent="0.25">
      <c r="A202" t="s">
        <v>518</v>
      </c>
      <c r="B202">
        <v>5</v>
      </c>
      <c r="C202">
        <v>1</v>
      </c>
      <c r="D202" t="s">
        <v>519</v>
      </c>
      <c r="E202" t="s">
        <v>10</v>
      </c>
      <c r="F202" t="s">
        <v>11</v>
      </c>
      <c r="G202">
        <v>5</v>
      </c>
      <c r="H202">
        <v>1.6094379124341003</v>
      </c>
      <c r="I202" t="s">
        <v>3536</v>
      </c>
    </row>
    <row r="203" spans="1:9" x14ac:dyDescent="0.25">
      <c r="A203" t="s">
        <v>520</v>
      </c>
      <c r="B203">
        <v>5</v>
      </c>
      <c r="C203">
        <v>0.56200000000000006</v>
      </c>
      <c r="D203" t="s">
        <v>506</v>
      </c>
      <c r="E203" t="s">
        <v>522</v>
      </c>
      <c r="F203" t="s">
        <v>50</v>
      </c>
      <c r="G203">
        <v>8.8967971530249095</v>
      </c>
      <c r="H203">
        <v>2.1856913415225461</v>
      </c>
      <c r="I203" t="s">
        <v>3536</v>
      </c>
    </row>
    <row r="204" spans="1:9" x14ac:dyDescent="0.25">
      <c r="A204" t="s">
        <v>523</v>
      </c>
      <c r="B204">
        <v>5</v>
      </c>
      <c r="C204">
        <v>2</v>
      </c>
      <c r="D204" t="s">
        <v>524</v>
      </c>
      <c r="E204" t="s">
        <v>525</v>
      </c>
      <c r="F204" t="s">
        <v>526</v>
      </c>
      <c r="G204">
        <v>2.5</v>
      </c>
      <c r="H204">
        <v>0.91629073187415511</v>
      </c>
      <c r="I204" t="s">
        <v>3536</v>
      </c>
    </row>
    <row r="205" spans="1:9" x14ac:dyDescent="0.25">
      <c r="A205" t="s">
        <v>527</v>
      </c>
      <c r="B205">
        <v>5</v>
      </c>
      <c r="C205">
        <v>0.86</v>
      </c>
      <c r="D205" t="s">
        <v>177</v>
      </c>
      <c r="E205" t="s">
        <v>10</v>
      </c>
      <c r="F205" t="s">
        <v>11</v>
      </c>
      <c r="G205">
        <v>5.8139534883720927</v>
      </c>
      <c r="H205">
        <v>1.7602608021686839</v>
      </c>
      <c r="I205" t="s">
        <v>3536</v>
      </c>
    </row>
    <row r="206" spans="1:9" x14ac:dyDescent="0.25">
      <c r="A206" t="s">
        <v>529</v>
      </c>
      <c r="B206">
        <v>5</v>
      </c>
      <c r="C206">
        <v>0.75800000000000001</v>
      </c>
      <c r="D206" t="s">
        <v>531</v>
      </c>
      <c r="E206" t="s">
        <v>10</v>
      </c>
      <c r="F206" t="s">
        <v>11</v>
      </c>
      <c r="G206">
        <v>6.5963060686015833</v>
      </c>
      <c r="H206">
        <v>1.8865098057738658</v>
      </c>
      <c r="I206" t="s">
        <v>3536</v>
      </c>
    </row>
    <row r="207" spans="1:9" x14ac:dyDescent="0.25">
      <c r="A207" t="s">
        <v>532</v>
      </c>
      <c r="B207">
        <v>5</v>
      </c>
      <c r="C207">
        <v>1</v>
      </c>
      <c r="D207" t="s">
        <v>533</v>
      </c>
      <c r="E207" t="s">
        <v>10</v>
      </c>
      <c r="F207" t="s">
        <v>11</v>
      </c>
      <c r="G207">
        <v>5</v>
      </c>
      <c r="H207">
        <v>1.6094379124341003</v>
      </c>
      <c r="I207" t="s">
        <v>3536</v>
      </c>
    </row>
    <row r="208" spans="1:9" x14ac:dyDescent="0.25">
      <c r="A208" t="s">
        <v>534</v>
      </c>
      <c r="B208">
        <v>5</v>
      </c>
      <c r="C208">
        <v>0.59699999999999998</v>
      </c>
      <c r="D208" t="s">
        <v>536</v>
      </c>
      <c r="E208" t="s">
        <v>329</v>
      </c>
      <c r="F208" t="s">
        <v>50</v>
      </c>
      <c r="G208">
        <v>8.3752093802345069</v>
      </c>
      <c r="H208">
        <v>2.1252760780236355</v>
      </c>
      <c r="I208" t="s">
        <v>3536</v>
      </c>
    </row>
    <row r="209" spans="1:9" x14ac:dyDescent="0.25">
      <c r="A209" t="s">
        <v>537</v>
      </c>
      <c r="B209">
        <v>5</v>
      </c>
      <c r="C209">
        <v>0</v>
      </c>
      <c r="D209" t="s">
        <v>538</v>
      </c>
      <c r="E209" t="s">
        <v>20</v>
      </c>
      <c r="F209" t="s">
        <v>21</v>
      </c>
      <c r="G209" t="s">
        <v>3535</v>
      </c>
      <c r="H209" t="s">
        <v>3535</v>
      </c>
      <c r="I209" t="s">
        <v>3537</v>
      </c>
    </row>
    <row r="210" spans="1:9" x14ac:dyDescent="0.25">
      <c r="A210" t="s">
        <v>539</v>
      </c>
      <c r="B210">
        <v>5</v>
      </c>
      <c r="C210">
        <v>2</v>
      </c>
      <c r="D210" t="s">
        <v>335</v>
      </c>
      <c r="E210" t="s">
        <v>10</v>
      </c>
      <c r="F210" t="s">
        <v>11</v>
      </c>
      <c r="G210">
        <v>2.5</v>
      </c>
      <c r="H210">
        <v>0.91629073187415511</v>
      </c>
      <c r="I210" t="s">
        <v>3536</v>
      </c>
    </row>
    <row r="211" spans="1:9" x14ac:dyDescent="0.25">
      <c r="A211" t="s">
        <v>540</v>
      </c>
      <c r="B211">
        <v>5</v>
      </c>
      <c r="C211">
        <v>0.42599999999999999</v>
      </c>
      <c r="D211" t="s">
        <v>542</v>
      </c>
      <c r="E211" t="s">
        <v>10</v>
      </c>
      <c r="F211" t="s">
        <v>11</v>
      </c>
      <c r="G211">
        <v>11.737089201877934</v>
      </c>
      <c r="H211">
        <v>2.4627538451468669</v>
      </c>
      <c r="I211" t="s">
        <v>3536</v>
      </c>
    </row>
    <row r="212" spans="1:9" x14ac:dyDescent="0.25">
      <c r="A212" t="s">
        <v>543</v>
      </c>
      <c r="B212">
        <v>5</v>
      </c>
      <c r="C212">
        <v>0.19900000000000001</v>
      </c>
      <c r="D212" t="s">
        <v>545</v>
      </c>
      <c r="E212" t="s">
        <v>546</v>
      </c>
      <c r="F212" t="s">
        <v>109</v>
      </c>
      <c r="G212">
        <v>25.125628140703515</v>
      </c>
      <c r="H212">
        <v>3.2238883666917451</v>
      </c>
      <c r="I212" t="s">
        <v>3536</v>
      </c>
    </row>
    <row r="213" spans="1:9" x14ac:dyDescent="0.25">
      <c r="A213" t="s">
        <v>547</v>
      </c>
      <c r="B213">
        <v>5</v>
      </c>
      <c r="C213">
        <v>1</v>
      </c>
      <c r="D213" t="s">
        <v>548</v>
      </c>
      <c r="E213" t="s">
        <v>10</v>
      </c>
      <c r="F213" t="s">
        <v>11</v>
      </c>
      <c r="G213">
        <v>5</v>
      </c>
      <c r="H213">
        <v>1.6094379124341003</v>
      </c>
      <c r="I213" t="s">
        <v>3536</v>
      </c>
    </row>
    <row r="214" spans="1:9" x14ac:dyDescent="0.25">
      <c r="A214" t="s">
        <v>549</v>
      </c>
      <c r="B214">
        <v>5</v>
      </c>
      <c r="C214">
        <v>0.53400000000000003</v>
      </c>
      <c r="D214" t="s">
        <v>389</v>
      </c>
      <c r="E214" t="s">
        <v>10</v>
      </c>
      <c r="F214" t="s">
        <v>11</v>
      </c>
      <c r="G214">
        <v>9.3632958801498116</v>
      </c>
      <c r="H214">
        <v>2.2367973524560423</v>
      </c>
      <c r="I214" t="s">
        <v>3536</v>
      </c>
    </row>
    <row r="215" spans="1:9" x14ac:dyDescent="0.25">
      <c r="A215" t="s">
        <v>551</v>
      </c>
      <c r="B215">
        <v>5</v>
      </c>
      <c r="C215">
        <v>0.755</v>
      </c>
      <c r="D215" t="s">
        <v>553</v>
      </c>
      <c r="E215" t="s">
        <v>554</v>
      </c>
      <c r="F215" t="s">
        <v>526</v>
      </c>
      <c r="G215">
        <v>6.6225165562913908</v>
      </c>
      <c r="H215">
        <v>1.8904754421672127</v>
      </c>
      <c r="I215" t="s">
        <v>3536</v>
      </c>
    </row>
    <row r="216" spans="1:9" x14ac:dyDescent="0.25">
      <c r="A216" t="s">
        <v>555</v>
      </c>
      <c r="B216">
        <v>5</v>
      </c>
      <c r="C216">
        <v>0.35</v>
      </c>
      <c r="E216" t="s">
        <v>10</v>
      </c>
      <c r="F216" t="s">
        <v>11</v>
      </c>
      <c r="G216">
        <v>14.285714285714286</v>
      </c>
      <c r="H216">
        <v>2.6592600369327779</v>
      </c>
      <c r="I216" t="s">
        <v>3536</v>
      </c>
    </row>
    <row r="217" spans="1:9" x14ac:dyDescent="0.25">
      <c r="A217" t="s">
        <v>557</v>
      </c>
      <c r="B217">
        <v>5</v>
      </c>
      <c r="C217">
        <v>0.503</v>
      </c>
      <c r="D217" t="s">
        <v>559</v>
      </c>
      <c r="E217" t="s">
        <v>20</v>
      </c>
      <c r="F217" t="s">
        <v>21</v>
      </c>
      <c r="G217">
        <v>9.9403578528827037</v>
      </c>
      <c r="H217">
        <v>2.2966030213164981</v>
      </c>
      <c r="I217" t="s">
        <v>3536</v>
      </c>
    </row>
    <row r="218" spans="1:9" x14ac:dyDescent="0.25">
      <c r="A218" t="s">
        <v>560</v>
      </c>
      <c r="B218">
        <v>5</v>
      </c>
      <c r="C218">
        <v>2</v>
      </c>
      <c r="D218" t="s">
        <v>561</v>
      </c>
      <c r="E218" t="s">
        <v>554</v>
      </c>
      <c r="F218" t="s">
        <v>526</v>
      </c>
      <c r="G218">
        <v>2.5</v>
      </c>
      <c r="H218">
        <v>0.91629073187415511</v>
      </c>
      <c r="I218" t="s">
        <v>3536</v>
      </c>
    </row>
    <row r="219" spans="1:9" x14ac:dyDescent="0.25">
      <c r="A219" t="s">
        <v>562</v>
      </c>
      <c r="B219">
        <v>5</v>
      </c>
      <c r="C219">
        <v>2</v>
      </c>
      <c r="D219" t="s">
        <v>563</v>
      </c>
      <c r="E219" t="s">
        <v>20</v>
      </c>
      <c r="F219" t="s">
        <v>21</v>
      </c>
      <c r="G219">
        <v>2.5</v>
      </c>
      <c r="H219">
        <v>0.91629073187415511</v>
      </c>
      <c r="I219" t="s">
        <v>3536</v>
      </c>
    </row>
    <row r="220" spans="1:9" x14ac:dyDescent="0.25">
      <c r="A220" t="s">
        <v>564</v>
      </c>
      <c r="B220">
        <v>5</v>
      </c>
      <c r="C220">
        <v>0.69499999999999995</v>
      </c>
      <c r="D220" t="s">
        <v>566</v>
      </c>
      <c r="E220" t="s">
        <v>365</v>
      </c>
      <c r="F220" t="s">
        <v>11</v>
      </c>
      <c r="G220">
        <v>7.1942446043165473</v>
      </c>
      <c r="H220">
        <v>1.9732813458514453</v>
      </c>
      <c r="I220" t="s">
        <v>3536</v>
      </c>
    </row>
    <row r="221" spans="1:9" x14ac:dyDescent="0.25">
      <c r="A221" t="s">
        <v>567</v>
      </c>
      <c r="B221">
        <v>5</v>
      </c>
      <c r="C221">
        <v>0.746</v>
      </c>
      <c r="D221" t="s">
        <v>568</v>
      </c>
      <c r="E221" t="s">
        <v>44</v>
      </c>
      <c r="F221" t="s">
        <v>21</v>
      </c>
      <c r="G221">
        <v>6.7024128686327078</v>
      </c>
      <c r="H221">
        <v>1.9024675912124767</v>
      </c>
      <c r="I221" t="s">
        <v>3536</v>
      </c>
    </row>
    <row r="222" spans="1:9" x14ac:dyDescent="0.25">
      <c r="A222" t="s">
        <v>569</v>
      </c>
      <c r="B222">
        <v>5</v>
      </c>
      <c r="C222">
        <v>2</v>
      </c>
      <c r="D222" t="s">
        <v>570</v>
      </c>
      <c r="E222" t="s">
        <v>44</v>
      </c>
      <c r="F222" t="s">
        <v>21</v>
      </c>
      <c r="G222">
        <v>2.5</v>
      </c>
      <c r="H222">
        <v>0.91629073187415511</v>
      </c>
      <c r="I222" t="s">
        <v>3536</v>
      </c>
    </row>
    <row r="223" spans="1:9" x14ac:dyDescent="0.25">
      <c r="A223" t="s">
        <v>571</v>
      </c>
      <c r="B223">
        <v>5</v>
      </c>
      <c r="C223">
        <v>0</v>
      </c>
      <c r="E223" t="s">
        <v>350</v>
      </c>
      <c r="F223" t="s">
        <v>21</v>
      </c>
      <c r="G223" t="s">
        <v>3535</v>
      </c>
      <c r="H223" t="s">
        <v>3535</v>
      </c>
      <c r="I223" t="s">
        <v>3537</v>
      </c>
    </row>
    <row r="224" spans="1:9" x14ac:dyDescent="0.25">
      <c r="A224" t="s">
        <v>572</v>
      </c>
      <c r="B224">
        <v>5</v>
      </c>
      <c r="C224">
        <v>0.88200000000000001</v>
      </c>
      <c r="D224" t="s">
        <v>130</v>
      </c>
      <c r="E224" t="s">
        <v>49</v>
      </c>
      <c r="F224" t="s">
        <v>50</v>
      </c>
      <c r="G224">
        <v>5.6689342403628116</v>
      </c>
      <c r="H224">
        <v>1.7350011354094461</v>
      </c>
      <c r="I224" t="s">
        <v>3536</v>
      </c>
    </row>
    <row r="225" spans="1:9" x14ac:dyDescent="0.25">
      <c r="A225" t="s">
        <v>574</v>
      </c>
      <c r="B225">
        <v>5</v>
      </c>
      <c r="C225">
        <v>0.183</v>
      </c>
      <c r="D225" t="s">
        <v>576</v>
      </c>
      <c r="E225" t="s">
        <v>20</v>
      </c>
      <c r="F225" t="s">
        <v>21</v>
      </c>
      <c r="G225">
        <v>27.3224043715847</v>
      </c>
      <c r="H225">
        <v>3.3077070385748164</v>
      </c>
      <c r="I225" t="s">
        <v>3536</v>
      </c>
    </row>
    <row r="226" spans="1:9" x14ac:dyDescent="0.25">
      <c r="A226" t="s">
        <v>577</v>
      </c>
      <c r="B226">
        <v>5</v>
      </c>
      <c r="C226">
        <v>1</v>
      </c>
      <c r="D226" t="s">
        <v>578</v>
      </c>
      <c r="E226" t="s">
        <v>20</v>
      </c>
      <c r="F226" t="s">
        <v>21</v>
      </c>
      <c r="G226">
        <v>5</v>
      </c>
      <c r="H226">
        <v>1.6094379124341003</v>
      </c>
      <c r="I226" t="s">
        <v>3536</v>
      </c>
    </row>
    <row r="227" spans="1:9" x14ac:dyDescent="0.25">
      <c r="A227" t="s">
        <v>579</v>
      </c>
      <c r="B227">
        <v>5</v>
      </c>
      <c r="C227">
        <v>0.49199999999999999</v>
      </c>
      <c r="D227" t="s">
        <v>581</v>
      </c>
      <c r="E227" t="s">
        <v>20</v>
      </c>
      <c r="F227" t="s">
        <v>21</v>
      </c>
      <c r="G227">
        <v>10.16260162601626</v>
      </c>
      <c r="H227">
        <v>2.3187144749239295</v>
      </c>
      <c r="I227" t="s">
        <v>3536</v>
      </c>
    </row>
    <row r="228" spans="1:9" x14ac:dyDescent="0.25">
      <c r="A228" t="s">
        <v>582</v>
      </c>
      <c r="B228">
        <v>5</v>
      </c>
      <c r="C228">
        <v>0.63300000000000001</v>
      </c>
      <c r="D228" t="s">
        <v>316</v>
      </c>
      <c r="E228" t="s">
        <v>10</v>
      </c>
      <c r="F228" t="s">
        <v>11</v>
      </c>
      <c r="G228">
        <v>7.8988941548183256</v>
      </c>
      <c r="H228">
        <v>2.0667227692720611</v>
      </c>
      <c r="I228" t="s">
        <v>3536</v>
      </c>
    </row>
    <row r="229" spans="1:9" x14ac:dyDescent="0.25">
      <c r="A229" t="s">
        <v>584</v>
      </c>
      <c r="B229">
        <v>5</v>
      </c>
      <c r="C229">
        <v>0.23</v>
      </c>
      <c r="D229" t="s">
        <v>586</v>
      </c>
      <c r="E229" t="s">
        <v>365</v>
      </c>
      <c r="F229" t="s">
        <v>11</v>
      </c>
      <c r="G229">
        <v>21.739130434782609</v>
      </c>
      <c r="H229">
        <v>3.0791138824930422</v>
      </c>
      <c r="I229" t="s">
        <v>3536</v>
      </c>
    </row>
    <row r="230" spans="1:9" x14ac:dyDescent="0.25">
      <c r="A230" t="s">
        <v>587</v>
      </c>
      <c r="B230">
        <v>5</v>
      </c>
      <c r="C230">
        <v>2</v>
      </c>
      <c r="D230" t="s">
        <v>588</v>
      </c>
      <c r="E230" t="s">
        <v>44</v>
      </c>
      <c r="F230" t="s">
        <v>21</v>
      </c>
      <c r="G230">
        <v>2.5</v>
      </c>
      <c r="H230">
        <v>0.91629073187415511</v>
      </c>
      <c r="I230" t="s">
        <v>3536</v>
      </c>
    </row>
    <row r="231" spans="1:9" x14ac:dyDescent="0.25">
      <c r="A231" t="s">
        <v>589</v>
      </c>
      <c r="B231">
        <v>5</v>
      </c>
      <c r="C231">
        <v>0.78500000000000003</v>
      </c>
      <c r="D231" t="s">
        <v>590</v>
      </c>
      <c r="E231" t="s">
        <v>10</v>
      </c>
      <c r="F231" t="s">
        <v>11</v>
      </c>
      <c r="G231">
        <v>6.3694267515923562</v>
      </c>
      <c r="H231">
        <v>1.8515094736338289</v>
      </c>
      <c r="I231" t="s">
        <v>3536</v>
      </c>
    </row>
    <row r="232" spans="1:9" x14ac:dyDescent="0.25">
      <c r="A232" t="s">
        <v>591</v>
      </c>
      <c r="B232">
        <v>5</v>
      </c>
      <c r="C232">
        <v>0.96299999999999997</v>
      </c>
      <c r="D232" t="s">
        <v>593</v>
      </c>
      <c r="E232" t="s">
        <v>10</v>
      </c>
      <c r="F232" t="s">
        <v>11</v>
      </c>
      <c r="G232">
        <v>5.1921079958463139</v>
      </c>
      <c r="H232">
        <v>1.647139779618112</v>
      </c>
      <c r="I232" t="s">
        <v>3536</v>
      </c>
    </row>
    <row r="233" spans="1:9" x14ac:dyDescent="0.25">
      <c r="A233" t="s">
        <v>594</v>
      </c>
      <c r="B233">
        <v>5</v>
      </c>
      <c r="C233">
        <v>2</v>
      </c>
      <c r="D233" t="s">
        <v>595</v>
      </c>
      <c r="E233" t="s">
        <v>151</v>
      </c>
      <c r="F233" t="s">
        <v>50</v>
      </c>
      <c r="G233">
        <v>2.5</v>
      </c>
      <c r="H233">
        <v>0.91629073187415511</v>
      </c>
      <c r="I233" t="s">
        <v>3536</v>
      </c>
    </row>
    <row r="234" spans="1:9" x14ac:dyDescent="0.25">
      <c r="A234" t="s">
        <v>596</v>
      </c>
      <c r="B234">
        <v>5</v>
      </c>
      <c r="C234">
        <v>2</v>
      </c>
      <c r="D234" t="s">
        <v>597</v>
      </c>
      <c r="E234" t="s">
        <v>10</v>
      </c>
      <c r="F234" t="s">
        <v>11</v>
      </c>
      <c r="G234">
        <v>2.5</v>
      </c>
      <c r="H234">
        <v>0.91629073187415511</v>
      </c>
      <c r="I234" t="s">
        <v>3536</v>
      </c>
    </row>
    <row r="235" spans="1:9" x14ac:dyDescent="0.25">
      <c r="A235" t="s">
        <v>598</v>
      </c>
      <c r="B235">
        <v>5</v>
      </c>
      <c r="C235">
        <v>0.76200000000000001</v>
      </c>
      <c r="D235" t="s">
        <v>600</v>
      </c>
      <c r="E235" t="s">
        <v>10</v>
      </c>
      <c r="F235" t="s">
        <v>11</v>
      </c>
      <c r="G235">
        <v>6.5616797900262469</v>
      </c>
      <c r="H235">
        <v>1.8812466357295912</v>
      </c>
      <c r="I235" t="s">
        <v>3536</v>
      </c>
    </row>
    <row r="236" spans="1:9" x14ac:dyDescent="0.25">
      <c r="A236" t="s">
        <v>601</v>
      </c>
      <c r="B236">
        <v>5</v>
      </c>
      <c r="C236">
        <v>0.47499999999999998</v>
      </c>
      <c r="D236" t="s">
        <v>603</v>
      </c>
      <c r="E236" t="s">
        <v>604</v>
      </c>
      <c r="F236" t="s">
        <v>21</v>
      </c>
      <c r="G236">
        <v>10.526315789473685</v>
      </c>
      <c r="H236">
        <v>2.3538783873815965</v>
      </c>
      <c r="I236" t="s">
        <v>3536</v>
      </c>
    </row>
    <row r="237" spans="1:9" x14ac:dyDescent="0.25">
      <c r="A237" t="s">
        <v>605</v>
      </c>
      <c r="B237">
        <v>5</v>
      </c>
      <c r="C237">
        <v>2</v>
      </c>
      <c r="D237" t="s">
        <v>409</v>
      </c>
      <c r="E237" t="s">
        <v>365</v>
      </c>
      <c r="F237" t="s">
        <v>11</v>
      </c>
      <c r="G237">
        <v>2.5</v>
      </c>
      <c r="H237">
        <v>0.91629073187415511</v>
      </c>
      <c r="I237" t="s">
        <v>3536</v>
      </c>
    </row>
    <row r="238" spans="1:9" x14ac:dyDescent="0.25">
      <c r="A238" t="s">
        <v>606</v>
      </c>
      <c r="B238">
        <v>5</v>
      </c>
      <c r="C238">
        <v>0.65</v>
      </c>
      <c r="D238" t="s">
        <v>15</v>
      </c>
      <c r="E238" t="s">
        <v>10</v>
      </c>
      <c r="F238" t="s">
        <v>11</v>
      </c>
      <c r="G238">
        <v>7.6923076923076916</v>
      </c>
      <c r="H238">
        <v>2.0402208285265546</v>
      </c>
      <c r="I238" t="s">
        <v>3536</v>
      </c>
    </row>
    <row r="239" spans="1:9" x14ac:dyDescent="0.25">
      <c r="A239" t="s">
        <v>608</v>
      </c>
      <c r="B239">
        <v>5</v>
      </c>
      <c r="C239">
        <v>0.81</v>
      </c>
      <c r="D239" t="s">
        <v>148</v>
      </c>
      <c r="E239" t="s">
        <v>10</v>
      </c>
      <c r="F239" t="s">
        <v>11</v>
      </c>
      <c r="G239">
        <v>6.1728395061728394</v>
      </c>
      <c r="H239">
        <v>1.820158943749753</v>
      </c>
      <c r="I239" t="s">
        <v>3536</v>
      </c>
    </row>
    <row r="240" spans="1:9" x14ac:dyDescent="0.25">
      <c r="A240" t="s">
        <v>609</v>
      </c>
      <c r="B240">
        <v>5</v>
      </c>
      <c r="C240">
        <v>0.625</v>
      </c>
      <c r="D240" t="s">
        <v>611</v>
      </c>
      <c r="E240" t="s">
        <v>10</v>
      </c>
      <c r="F240" t="s">
        <v>11</v>
      </c>
      <c r="G240">
        <v>8</v>
      </c>
      <c r="H240">
        <v>2.0794415416798357</v>
      </c>
      <c r="I240" t="s">
        <v>3536</v>
      </c>
    </row>
    <row r="241" spans="1:9" x14ac:dyDescent="0.25">
      <c r="A241" t="s">
        <v>612</v>
      </c>
      <c r="B241">
        <v>5</v>
      </c>
      <c r="C241">
        <v>0.31</v>
      </c>
      <c r="D241" t="s">
        <v>302</v>
      </c>
      <c r="E241" t="s">
        <v>10</v>
      </c>
      <c r="F241" t="s">
        <v>11</v>
      </c>
      <c r="G241">
        <v>16.129032258064516</v>
      </c>
      <c r="H241">
        <v>2.7806208939370456</v>
      </c>
      <c r="I241" t="s">
        <v>3536</v>
      </c>
    </row>
    <row r="242" spans="1:9" x14ac:dyDescent="0.25">
      <c r="A242" t="s">
        <v>614</v>
      </c>
      <c r="B242">
        <v>5</v>
      </c>
      <c r="C242">
        <v>0.58499999999999996</v>
      </c>
      <c r="D242" t="s">
        <v>616</v>
      </c>
      <c r="E242" t="s">
        <v>10</v>
      </c>
      <c r="F242" t="s">
        <v>11</v>
      </c>
      <c r="G242">
        <v>8.5470085470085468</v>
      </c>
      <c r="H242">
        <v>2.145581344184381</v>
      </c>
      <c r="I242" t="s">
        <v>3536</v>
      </c>
    </row>
    <row r="243" spans="1:9" x14ac:dyDescent="0.25">
      <c r="A243" t="s">
        <v>617</v>
      </c>
      <c r="B243">
        <v>5</v>
      </c>
      <c r="C243">
        <v>0.65</v>
      </c>
      <c r="D243" t="s">
        <v>618</v>
      </c>
      <c r="E243" t="s">
        <v>10</v>
      </c>
      <c r="F243" t="s">
        <v>11</v>
      </c>
      <c r="G243">
        <v>7.6923076923076916</v>
      </c>
      <c r="H243">
        <v>2.0402208285265546</v>
      </c>
      <c r="I243" t="s">
        <v>3536</v>
      </c>
    </row>
    <row r="244" spans="1:9" x14ac:dyDescent="0.25">
      <c r="A244" t="s">
        <v>619</v>
      </c>
      <c r="B244">
        <v>5</v>
      </c>
      <c r="C244">
        <v>0.53900000000000003</v>
      </c>
      <c r="D244" t="s">
        <v>621</v>
      </c>
      <c r="E244" t="s">
        <v>10</v>
      </c>
      <c r="F244" t="s">
        <v>11</v>
      </c>
      <c r="G244">
        <v>9.2764378478664185</v>
      </c>
      <c r="H244">
        <v>2.2274776205072402</v>
      </c>
      <c r="I244" t="s">
        <v>3536</v>
      </c>
    </row>
    <row r="245" spans="1:9" x14ac:dyDescent="0.25">
      <c r="A245" t="s">
        <v>622</v>
      </c>
      <c r="B245">
        <v>5</v>
      </c>
      <c r="C245">
        <v>0.5</v>
      </c>
      <c r="D245" t="s">
        <v>624</v>
      </c>
      <c r="E245" t="s">
        <v>10</v>
      </c>
      <c r="F245" t="s">
        <v>11</v>
      </c>
      <c r="G245">
        <v>10</v>
      </c>
      <c r="H245">
        <v>2.3025850929940459</v>
      </c>
      <c r="I245" t="s">
        <v>3536</v>
      </c>
    </row>
    <row r="246" spans="1:9" x14ac:dyDescent="0.25">
      <c r="A246" t="s">
        <v>625</v>
      </c>
      <c r="B246">
        <v>5</v>
      </c>
      <c r="C246">
        <v>2</v>
      </c>
      <c r="D246" t="s">
        <v>626</v>
      </c>
      <c r="E246" t="s">
        <v>20</v>
      </c>
      <c r="F246" t="s">
        <v>21</v>
      </c>
      <c r="G246">
        <v>2.5</v>
      </c>
      <c r="H246">
        <v>0.91629073187415511</v>
      </c>
      <c r="I246" t="s">
        <v>3536</v>
      </c>
    </row>
    <row r="247" spans="1:9" x14ac:dyDescent="0.25">
      <c r="A247" t="s">
        <v>627</v>
      </c>
      <c r="B247">
        <v>5</v>
      </c>
      <c r="C247">
        <v>0.17</v>
      </c>
      <c r="D247" t="s">
        <v>629</v>
      </c>
      <c r="E247" t="s">
        <v>49</v>
      </c>
      <c r="F247" t="s">
        <v>50</v>
      </c>
      <c r="G247">
        <v>29.411764705882351</v>
      </c>
      <c r="H247">
        <v>3.3813947543659757</v>
      </c>
      <c r="I247" t="s">
        <v>3536</v>
      </c>
    </row>
    <row r="248" spans="1:9" x14ac:dyDescent="0.25">
      <c r="A248" t="s">
        <v>630</v>
      </c>
      <c r="B248">
        <v>5</v>
      </c>
      <c r="C248">
        <v>0.48699999999999999</v>
      </c>
      <c r="D248" t="s">
        <v>254</v>
      </c>
      <c r="E248" t="s">
        <v>10</v>
      </c>
      <c r="F248" t="s">
        <v>11</v>
      </c>
      <c r="G248">
        <v>10.266940451745381</v>
      </c>
      <c r="H248">
        <v>2.3289290683336477</v>
      </c>
      <c r="I248" t="s">
        <v>3536</v>
      </c>
    </row>
    <row r="249" spans="1:9" x14ac:dyDescent="0.25">
      <c r="A249" t="s">
        <v>632</v>
      </c>
      <c r="B249">
        <v>5</v>
      </c>
      <c r="C249">
        <v>1</v>
      </c>
      <c r="D249" t="s">
        <v>633</v>
      </c>
      <c r="E249" t="s">
        <v>350</v>
      </c>
      <c r="F249" t="s">
        <v>21</v>
      </c>
      <c r="G249">
        <v>5</v>
      </c>
      <c r="H249">
        <v>1.6094379124341003</v>
      </c>
      <c r="I249" t="s">
        <v>3536</v>
      </c>
    </row>
    <row r="250" spans="1:9" x14ac:dyDescent="0.25">
      <c r="A250" t="s">
        <v>634</v>
      </c>
      <c r="B250">
        <v>5</v>
      </c>
      <c r="C250">
        <v>0.47899999999999998</v>
      </c>
      <c r="D250" t="s">
        <v>636</v>
      </c>
      <c r="E250" t="s">
        <v>10</v>
      </c>
      <c r="F250" t="s">
        <v>11</v>
      </c>
      <c r="G250">
        <v>10.438413361169102</v>
      </c>
      <c r="H250">
        <v>2.3454925940053224</v>
      </c>
      <c r="I250" t="s">
        <v>3536</v>
      </c>
    </row>
    <row r="251" spans="1:9" x14ac:dyDescent="0.25">
      <c r="A251" t="s">
        <v>637</v>
      </c>
      <c r="B251">
        <v>5</v>
      </c>
      <c r="C251">
        <v>1</v>
      </c>
      <c r="D251" t="s">
        <v>638</v>
      </c>
      <c r="E251" t="s">
        <v>20</v>
      </c>
      <c r="F251" t="s">
        <v>21</v>
      </c>
      <c r="G251">
        <v>5</v>
      </c>
      <c r="H251">
        <v>1.6094379124341003</v>
      </c>
      <c r="I251" t="s">
        <v>3536</v>
      </c>
    </row>
    <row r="252" spans="1:9" x14ac:dyDescent="0.25">
      <c r="A252" t="s">
        <v>639</v>
      </c>
      <c r="B252">
        <v>5</v>
      </c>
      <c r="C252">
        <v>0.71</v>
      </c>
      <c r="D252" t="s">
        <v>641</v>
      </c>
      <c r="E252" t="s">
        <v>187</v>
      </c>
      <c r="F252" t="s">
        <v>50</v>
      </c>
      <c r="G252">
        <v>7.042253521126761</v>
      </c>
      <c r="H252">
        <v>1.9519282213808764</v>
      </c>
      <c r="I252" t="s">
        <v>3536</v>
      </c>
    </row>
    <row r="253" spans="1:9" x14ac:dyDescent="0.25">
      <c r="A253" t="s">
        <v>642</v>
      </c>
      <c r="B253">
        <v>5</v>
      </c>
      <c r="C253">
        <v>0.56999999999999995</v>
      </c>
      <c r="D253" t="s">
        <v>643</v>
      </c>
      <c r="E253" t="s">
        <v>10</v>
      </c>
      <c r="F253" t="s">
        <v>11</v>
      </c>
      <c r="G253">
        <v>8.7719298245614041</v>
      </c>
      <c r="H253">
        <v>2.1715568305876416</v>
      </c>
      <c r="I253" t="s">
        <v>3536</v>
      </c>
    </row>
    <row r="254" spans="1:9" x14ac:dyDescent="0.25">
      <c r="A254" t="s">
        <v>644</v>
      </c>
      <c r="B254">
        <v>5</v>
      </c>
      <c r="C254">
        <v>0.2</v>
      </c>
      <c r="E254" t="s">
        <v>10</v>
      </c>
      <c r="F254" t="s">
        <v>11</v>
      </c>
      <c r="G254">
        <v>25</v>
      </c>
      <c r="H254">
        <v>3.2188758248682006</v>
      </c>
      <c r="I254" t="s">
        <v>3536</v>
      </c>
    </row>
    <row r="255" spans="1:9" x14ac:dyDescent="0.25">
      <c r="A255" t="s">
        <v>646</v>
      </c>
      <c r="B255">
        <v>5</v>
      </c>
      <c r="C255">
        <v>0.42799999999999999</v>
      </c>
      <c r="D255" t="s">
        <v>148</v>
      </c>
      <c r="E255" t="s">
        <v>648</v>
      </c>
      <c r="F255" t="s">
        <v>50</v>
      </c>
      <c r="G255">
        <v>11.682242990654206</v>
      </c>
      <c r="H255">
        <v>2.4580699958344407</v>
      </c>
      <c r="I255" t="s">
        <v>3536</v>
      </c>
    </row>
    <row r="256" spans="1:9" x14ac:dyDescent="0.25">
      <c r="A256" t="s">
        <v>649</v>
      </c>
      <c r="B256">
        <v>5</v>
      </c>
      <c r="C256">
        <v>0.45700000000000002</v>
      </c>
      <c r="D256" t="s">
        <v>651</v>
      </c>
      <c r="E256" t="s">
        <v>652</v>
      </c>
      <c r="F256" t="s">
        <v>50</v>
      </c>
      <c r="G256">
        <v>10.940919037199125</v>
      </c>
      <c r="H256">
        <v>2.3925098005220327</v>
      </c>
      <c r="I256" t="s">
        <v>3536</v>
      </c>
    </row>
    <row r="257" spans="1:9" x14ac:dyDescent="0.25">
      <c r="A257" t="s">
        <v>653</v>
      </c>
      <c r="B257">
        <v>5</v>
      </c>
      <c r="C257">
        <v>0.74</v>
      </c>
      <c r="D257" t="s">
        <v>655</v>
      </c>
      <c r="E257" t="s">
        <v>10</v>
      </c>
      <c r="F257" t="s">
        <v>11</v>
      </c>
      <c r="G257">
        <v>6.756756756756757</v>
      </c>
      <c r="H257">
        <v>1.9105430052180221</v>
      </c>
      <c r="I257" t="s">
        <v>3536</v>
      </c>
    </row>
    <row r="258" spans="1:9" x14ac:dyDescent="0.25">
      <c r="A258" t="s">
        <v>656</v>
      </c>
      <c r="B258">
        <v>5</v>
      </c>
      <c r="C258">
        <v>0.48199999999999998</v>
      </c>
      <c r="D258" t="s">
        <v>657</v>
      </c>
      <c r="E258" t="s">
        <v>10</v>
      </c>
      <c r="F258" t="s">
        <v>11</v>
      </c>
      <c r="G258">
        <v>10.37344398340249</v>
      </c>
      <c r="H258">
        <v>2.3392490773656371</v>
      </c>
      <c r="I258" t="s">
        <v>3536</v>
      </c>
    </row>
    <row r="259" spans="1:9" x14ac:dyDescent="0.25">
      <c r="A259" t="s">
        <v>658</v>
      </c>
      <c r="B259">
        <v>5</v>
      </c>
      <c r="C259">
        <v>6.2E-2</v>
      </c>
      <c r="D259" t="s">
        <v>660</v>
      </c>
      <c r="E259" t="s">
        <v>49</v>
      </c>
      <c r="F259" t="s">
        <v>50</v>
      </c>
      <c r="G259">
        <v>80.645161290322577</v>
      </c>
      <c r="H259">
        <v>4.3900588063711456</v>
      </c>
      <c r="I259" t="s">
        <v>3536</v>
      </c>
    </row>
    <row r="260" spans="1:9" x14ac:dyDescent="0.25">
      <c r="A260" t="s">
        <v>661</v>
      </c>
      <c r="B260">
        <v>5</v>
      </c>
      <c r="C260">
        <v>0.28599999999999998</v>
      </c>
      <c r="D260" t="s">
        <v>169</v>
      </c>
      <c r="E260" t="s">
        <v>49</v>
      </c>
      <c r="F260" t="s">
        <v>50</v>
      </c>
      <c r="G260">
        <v>17.482517482517483</v>
      </c>
      <c r="H260">
        <v>2.861201380596385</v>
      </c>
      <c r="I260" t="s">
        <v>3536</v>
      </c>
    </row>
    <row r="261" spans="1:9" x14ac:dyDescent="0.25">
      <c r="A261" t="s">
        <v>663</v>
      </c>
      <c r="B261">
        <v>5</v>
      </c>
      <c r="C261">
        <v>1</v>
      </c>
      <c r="D261" t="s">
        <v>664</v>
      </c>
      <c r="E261" t="s">
        <v>170</v>
      </c>
      <c r="F261" t="s">
        <v>50</v>
      </c>
      <c r="G261">
        <v>5</v>
      </c>
      <c r="H261">
        <v>1.6094379124341003</v>
      </c>
      <c r="I261" t="s">
        <v>3536</v>
      </c>
    </row>
    <row r="262" spans="1:9" x14ac:dyDescent="0.25">
      <c r="A262" t="s">
        <v>665</v>
      </c>
      <c r="B262">
        <v>5</v>
      </c>
      <c r="C262">
        <v>0.59899999999999998</v>
      </c>
      <c r="D262" t="s">
        <v>667</v>
      </c>
      <c r="E262" t="s">
        <v>10</v>
      </c>
      <c r="F262" t="s">
        <v>11</v>
      </c>
      <c r="G262">
        <v>8.3472454090150254</v>
      </c>
      <c r="H262">
        <v>2.1219315933007881</v>
      </c>
      <c r="I262" t="s">
        <v>3536</v>
      </c>
    </row>
    <row r="263" spans="1:9" x14ac:dyDescent="0.25">
      <c r="A263" t="s">
        <v>668</v>
      </c>
      <c r="B263">
        <v>5</v>
      </c>
      <c r="C263">
        <v>1</v>
      </c>
      <c r="D263" t="s">
        <v>669</v>
      </c>
      <c r="E263" t="s">
        <v>187</v>
      </c>
      <c r="F263" t="s">
        <v>50</v>
      </c>
      <c r="G263">
        <v>5</v>
      </c>
      <c r="H263">
        <v>1.6094379124341003</v>
      </c>
      <c r="I263" t="s">
        <v>3536</v>
      </c>
    </row>
    <row r="264" spans="1:9" x14ac:dyDescent="0.25">
      <c r="A264" t="s">
        <v>670</v>
      </c>
      <c r="B264">
        <v>5</v>
      </c>
      <c r="C264">
        <v>0.59199999999999997</v>
      </c>
      <c r="D264" t="s">
        <v>672</v>
      </c>
      <c r="E264" t="s">
        <v>554</v>
      </c>
      <c r="F264" t="s">
        <v>526</v>
      </c>
      <c r="G264">
        <v>8.4459459459459456</v>
      </c>
      <c r="H264">
        <v>2.1336865565322318</v>
      </c>
      <c r="I264" t="s">
        <v>3536</v>
      </c>
    </row>
    <row r="265" spans="1:9" x14ac:dyDescent="0.25">
      <c r="A265" t="s">
        <v>673</v>
      </c>
      <c r="B265">
        <v>5</v>
      </c>
      <c r="C265">
        <v>1</v>
      </c>
      <c r="D265" t="s">
        <v>674</v>
      </c>
      <c r="E265" t="s">
        <v>49</v>
      </c>
      <c r="F265" t="s">
        <v>50</v>
      </c>
      <c r="G265">
        <v>5</v>
      </c>
      <c r="H265">
        <v>1.6094379124341003</v>
      </c>
      <c r="I265" t="s">
        <v>3536</v>
      </c>
    </row>
    <row r="266" spans="1:9" x14ac:dyDescent="0.25">
      <c r="A266" t="s">
        <v>675</v>
      </c>
      <c r="B266">
        <v>5</v>
      </c>
      <c r="C266">
        <v>1</v>
      </c>
      <c r="D266" t="s">
        <v>676</v>
      </c>
      <c r="E266" t="s">
        <v>10</v>
      </c>
      <c r="F266" t="s">
        <v>11</v>
      </c>
      <c r="G266">
        <v>5</v>
      </c>
      <c r="H266">
        <v>1.6094379124341003</v>
      </c>
      <c r="I266" t="s">
        <v>3536</v>
      </c>
    </row>
    <row r="267" spans="1:9" x14ac:dyDescent="0.25">
      <c r="A267" t="s">
        <v>677</v>
      </c>
      <c r="B267">
        <v>5</v>
      </c>
      <c r="C267">
        <v>0.64700000000000002</v>
      </c>
      <c r="D267" t="s">
        <v>679</v>
      </c>
      <c r="E267" t="s">
        <v>10</v>
      </c>
      <c r="F267" t="s">
        <v>11</v>
      </c>
      <c r="G267">
        <v>7.727975270479134</v>
      </c>
      <c r="H267">
        <v>2.0448468969153368</v>
      </c>
      <c r="I267" t="s">
        <v>3536</v>
      </c>
    </row>
    <row r="268" spans="1:9" x14ac:dyDescent="0.25">
      <c r="A268" t="s">
        <v>680</v>
      </c>
      <c r="B268">
        <v>5</v>
      </c>
      <c r="C268">
        <v>1</v>
      </c>
      <c r="D268" t="s">
        <v>576</v>
      </c>
      <c r="E268" t="s">
        <v>20</v>
      </c>
      <c r="F268" t="s">
        <v>21</v>
      </c>
      <c r="G268">
        <v>5</v>
      </c>
      <c r="H268">
        <v>1.6094379124341003</v>
      </c>
      <c r="I268" t="s">
        <v>3536</v>
      </c>
    </row>
    <row r="269" spans="1:9" x14ac:dyDescent="0.25">
      <c r="A269" t="s">
        <v>681</v>
      </c>
      <c r="B269">
        <v>5</v>
      </c>
      <c r="C269">
        <v>0.39500000000000002</v>
      </c>
      <c r="D269" t="s">
        <v>292</v>
      </c>
      <c r="E269" t="s">
        <v>10</v>
      </c>
      <c r="F269" t="s">
        <v>11</v>
      </c>
      <c r="G269">
        <v>12.658227848101266</v>
      </c>
      <c r="H269">
        <v>2.5383074265151158</v>
      </c>
      <c r="I269" t="s">
        <v>3536</v>
      </c>
    </row>
    <row r="270" spans="1:9" x14ac:dyDescent="0.25">
      <c r="A270" t="s">
        <v>683</v>
      </c>
      <c r="B270">
        <v>5</v>
      </c>
      <c r="C270">
        <v>0.60399999999999998</v>
      </c>
      <c r="D270" t="s">
        <v>685</v>
      </c>
      <c r="E270" t="s">
        <v>242</v>
      </c>
      <c r="F270" t="s">
        <v>21</v>
      </c>
      <c r="G270">
        <v>8.2781456953642394</v>
      </c>
      <c r="H270">
        <v>2.1136189934814227</v>
      </c>
      <c r="I270" t="s">
        <v>3536</v>
      </c>
    </row>
    <row r="271" spans="1:9" x14ac:dyDescent="0.25">
      <c r="A271" t="s">
        <v>686</v>
      </c>
      <c r="B271">
        <v>5</v>
      </c>
      <c r="C271">
        <v>2</v>
      </c>
      <c r="D271" t="s">
        <v>687</v>
      </c>
      <c r="E271" t="s">
        <v>10</v>
      </c>
      <c r="F271" t="s">
        <v>11</v>
      </c>
      <c r="G271">
        <v>2.5</v>
      </c>
      <c r="H271">
        <v>0.91629073187415511</v>
      </c>
      <c r="I271" t="s">
        <v>3536</v>
      </c>
    </row>
    <row r="272" spans="1:9" x14ac:dyDescent="0.25">
      <c r="A272" t="s">
        <v>688</v>
      </c>
      <c r="B272">
        <v>5</v>
      </c>
      <c r="C272">
        <v>1</v>
      </c>
      <c r="D272" t="s">
        <v>689</v>
      </c>
      <c r="E272" t="s">
        <v>10</v>
      </c>
      <c r="F272" t="s">
        <v>11</v>
      </c>
      <c r="G272">
        <v>5</v>
      </c>
      <c r="H272">
        <v>1.6094379124341003</v>
      </c>
      <c r="I272" t="s">
        <v>3536</v>
      </c>
    </row>
    <row r="273" spans="1:9" x14ac:dyDescent="0.25">
      <c r="A273" t="s">
        <v>690</v>
      </c>
      <c r="B273">
        <v>5</v>
      </c>
      <c r="C273">
        <v>0.48099999999999998</v>
      </c>
      <c r="D273" t="s">
        <v>692</v>
      </c>
      <c r="E273" t="s">
        <v>10</v>
      </c>
      <c r="F273" t="s">
        <v>11</v>
      </c>
      <c r="G273">
        <v>10.395010395010395</v>
      </c>
      <c r="H273">
        <v>2.3413259213104762</v>
      </c>
      <c r="I273" t="s">
        <v>3536</v>
      </c>
    </row>
    <row r="274" spans="1:9" x14ac:dyDescent="0.25">
      <c r="A274" t="s">
        <v>693</v>
      </c>
      <c r="B274">
        <v>5</v>
      </c>
      <c r="C274">
        <v>0.33700000000000002</v>
      </c>
      <c r="D274" t="s">
        <v>225</v>
      </c>
      <c r="E274" t="s">
        <v>10</v>
      </c>
      <c r="F274" t="s">
        <v>11</v>
      </c>
      <c r="G274">
        <v>14.836795252225519</v>
      </c>
      <c r="H274">
        <v>2.6971102610638757</v>
      </c>
      <c r="I274" t="s">
        <v>3536</v>
      </c>
    </row>
    <row r="275" spans="1:9" x14ac:dyDescent="0.25">
      <c r="A275" t="s">
        <v>695</v>
      </c>
      <c r="B275">
        <v>5</v>
      </c>
      <c r="C275">
        <v>0.55200000000000005</v>
      </c>
      <c r="D275" t="s">
        <v>696</v>
      </c>
      <c r="E275" t="s">
        <v>10</v>
      </c>
      <c r="F275" t="s">
        <v>11</v>
      </c>
      <c r="G275">
        <v>9.0579710144927521</v>
      </c>
      <c r="H275">
        <v>2.2036451451391419</v>
      </c>
      <c r="I275" t="s">
        <v>3536</v>
      </c>
    </row>
    <row r="276" spans="1:9" x14ac:dyDescent="0.25">
      <c r="A276" t="s">
        <v>697</v>
      </c>
      <c r="B276">
        <v>5</v>
      </c>
      <c r="C276">
        <v>0.47499999999999998</v>
      </c>
      <c r="D276" t="s">
        <v>698</v>
      </c>
      <c r="E276" t="s">
        <v>10</v>
      </c>
      <c r="F276" t="s">
        <v>11</v>
      </c>
      <c r="G276">
        <v>10.526315789473685</v>
      </c>
      <c r="H276">
        <v>2.3538783873815965</v>
      </c>
      <c r="I276" t="s">
        <v>3536</v>
      </c>
    </row>
    <row r="277" spans="1:9" x14ac:dyDescent="0.25">
      <c r="A277" t="s">
        <v>699</v>
      </c>
      <c r="B277">
        <v>5</v>
      </c>
      <c r="C277">
        <v>0</v>
      </c>
      <c r="D277" t="s">
        <v>700</v>
      </c>
      <c r="E277" t="s">
        <v>20</v>
      </c>
      <c r="F277" t="s">
        <v>21</v>
      </c>
      <c r="G277" t="s">
        <v>3535</v>
      </c>
      <c r="H277" t="s">
        <v>3535</v>
      </c>
      <c r="I277" t="s">
        <v>3537</v>
      </c>
    </row>
    <row r="278" spans="1:9" x14ac:dyDescent="0.25">
      <c r="A278" t="s">
        <v>701</v>
      </c>
      <c r="B278">
        <v>4</v>
      </c>
      <c r="C278">
        <v>0.48</v>
      </c>
      <c r="D278" t="s">
        <v>703</v>
      </c>
      <c r="E278" t="s">
        <v>10</v>
      </c>
      <c r="F278" t="s">
        <v>11</v>
      </c>
      <c r="G278">
        <v>8.3333333333333339</v>
      </c>
      <c r="H278">
        <v>2.120263536200091</v>
      </c>
      <c r="I278" t="s">
        <v>3536</v>
      </c>
    </row>
    <row r="279" spans="1:9" x14ac:dyDescent="0.25">
      <c r="A279" t="s">
        <v>704</v>
      </c>
      <c r="B279">
        <v>4</v>
      </c>
      <c r="C279">
        <v>0.752</v>
      </c>
      <c r="D279" t="s">
        <v>705</v>
      </c>
      <c r="E279" t="s">
        <v>187</v>
      </c>
      <c r="F279" t="s">
        <v>50</v>
      </c>
      <c r="G279">
        <v>5.3191489361702127</v>
      </c>
      <c r="H279">
        <v>1.6713133161521878</v>
      </c>
      <c r="I279" t="s">
        <v>3536</v>
      </c>
    </row>
    <row r="280" spans="1:9" x14ac:dyDescent="0.25">
      <c r="A280" t="s">
        <v>706</v>
      </c>
      <c r="B280">
        <v>4</v>
      </c>
      <c r="C280">
        <v>2</v>
      </c>
      <c r="D280" t="s">
        <v>707</v>
      </c>
      <c r="E280" t="s">
        <v>20</v>
      </c>
      <c r="F280" t="s">
        <v>21</v>
      </c>
      <c r="G280">
        <v>2</v>
      </c>
      <c r="H280">
        <v>0.69314718055994529</v>
      </c>
      <c r="I280" t="s">
        <v>3536</v>
      </c>
    </row>
    <row r="281" spans="1:9" x14ac:dyDescent="0.25">
      <c r="A281" t="s">
        <v>708</v>
      </c>
      <c r="B281">
        <v>4</v>
      </c>
      <c r="C281">
        <v>3.6999999999999998E-2</v>
      </c>
      <c r="D281" t="s">
        <v>710</v>
      </c>
      <c r="E281" t="s">
        <v>20</v>
      </c>
      <c r="F281" t="s">
        <v>21</v>
      </c>
      <c r="G281">
        <v>108.10810810810811</v>
      </c>
      <c r="H281">
        <v>4.6831317274578037</v>
      </c>
      <c r="I281" t="s">
        <v>3536</v>
      </c>
    </row>
    <row r="282" spans="1:9" x14ac:dyDescent="0.25">
      <c r="A282" t="s">
        <v>711</v>
      </c>
      <c r="B282">
        <v>4</v>
      </c>
      <c r="C282">
        <v>0.48899999999999999</v>
      </c>
      <c r="D282" t="s">
        <v>713</v>
      </c>
      <c r="E282" t="s">
        <v>10</v>
      </c>
      <c r="F282" t="s">
        <v>11</v>
      </c>
      <c r="G282">
        <v>8.1799591002044991</v>
      </c>
      <c r="H282">
        <v>2.1016871506271557</v>
      </c>
      <c r="I282" t="s">
        <v>3536</v>
      </c>
    </row>
    <row r="283" spans="1:9" x14ac:dyDescent="0.25">
      <c r="A283" t="s">
        <v>714</v>
      </c>
      <c r="B283">
        <v>4</v>
      </c>
      <c r="C283">
        <v>0.64300000000000002</v>
      </c>
      <c r="D283" t="s">
        <v>389</v>
      </c>
      <c r="E283" t="s">
        <v>10</v>
      </c>
      <c r="F283" t="s">
        <v>11</v>
      </c>
      <c r="G283">
        <v>6.2208398133748055</v>
      </c>
      <c r="H283">
        <v>1.8279049158644083</v>
      </c>
      <c r="I283" t="s">
        <v>3536</v>
      </c>
    </row>
    <row r="284" spans="1:9" x14ac:dyDescent="0.25">
      <c r="A284" t="s">
        <v>716</v>
      </c>
      <c r="B284">
        <v>4</v>
      </c>
      <c r="C284">
        <v>0.82199999999999995</v>
      </c>
      <c r="D284" t="s">
        <v>221</v>
      </c>
      <c r="E284" t="s">
        <v>10</v>
      </c>
      <c r="F284" t="s">
        <v>11</v>
      </c>
      <c r="G284">
        <v>4.8661800486618008</v>
      </c>
      <c r="H284">
        <v>1.5823092450458478</v>
      </c>
      <c r="I284" t="s">
        <v>3536</v>
      </c>
    </row>
    <row r="285" spans="1:9" x14ac:dyDescent="0.25">
      <c r="A285" t="s">
        <v>718</v>
      </c>
      <c r="B285">
        <v>4</v>
      </c>
      <c r="C285">
        <v>0.35</v>
      </c>
      <c r="D285" t="s">
        <v>719</v>
      </c>
      <c r="E285" t="s">
        <v>10</v>
      </c>
      <c r="F285" t="s">
        <v>11</v>
      </c>
      <c r="G285">
        <v>11.428571428571429</v>
      </c>
      <c r="H285">
        <v>2.4361164856185682</v>
      </c>
      <c r="I285" t="s">
        <v>3536</v>
      </c>
    </row>
    <row r="286" spans="1:9" x14ac:dyDescent="0.25">
      <c r="A286" t="s">
        <v>720</v>
      </c>
      <c r="B286">
        <v>4</v>
      </c>
      <c r="C286">
        <v>0.80200000000000005</v>
      </c>
      <c r="D286" t="s">
        <v>722</v>
      </c>
      <c r="E286" t="s">
        <v>10</v>
      </c>
      <c r="F286" t="s">
        <v>11</v>
      </c>
      <c r="G286">
        <v>4.9875311720698248</v>
      </c>
      <c r="H286">
        <v>1.6069410322355131</v>
      </c>
      <c r="I286" t="s">
        <v>3536</v>
      </c>
    </row>
    <row r="287" spans="1:9" x14ac:dyDescent="0.25">
      <c r="A287" t="s">
        <v>723</v>
      </c>
      <c r="B287">
        <v>4</v>
      </c>
      <c r="C287">
        <v>0.73899999999999999</v>
      </c>
      <c r="D287" t="s">
        <v>339</v>
      </c>
      <c r="E287" t="s">
        <v>187</v>
      </c>
      <c r="F287" t="s">
        <v>50</v>
      </c>
      <c r="G287">
        <v>5.4127198917456019</v>
      </c>
      <c r="H287">
        <v>1.6887517191538259</v>
      </c>
      <c r="I287" t="s">
        <v>3536</v>
      </c>
    </row>
    <row r="288" spans="1:9" x14ac:dyDescent="0.25">
      <c r="A288" t="s">
        <v>725</v>
      </c>
      <c r="B288">
        <v>4</v>
      </c>
      <c r="C288">
        <v>0.498</v>
      </c>
      <c r="D288" t="s">
        <v>727</v>
      </c>
      <c r="E288" t="s">
        <v>10</v>
      </c>
      <c r="F288" t="s">
        <v>11</v>
      </c>
      <c r="G288">
        <v>8.0321285140562253</v>
      </c>
      <c r="H288">
        <v>2.0834495630773748</v>
      </c>
      <c r="I288" t="s">
        <v>3536</v>
      </c>
    </row>
    <row r="289" spans="1:9" x14ac:dyDescent="0.25">
      <c r="A289" t="s">
        <v>728</v>
      </c>
      <c r="B289">
        <v>4</v>
      </c>
      <c r="C289">
        <v>0.70699999999999996</v>
      </c>
      <c r="D289" t="s">
        <v>302</v>
      </c>
      <c r="E289" t="s">
        <v>10</v>
      </c>
      <c r="F289" t="s">
        <v>11</v>
      </c>
      <c r="G289">
        <v>5.6577086280056577</v>
      </c>
      <c r="H289">
        <v>1.7330189742054549</v>
      </c>
      <c r="I289" t="s">
        <v>3536</v>
      </c>
    </row>
    <row r="290" spans="1:9" x14ac:dyDescent="0.25">
      <c r="A290" t="s">
        <v>730</v>
      </c>
      <c r="B290">
        <v>4</v>
      </c>
      <c r="C290">
        <v>2</v>
      </c>
      <c r="D290" t="s">
        <v>731</v>
      </c>
      <c r="E290" t="s">
        <v>20</v>
      </c>
      <c r="F290" t="s">
        <v>21</v>
      </c>
      <c r="G290">
        <v>2</v>
      </c>
      <c r="H290">
        <v>0.69314718055994529</v>
      </c>
      <c r="I290" t="s">
        <v>3536</v>
      </c>
    </row>
    <row r="291" spans="1:9" x14ac:dyDescent="0.25">
      <c r="A291" t="s">
        <v>732</v>
      </c>
      <c r="B291">
        <v>4</v>
      </c>
      <c r="C291">
        <v>7.0000000000000001E-3</v>
      </c>
      <c r="D291" t="s">
        <v>177</v>
      </c>
      <c r="E291" t="s">
        <v>10</v>
      </c>
      <c r="F291" t="s">
        <v>11</v>
      </c>
      <c r="G291">
        <v>571.42857142857144</v>
      </c>
      <c r="H291">
        <v>6.3481394910467142</v>
      </c>
      <c r="I291" t="s">
        <v>3536</v>
      </c>
    </row>
    <row r="292" spans="1:9" x14ac:dyDescent="0.25">
      <c r="A292" t="s">
        <v>734</v>
      </c>
      <c r="B292">
        <v>4</v>
      </c>
      <c r="C292">
        <v>0.70199999999999996</v>
      </c>
      <c r="E292" t="s">
        <v>384</v>
      </c>
      <c r="F292" t="s">
        <v>21</v>
      </c>
      <c r="G292">
        <v>5.6980056980056988</v>
      </c>
      <c r="H292">
        <v>1.7401162360762168</v>
      </c>
      <c r="I292" t="s">
        <v>3536</v>
      </c>
    </row>
    <row r="293" spans="1:9" x14ac:dyDescent="0.25">
      <c r="A293" t="s">
        <v>736</v>
      </c>
      <c r="B293">
        <v>4</v>
      </c>
      <c r="C293">
        <v>1</v>
      </c>
      <c r="D293" t="s">
        <v>737</v>
      </c>
      <c r="E293" t="s">
        <v>294</v>
      </c>
      <c r="F293" t="s">
        <v>21</v>
      </c>
      <c r="G293">
        <v>4</v>
      </c>
      <c r="H293">
        <v>1.3862943611198906</v>
      </c>
      <c r="I293" t="s">
        <v>3536</v>
      </c>
    </row>
    <row r="294" spans="1:9" x14ac:dyDescent="0.25">
      <c r="A294" t="s">
        <v>738</v>
      </c>
      <c r="B294">
        <v>4</v>
      </c>
      <c r="C294">
        <v>0.35</v>
      </c>
      <c r="D294" t="s">
        <v>739</v>
      </c>
      <c r="E294" t="s">
        <v>10</v>
      </c>
      <c r="F294" t="s">
        <v>11</v>
      </c>
      <c r="G294">
        <v>11.428571428571429</v>
      </c>
      <c r="H294">
        <v>2.4361164856185682</v>
      </c>
      <c r="I294" t="s">
        <v>3536</v>
      </c>
    </row>
    <row r="295" spans="1:9" x14ac:dyDescent="0.25">
      <c r="A295" t="s">
        <v>740</v>
      </c>
      <c r="B295">
        <v>4</v>
      </c>
      <c r="C295">
        <v>0.66400000000000003</v>
      </c>
      <c r="D295" t="s">
        <v>741</v>
      </c>
      <c r="E295" t="s">
        <v>10</v>
      </c>
      <c r="F295" t="s">
        <v>11</v>
      </c>
      <c r="G295">
        <v>6.0240963855421681</v>
      </c>
      <c r="H295">
        <v>1.7957674906255938</v>
      </c>
      <c r="I295" t="s">
        <v>3536</v>
      </c>
    </row>
    <row r="296" spans="1:9" x14ac:dyDescent="0.25">
      <c r="A296" t="s">
        <v>742</v>
      </c>
      <c r="B296">
        <v>4</v>
      </c>
      <c r="C296">
        <v>1</v>
      </c>
      <c r="D296" t="s">
        <v>97</v>
      </c>
      <c r="E296" t="s">
        <v>10</v>
      </c>
      <c r="F296" t="s">
        <v>11</v>
      </c>
      <c r="G296">
        <v>4</v>
      </c>
      <c r="H296">
        <v>1.3862943611198906</v>
      </c>
      <c r="I296" t="s">
        <v>3536</v>
      </c>
    </row>
    <row r="297" spans="1:9" x14ac:dyDescent="0.25">
      <c r="A297" t="s">
        <v>743</v>
      </c>
      <c r="B297">
        <v>4</v>
      </c>
      <c r="C297">
        <v>0.48699999999999999</v>
      </c>
      <c r="D297" t="s">
        <v>722</v>
      </c>
      <c r="E297" t="s">
        <v>10</v>
      </c>
      <c r="F297" t="s">
        <v>11</v>
      </c>
      <c r="G297">
        <v>8.2135523613963048</v>
      </c>
      <c r="H297">
        <v>2.1057855170194379</v>
      </c>
      <c r="I297" t="s">
        <v>3536</v>
      </c>
    </row>
    <row r="298" spans="1:9" x14ac:dyDescent="0.25">
      <c r="A298" t="s">
        <v>744</v>
      </c>
      <c r="B298">
        <v>4</v>
      </c>
      <c r="C298">
        <v>0.441</v>
      </c>
      <c r="D298" t="s">
        <v>746</v>
      </c>
      <c r="E298" t="s">
        <v>187</v>
      </c>
      <c r="F298" t="s">
        <v>50</v>
      </c>
      <c r="G298">
        <v>9.0702947845804989</v>
      </c>
      <c r="H298">
        <v>2.2050047646551816</v>
      </c>
      <c r="I298" t="s">
        <v>3536</v>
      </c>
    </row>
    <row r="299" spans="1:9" x14ac:dyDescent="0.25">
      <c r="A299" t="s">
        <v>747</v>
      </c>
      <c r="B299">
        <v>4</v>
      </c>
      <c r="C299">
        <v>0.503</v>
      </c>
      <c r="D299" t="s">
        <v>389</v>
      </c>
      <c r="E299" t="s">
        <v>10</v>
      </c>
      <c r="F299" t="s">
        <v>11</v>
      </c>
      <c r="G299">
        <v>7.9522862823061633</v>
      </c>
      <c r="H299">
        <v>2.0734594700022884</v>
      </c>
      <c r="I299" t="s">
        <v>3536</v>
      </c>
    </row>
    <row r="300" spans="1:9" x14ac:dyDescent="0.25">
      <c r="A300" t="s">
        <v>748</v>
      </c>
      <c r="B300">
        <v>4</v>
      </c>
      <c r="C300">
        <v>0.89900000000000002</v>
      </c>
      <c r="D300" t="s">
        <v>750</v>
      </c>
      <c r="E300" t="s">
        <v>20</v>
      </c>
      <c r="F300" t="s">
        <v>21</v>
      </c>
      <c r="G300">
        <v>4.4493882091212456</v>
      </c>
      <c r="H300">
        <v>1.4927666056304074</v>
      </c>
      <c r="I300" t="s">
        <v>3536</v>
      </c>
    </row>
    <row r="301" spans="1:9" x14ac:dyDescent="0.25">
      <c r="A301" t="s">
        <v>751</v>
      </c>
      <c r="B301">
        <v>4</v>
      </c>
      <c r="C301">
        <v>0</v>
      </c>
      <c r="D301" t="s">
        <v>752</v>
      </c>
      <c r="E301" t="s">
        <v>365</v>
      </c>
      <c r="F301" t="s">
        <v>11</v>
      </c>
      <c r="G301" t="s">
        <v>3535</v>
      </c>
      <c r="H301" t="s">
        <v>3535</v>
      </c>
      <c r="I301" t="s">
        <v>3537</v>
      </c>
    </row>
    <row r="302" spans="1:9" x14ac:dyDescent="0.25">
      <c r="A302" t="s">
        <v>753</v>
      </c>
      <c r="B302">
        <v>4</v>
      </c>
      <c r="C302">
        <v>0.55400000000000005</v>
      </c>
      <c r="D302" t="s">
        <v>755</v>
      </c>
      <c r="E302" t="s">
        <v>756</v>
      </c>
      <c r="F302" t="s">
        <v>50</v>
      </c>
      <c r="G302">
        <v>7.2202166064981945</v>
      </c>
      <c r="H302">
        <v>1.9768849533547439</v>
      </c>
      <c r="I302" t="s">
        <v>3536</v>
      </c>
    </row>
    <row r="303" spans="1:9" x14ac:dyDescent="0.25">
      <c r="A303" t="s">
        <v>757</v>
      </c>
      <c r="B303">
        <v>4</v>
      </c>
      <c r="C303">
        <v>1</v>
      </c>
      <c r="D303" t="s">
        <v>758</v>
      </c>
      <c r="E303" t="s">
        <v>10</v>
      </c>
      <c r="F303" t="s">
        <v>11</v>
      </c>
      <c r="G303">
        <v>4</v>
      </c>
      <c r="H303">
        <v>1.3862943611198906</v>
      </c>
      <c r="I303" t="s">
        <v>3536</v>
      </c>
    </row>
    <row r="304" spans="1:9" x14ac:dyDescent="0.25">
      <c r="A304" t="s">
        <v>759</v>
      </c>
      <c r="B304">
        <v>4</v>
      </c>
      <c r="C304">
        <v>0.17</v>
      </c>
      <c r="D304" t="s">
        <v>760</v>
      </c>
      <c r="E304" t="s">
        <v>10</v>
      </c>
      <c r="F304" t="s">
        <v>11</v>
      </c>
      <c r="G304">
        <v>23.52941176470588</v>
      </c>
      <c r="H304">
        <v>3.158251203051766</v>
      </c>
      <c r="I304" t="s">
        <v>3536</v>
      </c>
    </row>
    <row r="305" spans="1:9" x14ac:dyDescent="0.25">
      <c r="A305" t="s">
        <v>761</v>
      </c>
      <c r="B305">
        <v>4</v>
      </c>
      <c r="C305">
        <v>0.98899999999999999</v>
      </c>
      <c r="D305" t="s">
        <v>500</v>
      </c>
      <c r="E305" t="s">
        <v>49</v>
      </c>
      <c r="F305" t="s">
        <v>50</v>
      </c>
      <c r="G305">
        <v>4.0444893832153692</v>
      </c>
      <c r="H305">
        <v>1.3973553084793155</v>
      </c>
      <c r="I305" t="s">
        <v>3536</v>
      </c>
    </row>
    <row r="306" spans="1:9" x14ac:dyDescent="0.25">
      <c r="A306" t="s">
        <v>762</v>
      </c>
      <c r="B306">
        <v>4</v>
      </c>
      <c r="C306">
        <v>0.86299999999999999</v>
      </c>
      <c r="D306" t="s">
        <v>254</v>
      </c>
      <c r="E306" t="s">
        <v>10</v>
      </c>
      <c r="F306" t="s">
        <v>11</v>
      </c>
      <c r="G306">
        <v>4.6349942062572422</v>
      </c>
      <c r="H306">
        <v>1.5336349490185996</v>
      </c>
      <c r="I306" t="s">
        <v>3536</v>
      </c>
    </row>
    <row r="307" spans="1:9" x14ac:dyDescent="0.25">
      <c r="A307" t="s">
        <v>763</v>
      </c>
      <c r="B307">
        <v>4</v>
      </c>
      <c r="C307">
        <v>0.61699999999999999</v>
      </c>
      <c r="D307" t="s">
        <v>765</v>
      </c>
      <c r="E307" t="s">
        <v>62</v>
      </c>
      <c r="F307" t="s">
        <v>63</v>
      </c>
      <c r="G307">
        <v>6.4829821717990272</v>
      </c>
      <c r="H307">
        <v>1.8691806161966398</v>
      </c>
      <c r="I307" t="s">
        <v>3536</v>
      </c>
    </row>
    <row r="308" spans="1:9" x14ac:dyDescent="0.25">
      <c r="A308" t="s">
        <v>766</v>
      </c>
      <c r="B308">
        <v>4</v>
      </c>
      <c r="C308">
        <v>0.84499999999999997</v>
      </c>
      <c r="D308" t="s">
        <v>768</v>
      </c>
      <c r="E308" t="s">
        <v>10</v>
      </c>
      <c r="F308" t="s">
        <v>11</v>
      </c>
      <c r="G308">
        <v>4.7337278106508878</v>
      </c>
      <c r="H308">
        <v>1.5547130127448539</v>
      </c>
      <c r="I308" t="s">
        <v>3536</v>
      </c>
    </row>
    <row r="309" spans="1:9" x14ac:dyDescent="0.25">
      <c r="A309" t="s">
        <v>769</v>
      </c>
      <c r="B309">
        <v>4</v>
      </c>
      <c r="C309">
        <v>0.307</v>
      </c>
      <c r="D309" t="s">
        <v>771</v>
      </c>
      <c r="E309" t="s">
        <v>10</v>
      </c>
      <c r="F309" t="s">
        <v>11</v>
      </c>
      <c r="G309">
        <v>13.029315960912053</v>
      </c>
      <c r="H309">
        <v>2.5672018925148308</v>
      </c>
      <c r="I309" t="s">
        <v>3536</v>
      </c>
    </row>
    <row r="310" spans="1:9" x14ac:dyDescent="0.25">
      <c r="A310" t="s">
        <v>772</v>
      </c>
      <c r="B310">
        <v>4</v>
      </c>
      <c r="C310">
        <v>0.497</v>
      </c>
      <c r="D310" t="s">
        <v>773</v>
      </c>
      <c r="E310" t="s">
        <v>10</v>
      </c>
      <c r="F310" t="s">
        <v>11</v>
      </c>
      <c r="G310">
        <v>8.0482897384305829</v>
      </c>
      <c r="H310">
        <v>2.0854596140053987</v>
      </c>
      <c r="I310" t="s">
        <v>3536</v>
      </c>
    </row>
    <row r="311" spans="1:9" x14ac:dyDescent="0.25">
      <c r="A311" t="s">
        <v>774</v>
      </c>
      <c r="B311">
        <v>4</v>
      </c>
      <c r="C311">
        <v>1</v>
      </c>
      <c r="D311" t="s">
        <v>341</v>
      </c>
      <c r="E311" t="s">
        <v>10</v>
      </c>
      <c r="F311" t="s">
        <v>11</v>
      </c>
      <c r="G311">
        <v>4</v>
      </c>
      <c r="H311">
        <v>1.3862943611198906</v>
      </c>
      <c r="I311" t="s">
        <v>3536</v>
      </c>
    </row>
    <row r="312" spans="1:9" x14ac:dyDescent="0.25">
      <c r="A312" t="s">
        <v>775</v>
      </c>
      <c r="B312">
        <v>4</v>
      </c>
      <c r="C312">
        <v>1</v>
      </c>
      <c r="D312" t="s">
        <v>776</v>
      </c>
      <c r="E312" t="s">
        <v>10</v>
      </c>
      <c r="F312" t="s">
        <v>11</v>
      </c>
      <c r="G312">
        <v>4</v>
      </c>
      <c r="H312">
        <v>1.3862943611198906</v>
      </c>
      <c r="I312" t="s">
        <v>3536</v>
      </c>
    </row>
    <row r="313" spans="1:9" x14ac:dyDescent="0.25">
      <c r="A313" t="s">
        <v>777</v>
      </c>
      <c r="B313">
        <v>4</v>
      </c>
      <c r="C313">
        <v>0.66700000000000004</v>
      </c>
      <c r="D313" t="s">
        <v>409</v>
      </c>
      <c r="E313" t="s">
        <v>10</v>
      </c>
      <c r="F313" t="s">
        <v>11</v>
      </c>
      <c r="G313">
        <v>5.9970014992503744</v>
      </c>
      <c r="H313">
        <v>1.7912595941864038</v>
      </c>
      <c r="I313" t="s">
        <v>3536</v>
      </c>
    </row>
    <row r="314" spans="1:9" x14ac:dyDescent="0.25">
      <c r="A314" t="s">
        <v>779</v>
      </c>
      <c r="B314">
        <v>4</v>
      </c>
      <c r="C314">
        <v>0.45</v>
      </c>
      <c r="D314" t="s">
        <v>781</v>
      </c>
      <c r="E314" t="s">
        <v>10</v>
      </c>
      <c r="F314" t="s">
        <v>11</v>
      </c>
      <c r="G314">
        <v>8.8888888888888893</v>
      </c>
      <c r="H314">
        <v>2.1848020573376621</v>
      </c>
      <c r="I314" t="s">
        <v>3536</v>
      </c>
    </row>
    <row r="315" spans="1:9" x14ac:dyDescent="0.25">
      <c r="A315" t="s">
        <v>782</v>
      </c>
      <c r="B315">
        <v>4</v>
      </c>
      <c r="C315">
        <v>0.61399999999999999</v>
      </c>
      <c r="D315" t="s">
        <v>137</v>
      </c>
      <c r="E315" t="s">
        <v>10</v>
      </c>
      <c r="F315" t="s">
        <v>11</v>
      </c>
      <c r="G315">
        <v>6.5146579804560263</v>
      </c>
      <c r="H315">
        <v>1.8740547119548852</v>
      </c>
      <c r="I315" t="s">
        <v>3536</v>
      </c>
    </row>
    <row r="316" spans="1:9" x14ac:dyDescent="0.25">
      <c r="A316" t="s">
        <v>784</v>
      </c>
      <c r="B316">
        <v>4</v>
      </c>
      <c r="C316">
        <v>0.25</v>
      </c>
      <c r="D316" t="s">
        <v>786</v>
      </c>
      <c r="E316" t="s">
        <v>787</v>
      </c>
      <c r="F316" t="s">
        <v>50</v>
      </c>
      <c r="G316">
        <v>16</v>
      </c>
      <c r="H316">
        <v>2.7725887222397811</v>
      </c>
      <c r="I316" t="s">
        <v>3536</v>
      </c>
    </row>
    <row r="317" spans="1:9" x14ac:dyDescent="0.25">
      <c r="A317" t="s">
        <v>788</v>
      </c>
      <c r="B317">
        <v>4</v>
      </c>
      <c r="C317">
        <v>0.11</v>
      </c>
      <c r="D317" t="s">
        <v>790</v>
      </c>
      <c r="E317" t="s">
        <v>10</v>
      </c>
      <c r="F317" t="s">
        <v>11</v>
      </c>
      <c r="G317">
        <v>36.363636363636367</v>
      </c>
      <c r="H317">
        <v>3.5935692743096115</v>
      </c>
      <c r="I317" t="s">
        <v>3536</v>
      </c>
    </row>
    <row r="318" spans="1:9" x14ac:dyDescent="0.25">
      <c r="A318" t="s">
        <v>791</v>
      </c>
      <c r="B318">
        <v>4</v>
      </c>
      <c r="C318">
        <v>0.53500000000000003</v>
      </c>
      <c r="D318" t="s">
        <v>790</v>
      </c>
      <c r="E318" t="s">
        <v>10</v>
      </c>
      <c r="F318" t="s">
        <v>11</v>
      </c>
      <c r="G318">
        <v>7.4766355140186915</v>
      </c>
      <c r="H318">
        <v>2.0117828932060213</v>
      </c>
      <c r="I318" t="s">
        <v>3536</v>
      </c>
    </row>
    <row r="319" spans="1:9" x14ac:dyDescent="0.25">
      <c r="A319" t="s">
        <v>793</v>
      </c>
      <c r="B319">
        <v>4</v>
      </c>
      <c r="C319">
        <v>0.41299999999999998</v>
      </c>
      <c r="D319" t="s">
        <v>66</v>
      </c>
      <c r="E319" t="s">
        <v>10</v>
      </c>
      <c r="F319" t="s">
        <v>11</v>
      </c>
      <c r="G319">
        <v>9.6852300242130749</v>
      </c>
      <c r="H319">
        <v>2.2706020471409949</v>
      </c>
      <c r="I319" t="s">
        <v>3536</v>
      </c>
    </row>
    <row r="320" spans="1:9" x14ac:dyDescent="0.25">
      <c r="A320" t="s">
        <v>795</v>
      </c>
      <c r="B320">
        <v>4</v>
      </c>
      <c r="C320">
        <v>1</v>
      </c>
      <c r="D320" t="s">
        <v>503</v>
      </c>
      <c r="E320" t="s">
        <v>20</v>
      </c>
      <c r="F320" t="s">
        <v>21</v>
      </c>
      <c r="G320">
        <v>4</v>
      </c>
      <c r="H320">
        <v>1.3862943611198906</v>
      </c>
      <c r="I320" t="s">
        <v>3536</v>
      </c>
    </row>
    <row r="321" spans="1:9" x14ac:dyDescent="0.25">
      <c r="A321" t="s">
        <v>796</v>
      </c>
      <c r="B321">
        <v>4</v>
      </c>
      <c r="C321">
        <v>0.52300000000000002</v>
      </c>
      <c r="D321" t="s">
        <v>798</v>
      </c>
      <c r="E321" t="s">
        <v>10</v>
      </c>
      <c r="F321" t="s">
        <v>11</v>
      </c>
      <c r="G321">
        <v>7.6481835564053533</v>
      </c>
      <c r="H321">
        <v>2.0344681760371048</v>
      </c>
      <c r="I321" t="s">
        <v>3536</v>
      </c>
    </row>
    <row r="322" spans="1:9" x14ac:dyDescent="0.25">
      <c r="A322" t="s">
        <v>799</v>
      </c>
      <c r="B322">
        <v>4</v>
      </c>
      <c r="C322">
        <v>1E-3</v>
      </c>
      <c r="E322" t="s">
        <v>10</v>
      </c>
      <c r="F322" t="s">
        <v>11</v>
      </c>
      <c r="G322">
        <v>4000</v>
      </c>
      <c r="H322">
        <v>8.2940496401020276</v>
      </c>
      <c r="I322" t="s">
        <v>3536</v>
      </c>
    </row>
    <row r="323" spans="1:9" x14ac:dyDescent="0.25">
      <c r="A323" t="s">
        <v>801</v>
      </c>
      <c r="B323">
        <v>4</v>
      </c>
      <c r="C323">
        <v>1</v>
      </c>
      <c r="D323" t="s">
        <v>802</v>
      </c>
      <c r="E323" t="s">
        <v>10</v>
      </c>
      <c r="F323" t="s">
        <v>11</v>
      </c>
      <c r="G323">
        <v>4</v>
      </c>
      <c r="H323">
        <v>1.3862943611198906</v>
      </c>
      <c r="I323" t="s">
        <v>3536</v>
      </c>
    </row>
    <row r="324" spans="1:9" x14ac:dyDescent="0.25">
      <c r="A324" t="s">
        <v>803</v>
      </c>
      <c r="B324">
        <v>4</v>
      </c>
      <c r="C324">
        <v>0.33500000000000002</v>
      </c>
      <c r="D324" t="s">
        <v>79</v>
      </c>
      <c r="E324" t="s">
        <v>10</v>
      </c>
      <c r="F324" t="s">
        <v>11</v>
      </c>
      <c r="G324">
        <v>11.940298507462686</v>
      </c>
      <c r="H324">
        <v>2.4799191082769609</v>
      </c>
      <c r="I324" t="s">
        <v>3536</v>
      </c>
    </row>
    <row r="325" spans="1:9" x14ac:dyDescent="0.25">
      <c r="A325" t="s">
        <v>805</v>
      </c>
      <c r="B325">
        <v>4</v>
      </c>
      <c r="C325">
        <v>0.36599999999999999</v>
      </c>
      <c r="D325" t="s">
        <v>469</v>
      </c>
      <c r="E325" t="s">
        <v>10</v>
      </c>
      <c r="F325" t="s">
        <v>11</v>
      </c>
      <c r="G325">
        <v>10.928961748633879</v>
      </c>
      <c r="H325">
        <v>2.3914163067006613</v>
      </c>
      <c r="I325" t="s">
        <v>3536</v>
      </c>
    </row>
    <row r="326" spans="1:9" x14ac:dyDescent="0.25">
      <c r="A326" t="s">
        <v>807</v>
      </c>
      <c r="B326">
        <v>4</v>
      </c>
      <c r="C326">
        <v>0.72499999999999998</v>
      </c>
      <c r="D326" t="s">
        <v>809</v>
      </c>
      <c r="E326" t="s">
        <v>10</v>
      </c>
      <c r="F326" t="s">
        <v>11</v>
      </c>
      <c r="G326">
        <v>5.5172413793103452</v>
      </c>
      <c r="H326">
        <v>1.7078779852473529</v>
      </c>
      <c r="I326" t="s">
        <v>3536</v>
      </c>
    </row>
    <row r="327" spans="1:9" x14ac:dyDescent="0.25">
      <c r="A327" t="s">
        <v>810</v>
      </c>
      <c r="B327">
        <v>4</v>
      </c>
      <c r="C327">
        <v>1</v>
      </c>
      <c r="D327" t="s">
        <v>811</v>
      </c>
      <c r="E327" t="s">
        <v>10</v>
      </c>
      <c r="F327" t="s">
        <v>11</v>
      </c>
      <c r="G327">
        <v>4</v>
      </c>
      <c r="H327">
        <v>1.3862943611198906</v>
      </c>
      <c r="I327" t="s">
        <v>3536</v>
      </c>
    </row>
    <row r="328" spans="1:9" x14ac:dyDescent="0.25">
      <c r="A328" t="s">
        <v>812</v>
      </c>
      <c r="B328">
        <v>4</v>
      </c>
      <c r="C328">
        <v>2</v>
      </c>
      <c r="D328" t="s">
        <v>813</v>
      </c>
      <c r="E328" t="s">
        <v>10</v>
      </c>
      <c r="F328" t="s">
        <v>11</v>
      </c>
      <c r="G328">
        <v>2</v>
      </c>
      <c r="H328">
        <v>0.69314718055994529</v>
      </c>
      <c r="I328" t="s">
        <v>3536</v>
      </c>
    </row>
    <row r="329" spans="1:9" x14ac:dyDescent="0.25">
      <c r="A329" t="s">
        <v>814</v>
      </c>
      <c r="B329">
        <v>4</v>
      </c>
      <c r="C329">
        <v>0.53700000000000003</v>
      </c>
      <c r="D329" t="s">
        <v>816</v>
      </c>
      <c r="E329" t="s">
        <v>49</v>
      </c>
      <c r="F329" t="s">
        <v>50</v>
      </c>
      <c r="G329">
        <v>7.4487895716945989</v>
      </c>
      <c r="H329">
        <v>2.0080515455931627</v>
      </c>
      <c r="I329" t="s">
        <v>3536</v>
      </c>
    </row>
    <row r="330" spans="1:9" x14ac:dyDescent="0.25">
      <c r="A330" t="s">
        <v>817</v>
      </c>
      <c r="B330">
        <v>4</v>
      </c>
      <c r="C330">
        <v>2</v>
      </c>
      <c r="D330" t="s">
        <v>818</v>
      </c>
      <c r="E330" t="s">
        <v>10</v>
      </c>
      <c r="F330" t="s">
        <v>11</v>
      </c>
      <c r="G330">
        <v>2</v>
      </c>
      <c r="H330">
        <v>0.69314718055994529</v>
      </c>
      <c r="I330" t="s">
        <v>3536</v>
      </c>
    </row>
    <row r="331" spans="1:9" x14ac:dyDescent="0.25">
      <c r="A331" t="s">
        <v>819</v>
      </c>
      <c r="B331">
        <v>4</v>
      </c>
      <c r="C331">
        <v>0.33500000000000002</v>
      </c>
      <c r="D331" t="s">
        <v>820</v>
      </c>
      <c r="E331" t="s">
        <v>10</v>
      </c>
      <c r="F331" t="s">
        <v>11</v>
      </c>
      <c r="G331">
        <v>11.940298507462686</v>
      </c>
      <c r="H331">
        <v>2.4799191082769609</v>
      </c>
      <c r="I331" t="s">
        <v>3536</v>
      </c>
    </row>
    <row r="332" spans="1:9" x14ac:dyDescent="0.25">
      <c r="A332" t="s">
        <v>821</v>
      </c>
      <c r="B332">
        <v>4</v>
      </c>
      <c r="C332">
        <v>0.63500000000000001</v>
      </c>
      <c r="D332" t="s">
        <v>156</v>
      </c>
      <c r="E332" t="s">
        <v>10</v>
      </c>
      <c r="F332" t="s">
        <v>11</v>
      </c>
      <c r="G332">
        <v>6.2992125984251963</v>
      </c>
      <c r="H332">
        <v>1.8404246412093359</v>
      </c>
      <c r="I332" t="s">
        <v>3536</v>
      </c>
    </row>
    <row r="333" spans="1:9" x14ac:dyDescent="0.25">
      <c r="A333" t="s">
        <v>822</v>
      </c>
      <c r="B333">
        <v>4</v>
      </c>
      <c r="C333">
        <v>0.35</v>
      </c>
      <c r="D333" t="s">
        <v>823</v>
      </c>
      <c r="E333" t="s">
        <v>10</v>
      </c>
      <c r="F333" t="s">
        <v>11</v>
      </c>
      <c r="G333">
        <v>11.428571428571429</v>
      </c>
      <c r="H333">
        <v>2.4361164856185682</v>
      </c>
      <c r="I333" t="s">
        <v>3536</v>
      </c>
    </row>
    <row r="334" spans="1:9" x14ac:dyDescent="0.25">
      <c r="A334" t="s">
        <v>824</v>
      </c>
      <c r="B334">
        <v>4</v>
      </c>
      <c r="C334">
        <v>4</v>
      </c>
      <c r="D334" t="s">
        <v>825</v>
      </c>
      <c r="E334" t="s">
        <v>20</v>
      </c>
      <c r="F334" t="s">
        <v>21</v>
      </c>
      <c r="G334">
        <v>1</v>
      </c>
      <c r="H334">
        <v>0</v>
      </c>
      <c r="I334" t="s">
        <v>3536</v>
      </c>
    </row>
    <row r="335" spans="1:9" x14ac:dyDescent="0.25">
      <c r="A335" t="s">
        <v>826</v>
      </c>
      <c r="B335">
        <v>4</v>
      </c>
      <c r="C335">
        <v>0.76200000000000001</v>
      </c>
      <c r="D335" t="s">
        <v>827</v>
      </c>
      <c r="E335" t="s">
        <v>20</v>
      </c>
      <c r="F335" t="s">
        <v>21</v>
      </c>
      <c r="G335">
        <v>5.2493438320209975</v>
      </c>
      <c r="H335">
        <v>1.6581030844153815</v>
      </c>
      <c r="I335" t="s">
        <v>3536</v>
      </c>
    </row>
    <row r="336" spans="1:9" x14ac:dyDescent="0.25">
      <c r="A336" t="s">
        <v>828</v>
      </c>
      <c r="B336">
        <v>4</v>
      </c>
      <c r="C336">
        <v>0.96799999999999997</v>
      </c>
      <c r="D336" t="s">
        <v>97</v>
      </c>
      <c r="E336" t="s">
        <v>10</v>
      </c>
      <c r="F336" t="s">
        <v>11</v>
      </c>
      <c r="G336">
        <v>4.1322314049586781</v>
      </c>
      <c r="H336">
        <v>1.4188175528254507</v>
      </c>
      <c r="I336" t="s">
        <v>3536</v>
      </c>
    </row>
    <row r="337" spans="1:9" x14ac:dyDescent="0.25">
      <c r="A337" t="s">
        <v>830</v>
      </c>
      <c r="B337">
        <v>4</v>
      </c>
      <c r="C337">
        <v>0.91200000000000003</v>
      </c>
      <c r="D337" t="s">
        <v>832</v>
      </c>
      <c r="E337" t="s">
        <v>20</v>
      </c>
      <c r="F337" t="s">
        <v>21</v>
      </c>
      <c r="G337">
        <v>4.3859649122807012</v>
      </c>
      <c r="H337">
        <v>1.4784096500276962</v>
      </c>
      <c r="I337" t="s">
        <v>3536</v>
      </c>
    </row>
    <row r="338" spans="1:9" x14ac:dyDescent="0.25">
      <c r="A338" t="s">
        <v>833</v>
      </c>
      <c r="B338">
        <v>4</v>
      </c>
      <c r="C338">
        <v>0.495</v>
      </c>
      <c r="D338" t="s">
        <v>835</v>
      </c>
      <c r="E338" t="s">
        <v>10</v>
      </c>
      <c r="F338" t="s">
        <v>11</v>
      </c>
      <c r="G338">
        <v>8.0808080808080813</v>
      </c>
      <c r="H338">
        <v>2.0894918775333373</v>
      </c>
      <c r="I338" t="s">
        <v>3536</v>
      </c>
    </row>
    <row r="339" spans="1:9" x14ac:dyDescent="0.25">
      <c r="A339" t="s">
        <v>836</v>
      </c>
      <c r="B339">
        <v>4</v>
      </c>
      <c r="C339">
        <v>0.872</v>
      </c>
      <c r="D339" t="s">
        <v>376</v>
      </c>
      <c r="E339" t="s">
        <v>10</v>
      </c>
      <c r="F339" t="s">
        <v>11</v>
      </c>
      <c r="G339">
        <v>4.5871559633027523</v>
      </c>
      <c r="H339">
        <v>1.523260216193048</v>
      </c>
      <c r="I339" t="s">
        <v>3536</v>
      </c>
    </row>
    <row r="340" spans="1:9" x14ac:dyDescent="0.25">
      <c r="A340" t="s">
        <v>838</v>
      </c>
      <c r="B340">
        <v>4</v>
      </c>
      <c r="C340">
        <v>3</v>
      </c>
      <c r="D340" t="s">
        <v>839</v>
      </c>
      <c r="E340" t="s">
        <v>44</v>
      </c>
      <c r="F340" t="s">
        <v>21</v>
      </c>
      <c r="G340">
        <v>1.3333333333333333</v>
      </c>
      <c r="H340">
        <v>0.28768207245178085</v>
      </c>
      <c r="I340" t="s">
        <v>3536</v>
      </c>
    </row>
    <row r="341" spans="1:9" x14ac:dyDescent="0.25">
      <c r="A341" t="s">
        <v>840</v>
      </c>
      <c r="B341">
        <v>4</v>
      </c>
      <c r="C341">
        <v>0.72</v>
      </c>
      <c r="D341" t="s">
        <v>177</v>
      </c>
      <c r="E341" t="s">
        <v>170</v>
      </c>
      <c r="F341" t="s">
        <v>50</v>
      </c>
      <c r="G341">
        <v>5.5555555555555554</v>
      </c>
      <c r="H341">
        <v>1.7147984280919266</v>
      </c>
      <c r="I341" t="s">
        <v>3536</v>
      </c>
    </row>
    <row r="342" spans="1:9" x14ac:dyDescent="0.25">
      <c r="A342" t="s">
        <v>842</v>
      </c>
      <c r="B342">
        <v>4</v>
      </c>
      <c r="C342">
        <v>1</v>
      </c>
      <c r="E342" t="s">
        <v>20</v>
      </c>
      <c r="F342" t="s">
        <v>21</v>
      </c>
      <c r="G342">
        <v>4</v>
      </c>
      <c r="H342">
        <v>1.3862943611198906</v>
      </c>
      <c r="I342" t="s">
        <v>3536</v>
      </c>
    </row>
    <row r="343" spans="1:9" x14ac:dyDescent="0.25">
      <c r="A343" t="s">
        <v>843</v>
      </c>
      <c r="B343">
        <v>4</v>
      </c>
      <c r="C343">
        <v>1</v>
      </c>
      <c r="D343" t="s">
        <v>844</v>
      </c>
      <c r="E343" t="s">
        <v>365</v>
      </c>
      <c r="F343" t="s">
        <v>11</v>
      </c>
      <c r="G343">
        <v>4</v>
      </c>
      <c r="H343">
        <v>1.3862943611198906</v>
      </c>
      <c r="I343" t="s">
        <v>3536</v>
      </c>
    </row>
    <row r="344" spans="1:9" x14ac:dyDescent="0.25">
      <c r="A344" t="s">
        <v>845</v>
      </c>
      <c r="B344">
        <v>4</v>
      </c>
      <c r="C344">
        <v>0.60299999999999998</v>
      </c>
      <c r="D344" t="s">
        <v>309</v>
      </c>
      <c r="E344" t="s">
        <v>10</v>
      </c>
      <c r="F344" t="s">
        <v>11</v>
      </c>
      <c r="G344">
        <v>6.6334991708126037</v>
      </c>
      <c r="H344">
        <v>1.8921324433748423</v>
      </c>
      <c r="I344" t="s">
        <v>3536</v>
      </c>
    </row>
    <row r="345" spans="1:9" x14ac:dyDescent="0.25">
      <c r="A345" t="s">
        <v>847</v>
      </c>
      <c r="B345">
        <v>4</v>
      </c>
      <c r="C345">
        <v>2</v>
      </c>
      <c r="D345" t="s">
        <v>177</v>
      </c>
      <c r="E345" t="s">
        <v>10</v>
      </c>
      <c r="F345" t="s">
        <v>11</v>
      </c>
      <c r="G345">
        <v>2</v>
      </c>
      <c r="H345">
        <v>0.69314718055994529</v>
      </c>
      <c r="I345" t="s">
        <v>3536</v>
      </c>
    </row>
    <row r="346" spans="1:9" x14ac:dyDescent="0.25">
      <c r="A346" t="s">
        <v>848</v>
      </c>
      <c r="B346">
        <v>4</v>
      </c>
      <c r="C346">
        <v>0.8</v>
      </c>
      <c r="D346" t="s">
        <v>850</v>
      </c>
      <c r="E346" t="s">
        <v>10</v>
      </c>
      <c r="F346" t="s">
        <v>11</v>
      </c>
      <c r="G346">
        <v>5</v>
      </c>
      <c r="H346">
        <v>1.6094379124341003</v>
      </c>
      <c r="I346" t="s">
        <v>3536</v>
      </c>
    </row>
    <row r="347" spans="1:9" x14ac:dyDescent="0.25">
      <c r="A347" t="s">
        <v>851</v>
      </c>
      <c r="B347">
        <v>4</v>
      </c>
      <c r="C347">
        <v>0.84699999999999998</v>
      </c>
      <c r="D347" t="s">
        <v>389</v>
      </c>
      <c r="E347" t="s">
        <v>10</v>
      </c>
      <c r="F347" t="s">
        <v>11</v>
      </c>
      <c r="G347">
        <v>4.7225501770956315</v>
      </c>
      <c r="H347">
        <v>1.5523489454499733</v>
      </c>
      <c r="I347" t="s">
        <v>3536</v>
      </c>
    </row>
    <row r="348" spans="1:9" x14ac:dyDescent="0.25">
      <c r="A348" t="s">
        <v>853</v>
      </c>
      <c r="B348">
        <v>4</v>
      </c>
      <c r="C348">
        <v>0.44</v>
      </c>
      <c r="D348" t="s">
        <v>496</v>
      </c>
      <c r="E348" t="s">
        <v>10</v>
      </c>
      <c r="F348" t="s">
        <v>11</v>
      </c>
      <c r="G348">
        <v>9.0909090909090917</v>
      </c>
      <c r="H348">
        <v>2.2072749131897211</v>
      </c>
      <c r="I348" t="s">
        <v>3536</v>
      </c>
    </row>
    <row r="349" spans="1:9" x14ac:dyDescent="0.25">
      <c r="A349" t="s">
        <v>855</v>
      </c>
      <c r="B349">
        <v>4</v>
      </c>
      <c r="C349">
        <v>0.65900000000000003</v>
      </c>
      <c r="D349" t="s">
        <v>380</v>
      </c>
      <c r="E349" t="s">
        <v>10</v>
      </c>
      <c r="F349" t="s">
        <v>11</v>
      </c>
      <c r="G349">
        <v>6.0698027314112286</v>
      </c>
      <c r="H349">
        <v>1.8033261055995204</v>
      </c>
      <c r="I349" t="s">
        <v>3536</v>
      </c>
    </row>
    <row r="350" spans="1:9" x14ac:dyDescent="0.25">
      <c r="A350" t="s">
        <v>857</v>
      </c>
      <c r="B350">
        <v>4</v>
      </c>
      <c r="C350">
        <v>0.49299999999999999</v>
      </c>
      <c r="D350" t="s">
        <v>859</v>
      </c>
      <c r="E350" t="s">
        <v>10</v>
      </c>
      <c r="F350" t="s">
        <v>11</v>
      </c>
      <c r="G350">
        <v>8.1135902636916839</v>
      </c>
      <c r="H350">
        <v>2.0935404660593377</v>
      </c>
      <c r="I350" t="s">
        <v>3536</v>
      </c>
    </row>
    <row r="351" spans="1:9" x14ac:dyDescent="0.25">
      <c r="A351" t="s">
        <v>860</v>
      </c>
      <c r="B351">
        <v>4</v>
      </c>
      <c r="C351">
        <v>0.53300000000000003</v>
      </c>
      <c r="D351" t="s">
        <v>862</v>
      </c>
      <c r="E351" t="s">
        <v>10</v>
      </c>
      <c r="F351" t="s">
        <v>11</v>
      </c>
      <c r="G351">
        <v>7.5046904315196992</v>
      </c>
      <c r="H351">
        <v>2.0155282159361829</v>
      </c>
      <c r="I351" t="s">
        <v>3536</v>
      </c>
    </row>
    <row r="352" spans="1:9" x14ac:dyDescent="0.25">
      <c r="A352" t="s">
        <v>863</v>
      </c>
      <c r="B352">
        <v>4</v>
      </c>
      <c r="C352">
        <v>0.125</v>
      </c>
      <c r="D352" t="s">
        <v>380</v>
      </c>
      <c r="E352" t="s">
        <v>10</v>
      </c>
      <c r="F352" t="s">
        <v>11</v>
      </c>
      <c r="G352">
        <v>32</v>
      </c>
      <c r="H352">
        <v>3.4657359027997265</v>
      </c>
      <c r="I352" t="s">
        <v>3536</v>
      </c>
    </row>
    <row r="353" spans="1:9" x14ac:dyDescent="0.25">
      <c r="A353" t="s">
        <v>865</v>
      </c>
      <c r="B353">
        <v>4</v>
      </c>
      <c r="C353">
        <v>0.40400000000000003</v>
      </c>
      <c r="D353" t="s">
        <v>254</v>
      </c>
      <c r="E353" t="s">
        <v>10</v>
      </c>
      <c r="F353" t="s">
        <v>11</v>
      </c>
      <c r="G353">
        <v>9.9009900990099009</v>
      </c>
      <c r="H353">
        <v>2.2926347621408776</v>
      </c>
      <c r="I353" t="s">
        <v>3536</v>
      </c>
    </row>
    <row r="354" spans="1:9" x14ac:dyDescent="0.25">
      <c r="A354" t="s">
        <v>867</v>
      </c>
      <c r="B354">
        <v>4</v>
      </c>
      <c r="C354">
        <v>0.91800000000000004</v>
      </c>
      <c r="D354" t="s">
        <v>156</v>
      </c>
      <c r="E354" t="s">
        <v>10</v>
      </c>
      <c r="F354" t="s">
        <v>11</v>
      </c>
      <c r="G354">
        <v>4.3572984749455337</v>
      </c>
      <c r="H354">
        <v>1.4718522494815371</v>
      </c>
      <c r="I354" t="s">
        <v>3536</v>
      </c>
    </row>
    <row r="355" spans="1:9" x14ac:dyDescent="0.25">
      <c r="A355" t="s">
        <v>868</v>
      </c>
      <c r="B355">
        <v>4</v>
      </c>
      <c r="C355">
        <v>0.47699999999999998</v>
      </c>
      <c r="D355" t="s">
        <v>389</v>
      </c>
      <c r="E355" t="s">
        <v>10</v>
      </c>
      <c r="F355" t="s">
        <v>11</v>
      </c>
      <c r="G355">
        <v>8.3857442348008391</v>
      </c>
      <c r="H355">
        <v>2.1265331492136865</v>
      </c>
      <c r="I355" t="s">
        <v>3536</v>
      </c>
    </row>
    <row r="356" spans="1:9" x14ac:dyDescent="0.25">
      <c r="A356" t="s">
        <v>870</v>
      </c>
      <c r="B356">
        <v>4</v>
      </c>
      <c r="C356">
        <v>0.05</v>
      </c>
      <c r="D356" t="s">
        <v>86</v>
      </c>
      <c r="E356" t="s">
        <v>10</v>
      </c>
      <c r="F356" t="s">
        <v>11</v>
      </c>
      <c r="G356">
        <v>80</v>
      </c>
      <c r="H356">
        <v>4.3820266346738812</v>
      </c>
      <c r="I356" t="s">
        <v>3536</v>
      </c>
    </row>
    <row r="357" spans="1:9" x14ac:dyDescent="0.25">
      <c r="A357" t="s">
        <v>872</v>
      </c>
      <c r="B357">
        <v>4</v>
      </c>
      <c r="C357">
        <v>0.14299999999999999</v>
      </c>
      <c r="D357" t="s">
        <v>66</v>
      </c>
      <c r="E357" t="s">
        <v>44</v>
      </c>
      <c r="F357" t="s">
        <v>21</v>
      </c>
      <c r="G357">
        <v>27.972027972027973</v>
      </c>
      <c r="H357">
        <v>3.3312050098421206</v>
      </c>
      <c r="I357" t="s">
        <v>3536</v>
      </c>
    </row>
    <row r="358" spans="1:9" x14ac:dyDescent="0.25">
      <c r="A358" t="s">
        <v>874</v>
      </c>
      <c r="B358">
        <v>4</v>
      </c>
      <c r="C358">
        <v>0.40200000000000002</v>
      </c>
      <c r="D358" t="s">
        <v>876</v>
      </c>
      <c r="E358" t="s">
        <v>10</v>
      </c>
      <c r="F358" t="s">
        <v>11</v>
      </c>
      <c r="G358">
        <v>9.9502487562189046</v>
      </c>
      <c r="H358">
        <v>2.2975975514830065</v>
      </c>
      <c r="I358" t="s">
        <v>3536</v>
      </c>
    </row>
    <row r="359" spans="1:9" x14ac:dyDescent="0.25">
      <c r="A359" t="s">
        <v>877</v>
      </c>
      <c r="B359">
        <v>4</v>
      </c>
      <c r="C359">
        <v>0.157</v>
      </c>
      <c r="D359" t="s">
        <v>879</v>
      </c>
      <c r="E359" t="s">
        <v>880</v>
      </c>
      <c r="F359" t="s">
        <v>50</v>
      </c>
      <c r="G359">
        <v>25.477707006369428</v>
      </c>
      <c r="H359">
        <v>3.2378038347537195</v>
      </c>
      <c r="I359" t="s">
        <v>3536</v>
      </c>
    </row>
    <row r="360" spans="1:9" x14ac:dyDescent="0.25">
      <c r="A360" t="s">
        <v>881</v>
      </c>
      <c r="B360">
        <v>4</v>
      </c>
      <c r="C360">
        <v>0.61199999999999999</v>
      </c>
      <c r="D360" t="s">
        <v>883</v>
      </c>
      <c r="E360" t="s">
        <v>10</v>
      </c>
      <c r="F360" t="s">
        <v>11</v>
      </c>
      <c r="G360">
        <v>6.5359477124183005</v>
      </c>
      <c r="H360">
        <v>1.8773173575897015</v>
      </c>
      <c r="I360" t="s">
        <v>3536</v>
      </c>
    </row>
    <row r="361" spans="1:9" x14ac:dyDescent="0.25">
      <c r="A361" t="s">
        <v>884</v>
      </c>
      <c r="B361">
        <v>4</v>
      </c>
      <c r="C361">
        <v>0.33300000000000002</v>
      </c>
      <c r="D361" t="s">
        <v>886</v>
      </c>
      <c r="E361" t="s">
        <v>10</v>
      </c>
      <c r="F361" t="s">
        <v>11</v>
      </c>
      <c r="G361">
        <v>12.012012012012011</v>
      </c>
      <c r="H361">
        <v>2.4859071501215837</v>
      </c>
      <c r="I361" t="s">
        <v>3536</v>
      </c>
    </row>
    <row r="362" spans="1:9" x14ac:dyDescent="0.25">
      <c r="A362" t="s">
        <v>887</v>
      </c>
      <c r="B362">
        <v>4</v>
      </c>
      <c r="C362">
        <v>0.874</v>
      </c>
      <c r="D362" t="s">
        <v>889</v>
      </c>
      <c r="E362" t="s">
        <v>44</v>
      </c>
      <c r="F362" t="s">
        <v>21</v>
      </c>
      <c r="G362">
        <v>4.5766590389016022</v>
      </c>
      <c r="H362">
        <v>1.5209692644464923</v>
      </c>
      <c r="I362" t="s">
        <v>3536</v>
      </c>
    </row>
    <row r="363" spans="1:9" x14ac:dyDescent="0.25">
      <c r="A363" t="s">
        <v>890</v>
      </c>
      <c r="B363">
        <v>4</v>
      </c>
      <c r="C363">
        <v>0.434</v>
      </c>
      <c r="D363" t="s">
        <v>892</v>
      </c>
      <c r="E363" t="s">
        <v>10</v>
      </c>
      <c r="F363" t="s">
        <v>11</v>
      </c>
      <c r="G363">
        <v>9.216589861751153</v>
      </c>
      <c r="H363">
        <v>2.2210051060016229</v>
      </c>
      <c r="I363" t="s">
        <v>3536</v>
      </c>
    </row>
    <row r="364" spans="1:9" x14ac:dyDescent="0.25">
      <c r="A364" t="s">
        <v>893</v>
      </c>
      <c r="B364">
        <v>4</v>
      </c>
      <c r="C364">
        <v>0.29399999999999998</v>
      </c>
      <c r="D364" t="s">
        <v>148</v>
      </c>
      <c r="E364" t="s">
        <v>10</v>
      </c>
      <c r="F364" t="s">
        <v>11</v>
      </c>
      <c r="G364">
        <v>13.605442176870749</v>
      </c>
      <c r="H364">
        <v>2.6104698727633462</v>
      </c>
      <c r="I364" t="s">
        <v>3536</v>
      </c>
    </row>
    <row r="365" spans="1:9" x14ac:dyDescent="0.25">
      <c r="A365" t="s">
        <v>895</v>
      </c>
      <c r="B365">
        <v>4</v>
      </c>
      <c r="C365">
        <v>0.46800000000000003</v>
      </c>
      <c r="D365" t="s">
        <v>897</v>
      </c>
      <c r="E365" t="s">
        <v>10</v>
      </c>
      <c r="F365" t="s">
        <v>11</v>
      </c>
      <c r="G365">
        <v>8.5470085470085468</v>
      </c>
      <c r="H365">
        <v>2.145581344184381</v>
      </c>
      <c r="I365" t="s">
        <v>3536</v>
      </c>
    </row>
    <row r="366" spans="1:9" x14ac:dyDescent="0.25">
      <c r="A366" t="s">
        <v>898</v>
      </c>
      <c r="B366">
        <v>4</v>
      </c>
      <c r="C366">
        <v>0.94799999999999995</v>
      </c>
      <c r="D366" t="s">
        <v>380</v>
      </c>
      <c r="E366" t="s">
        <v>187</v>
      </c>
      <c r="F366" t="s">
        <v>50</v>
      </c>
      <c r="G366">
        <v>4.2194092827004219</v>
      </c>
      <c r="H366">
        <v>1.4396951378470058</v>
      </c>
      <c r="I366" t="s">
        <v>3536</v>
      </c>
    </row>
    <row r="367" spans="1:9" x14ac:dyDescent="0.25">
      <c r="A367" t="s">
        <v>900</v>
      </c>
      <c r="B367">
        <v>4</v>
      </c>
      <c r="C367">
        <v>0.67800000000000005</v>
      </c>
      <c r="D367" t="s">
        <v>79</v>
      </c>
      <c r="E367" t="s">
        <v>10</v>
      </c>
      <c r="F367" t="s">
        <v>11</v>
      </c>
      <c r="G367">
        <v>5.8997050147492622</v>
      </c>
      <c r="H367">
        <v>1.7749023521616321</v>
      </c>
      <c r="I367" t="s">
        <v>3536</v>
      </c>
    </row>
    <row r="368" spans="1:9" x14ac:dyDescent="0.25">
      <c r="A368" t="s">
        <v>902</v>
      </c>
      <c r="B368">
        <v>4</v>
      </c>
      <c r="C368">
        <v>0.48699999999999999</v>
      </c>
      <c r="D368" t="s">
        <v>66</v>
      </c>
      <c r="E368" t="s">
        <v>10</v>
      </c>
      <c r="F368" t="s">
        <v>11</v>
      </c>
      <c r="G368">
        <v>8.2135523613963048</v>
      </c>
      <c r="H368">
        <v>2.1057855170194379</v>
      </c>
      <c r="I368" t="s">
        <v>3536</v>
      </c>
    </row>
    <row r="369" spans="1:9" x14ac:dyDescent="0.25">
      <c r="A369" t="s">
        <v>903</v>
      </c>
      <c r="B369">
        <v>4</v>
      </c>
      <c r="C369">
        <v>0.45200000000000001</v>
      </c>
      <c r="D369" t="s">
        <v>225</v>
      </c>
      <c r="E369" t="s">
        <v>10</v>
      </c>
      <c r="F369" t="s">
        <v>11</v>
      </c>
      <c r="G369">
        <v>8.8495575221238933</v>
      </c>
      <c r="H369">
        <v>2.1803674602697964</v>
      </c>
      <c r="I369" t="s">
        <v>3536</v>
      </c>
    </row>
    <row r="370" spans="1:9" x14ac:dyDescent="0.25">
      <c r="A370" t="s">
        <v>905</v>
      </c>
      <c r="B370">
        <v>4</v>
      </c>
      <c r="C370">
        <v>0.60199999999999998</v>
      </c>
      <c r="D370" t="s">
        <v>816</v>
      </c>
      <c r="E370" t="s">
        <v>10</v>
      </c>
      <c r="F370" t="s">
        <v>11</v>
      </c>
      <c r="G370">
        <v>6.6445182724252492</v>
      </c>
      <c r="H370">
        <v>1.8937921947932066</v>
      </c>
      <c r="I370" t="s">
        <v>3536</v>
      </c>
    </row>
    <row r="371" spans="1:9" x14ac:dyDescent="0.25">
      <c r="A371" t="s">
        <v>907</v>
      </c>
      <c r="B371">
        <v>3</v>
      </c>
      <c r="C371">
        <v>0.56599999999999995</v>
      </c>
      <c r="D371" t="s">
        <v>909</v>
      </c>
      <c r="E371" t="s">
        <v>170</v>
      </c>
      <c r="F371" t="s">
        <v>50</v>
      </c>
      <c r="G371">
        <v>5.3003533568904597</v>
      </c>
      <c r="H371">
        <v>1.6677734894470639</v>
      </c>
      <c r="I371" t="s">
        <v>3536</v>
      </c>
    </row>
    <row r="372" spans="1:9" x14ac:dyDescent="0.25">
      <c r="A372" t="s">
        <v>910</v>
      </c>
      <c r="B372">
        <v>3</v>
      </c>
      <c r="C372">
        <v>0.65400000000000003</v>
      </c>
      <c r="D372" t="s">
        <v>912</v>
      </c>
      <c r="E372" t="s">
        <v>10</v>
      </c>
      <c r="F372" t="s">
        <v>11</v>
      </c>
      <c r="G372">
        <v>4.5871559633027523</v>
      </c>
      <c r="H372">
        <v>1.523260216193048</v>
      </c>
      <c r="I372" t="s">
        <v>3536</v>
      </c>
    </row>
    <row r="373" spans="1:9" x14ac:dyDescent="0.25">
      <c r="A373" t="s">
        <v>913</v>
      </c>
      <c r="B373">
        <v>3</v>
      </c>
      <c r="C373">
        <v>0.78900000000000003</v>
      </c>
      <c r="D373" t="s">
        <v>159</v>
      </c>
      <c r="E373" t="s">
        <v>44</v>
      </c>
      <c r="F373" t="s">
        <v>21</v>
      </c>
      <c r="G373">
        <v>3.8022813688212924</v>
      </c>
      <c r="H373">
        <v>1.3356012468043723</v>
      </c>
      <c r="I373" t="s">
        <v>3536</v>
      </c>
    </row>
    <row r="374" spans="1:9" x14ac:dyDescent="0.25">
      <c r="A374" t="s">
        <v>915</v>
      </c>
      <c r="B374">
        <v>3</v>
      </c>
      <c r="C374">
        <v>0.74</v>
      </c>
      <c r="D374" t="s">
        <v>461</v>
      </c>
      <c r="E374" t="s">
        <v>20</v>
      </c>
      <c r="F374" t="s">
        <v>21</v>
      </c>
      <c r="G374">
        <v>4.0540540540540544</v>
      </c>
      <c r="H374">
        <v>1.3997173814520314</v>
      </c>
      <c r="I374" t="s">
        <v>3536</v>
      </c>
    </row>
    <row r="375" spans="1:9" x14ac:dyDescent="0.25">
      <c r="A375" t="s">
        <v>916</v>
      </c>
      <c r="B375">
        <v>3</v>
      </c>
      <c r="C375">
        <v>0.78</v>
      </c>
      <c r="D375" t="s">
        <v>918</v>
      </c>
      <c r="E375" t="s">
        <v>756</v>
      </c>
      <c r="F375" t="s">
        <v>50</v>
      </c>
      <c r="G375">
        <v>3.8461538461538458</v>
      </c>
      <c r="H375">
        <v>1.3470736479666092</v>
      </c>
      <c r="I375" t="s">
        <v>3536</v>
      </c>
    </row>
    <row r="376" spans="1:9" x14ac:dyDescent="0.25">
      <c r="A376" t="s">
        <v>919</v>
      </c>
      <c r="B376">
        <v>3</v>
      </c>
      <c r="C376">
        <v>0.68</v>
      </c>
      <c r="D376" t="s">
        <v>921</v>
      </c>
      <c r="E376" t="s">
        <v>10</v>
      </c>
      <c r="F376" t="s">
        <v>11</v>
      </c>
      <c r="G376">
        <v>4.4117647058823524</v>
      </c>
      <c r="H376">
        <v>1.4842747694800942</v>
      </c>
      <c r="I376" t="s">
        <v>3536</v>
      </c>
    </row>
    <row r="377" spans="1:9" x14ac:dyDescent="0.25">
      <c r="A377" t="s">
        <v>922</v>
      </c>
      <c r="B377">
        <v>3</v>
      </c>
      <c r="C377">
        <v>1</v>
      </c>
      <c r="D377" t="s">
        <v>923</v>
      </c>
      <c r="E377" t="s">
        <v>20</v>
      </c>
      <c r="F377" t="s">
        <v>21</v>
      </c>
      <c r="G377">
        <v>3</v>
      </c>
      <c r="H377">
        <v>1.0986122886681098</v>
      </c>
      <c r="I377" t="s">
        <v>3536</v>
      </c>
    </row>
    <row r="378" spans="1:9" x14ac:dyDescent="0.25">
      <c r="A378" t="s">
        <v>924</v>
      </c>
      <c r="B378">
        <v>3</v>
      </c>
      <c r="C378">
        <v>0.83</v>
      </c>
      <c r="D378" t="s">
        <v>926</v>
      </c>
      <c r="E378" t="s">
        <v>10</v>
      </c>
      <c r="F378" t="s">
        <v>11</v>
      </c>
      <c r="G378">
        <v>3.6144578313253013</v>
      </c>
      <c r="H378">
        <v>1.2849418668596031</v>
      </c>
      <c r="I378" t="s">
        <v>3536</v>
      </c>
    </row>
    <row r="379" spans="1:9" x14ac:dyDescent="0.25">
      <c r="A379" t="s">
        <v>927</v>
      </c>
      <c r="B379">
        <v>3</v>
      </c>
      <c r="C379">
        <v>0.85399999999999998</v>
      </c>
      <c r="D379" t="s">
        <v>929</v>
      </c>
      <c r="E379" t="s">
        <v>49</v>
      </c>
      <c r="F379" t="s">
        <v>50</v>
      </c>
      <c r="G379">
        <v>3.5128805620608898</v>
      </c>
      <c r="H379">
        <v>1.2564363738616768</v>
      </c>
      <c r="I379" t="s">
        <v>3536</v>
      </c>
    </row>
    <row r="380" spans="1:9" x14ac:dyDescent="0.25">
      <c r="A380" t="s">
        <v>930</v>
      </c>
      <c r="B380">
        <v>3</v>
      </c>
      <c r="C380">
        <v>0.41399999999999998</v>
      </c>
      <c r="D380" t="s">
        <v>932</v>
      </c>
      <c r="E380" t="s">
        <v>10</v>
      </c>
      <c r="F380" t="s">
        <v>11</v>
      </c>
      <c r="G380">
        <v>7.2463768115942031</v>
      </c>
      <c r="H380">
        <v>1.9805015938249324</v>
      </c>
      <c r="I380" t="s">
        <v>3536</v>
      </c>
    </row>
    <row r="381" spans="1:9" x14ac:dyDescent="0.25">
      <c r="A381" t="s">
        <v>933</v>
      </c>
      <c r="B381">
        <v>3</v>
      </c>
      <c r="C381">
        <v>0.95599999999999996</v>
      </c>
      <c r="D381" t="s">
        <v>517</v>
      </c>
      <c r="E381" t="s">
        <v>49</v>
      </c>
      <c r="F381" t="s">
        <v>50</v>
      </c>
      <c r="G381">
        <v>3.1380753138075317</v>
      </c>
      <c r="H381">
        <v>1.1436096545988454</v>
      </c>
      <c r="I381" t="s">
        <v>3536</v>
      </c>
    </row>
    <row r="382" spans="1:9" x14ac:dyDescent="0.25">
      <c r="A382" t="s">
        <v>935</v>
      </c>
      <c r="B382">
        <v>3</v>
      </c>
      <c r="C382">
        <v>0.15</v>
      </c>
      <c r="D382" t="s">
        <v>937</v>
      </c>
      <c r="E382" t="s">
        <v>20</v>
      </c>
      <c r="F382" t="s">
        <v>21</v>
      </c>
      <c r="G382">
        <v>20</v>
      </c>
      <c r="H382">
        <v>2.9957322735539909</v>
      </c>
      <c r="I382" t="s">
        <v>3536</v>
      </c>
    </row>
    <row r="383" spans="1:9" x14ac:dyDescent="0.25">
      <c r="A383" t="s">
        <v>938</v>
      </c>
      <c r="B383">
        <v>3</v>
      </c>
      <c r="C383">
        <v>0.53400000000000003</v>
      </c>
      <c r="D383" t="s">
        <v>939</v>
      </c>
      <c r="E383" t="s">
        <v>10</v>
      </c>
      <c r="F383" t="s">
        <v>11</v>
      </c>
      <c r="G383">
        <v>5.6179775280898872</v>
      </c>
      <c r="H383">
        <v>1.7259717286900518</v>
      </c>
      <c r="I383" t="s">
        <v>3536</v>
      </c>
    </row>
    <row r="384" spans="1:9" x14ac:dyDescent="0.25">
      <c r="A384" t="s">
        <v>940</v>
      </c>
      <c r="B384">
        <v>3</v>
      </c>
      <c r="C384">
        <v>1</v>
      </c>
      <c r="D384" t="s">
        <v>941</v>
      </c>
      <c r="E384" t="s">
        <v>10</v>
      </c>
      <c r="F384" t="s">
        <v>11</v>
      </c>
      <c r="G384">
        <v>3</v>
      </c>
      <c r="H384">
        <v>1.0986122886681098</v>
      </c>
      <c r="I384" t="s">
        <v>3536</v>
      </c>
    </row>
    <row r="385" spans="1:9" x14ac:dyDescent="0.25">
      <c r="A385" t="s">
        <v>942</v>
      </c>
      <c r="B385">
        <v>3</v>
      </c>
      <c r="C385">
        <v>0.46700000000000003</v>
      </c>
      <c r="D385" t="s">
        <v>676</v>
      </c>
      <c r="E385" t="s">
        <v>10</v>
      </c>
      <c r="F385" t="s">
        <v>11</v>
      </c>
      <c r="G385">
        <v>6.4239828693790146</v>
      </c>
      <c r="H385">
        <v>1.8600383099813493</v>
      </c>
      <c r="I385" t="s">
        <v>3536</v>
      </c>
    </row>
    <row r="386" spans="1:9" x14ac:dyDescent="0.25">
      <c r="A386" t="s">
        <v>944</v>
      </c>
      <c r="B386">
        <v>3</v>
      </c>
      <c r="C386">
        <v>0.98199999999999998</v>
      </c>
      <c r="D386" t="s">
        <v>945</v>
      </c>
      <c r="E386" t="s">
        <v>554</v>
      </c>
      <c r="F386" t="s">
        <v>526</v>
      </c>
      <c r="G386">
        <v>3.0549898167006111</v>
      </c>
      <c r="H386">
        <v>1.1167762592957808</v>
      </c>
      <c r="I386" t="s">
        <v>3536</v>
      </c>
    </row>
    <row r="387" spans="1:9" x14ac:dyDescent="0.25">
      <c r="A387" t="s">
        <v>946</v>
      </c>
      <c r="B387">
        <v>3</v>
      </c>
      <c r="C387">
        <v>0.51400000000000001</v>
      </c>
      <c r="D387" t="s">
        <v>148</v>
      </c>
      <c r="E387" t="s">
        <v>10</v>
      </c>
      <c r="F387" t="s">
        <v>11</v>
      </c>
      <c r="G387">
        <v>5.836575875486381</v>
      </c>
      <c r="H387">
        <v>1.7641443021950816</v>
      </c>
      <c r="I387" t="s">
        <v>3536</v>
      </c>
    </row>
    <row r="388" spans="1:9" x14ac:dyDescent="0.25">
      <c r="A388" t="s">
        <v>948</v>
      </c>
      <c r="B388">
        <v>3</v>
      </c>
      <c r="C388">
        <v>0.623</v>
      </c>
      <c r="D388" t="s">
        <v>950</v>
      </c>
      <c r="E388" t="s">
        <v>10</v>
      </c>
      <c r="F388" t="s">
        <v>11</v>
      </c>
      <c r="G388">
        <v>4.815409309791332</v>
      </c>
      <c r="H388">
        <v>1.5718210488627935</v>
      </c>
      <c r="I388" t="s">
        <v>3536</v>
      </c>
    </row>
    <row r="389" spans="1:9" x14ac:dyDescent="0.25">
      <c r="A389" t="s">
        <v>951</v>
      </c>
      <c r="B389">
        <v>3</v>
      </c>
      <c r="C389">
        <v>0.5</v>
      </c>
      <c r="D389" t="s">
        <v>827</v>
      </c>
      <c r="E389" t="s">
        <v>20</v>
      </c>
      <c r="F389" t="s">
        <v>21</v>
      </c>
      <c r="G389">
        <v>6</v>
      </c>
      <c r="H389">
        <v>1.791759469228055</v>
      </c>
      <c r="I389" t="s">
        <v>3536</v>
      </c>
    </row>
    <row r="390" spans="1:9" x14ac:dyDescent="0.25">
      <c r="A390" t="s">
        <v>952</v>
      </c>
      <c r="B390">
        <v>3</v>
      </c>
      <c r="C390">
        <v>1</v>
      </c>
      <c r="D390" t="s">
        <v>953</v>
      </c>
      <c r="E390" t="s">
        <v>44</v>
      </c>
      <c r="F390" t="s">
        <v>21</v>
      </c>
      <c r="G390">
        <v>3</v>
      </c>
      <c r="H390">
        <v>1.0986122886681098</v>
      </c>
      <c r="I390" t="s">
        <v>3536</v>
      </c>
    </row>
    <row r="391" spans="1:9" x14ac:dyDescent="0.25">
      <c r="A391" t="s">
        <v>954</v>
      </c>
      <c r="B391">
        <v>3</v>
      </c>
      <c r="C391">
        <v>2</v>
      </c>
      <c r="D391" t="s">
        <v>955</v>
      </c>
      <c r="E391" t="s">
        <v>20</v>
      </c>
      <c r="F391" t="s">
        <v>21</v>
      </c>
      <c r="G391">
        <v>1.5</v>
      </c>
      <c r="H391">
        <v>0.40546510810816438</v>
      </c>
      <c r="I391" t="s">
        <v>3536</v>
      </c>
    </row>
    <row r="392" spans="1:9" x14ac:dyDescent="0.25">
      <c r="A392" t="s">
        <v>956</v>
      </c>
      <c r="B392">
        <v>3</v>
      </c>
      <c r="C392">
        <v>2.8000000000000001E-2</v>
      </c>
      <c r="D392" t="s">
        <v>958</v>
      </c>
      <c r="E392" t="s">
        <v>20</v>
      </c>
      <c r="F392" t="s">
        <v>21</v>
      </c>
      <c r="G392">
        <v>107.14285714285714</v>
      </c>
      <c r="H392">
        <v>4.6741630574750426</v>
      </c>
      <c r="I392" t="s">
        <v>3536</v>
      </c>
    </row>
    <row r="393" spans="1:9" x14ac:dyDescent="0.25">
      <c r="A393" t="s">
        <v>959</v>
      </c>
      <c r="B393">
        <v>3</v>
      </c>
      <c r="C393">
        <v>0.43099999999999999</v>
      </c>
      <c r="D393" t="s">
        <v>961</v>
      </c>
      <c r="E393" t="s">
        <v>10</v>
      </c>
      <c r="F393" t="s">
        <v>11</v>
      </c>
      <c r="G393">
        <v>6.9605568445475638</v>
      </c>
      <c r="H393">
        <v>1.940259477546499</v>
      </c>
      <c r="I393" t="s">
        <v>3536</v>
      </c>
    </row>
    <row r="394" spans="1:9" x14ac:dyDescent="0.25">
      <c r="A394" t="s">
        <v>962</v>
      </c>
      <c r="B394">
        <v>3</v>
      </c>
      <c r="C394">
        <v>0.76100000000000001</v>
      </c>
      <c r="D394" t="s">
        <v>964</v>
      </c>
      <c r="E394" t="s">
        <v>10</v>
      </c>
      <c r="F394" t="s">
        <v>11</v>
      </c>
      <c r="G394">
        <v>3.9421813403416555</v>
      </c>
      <c r="H394">
        <v>1.3717342097885608</v>
      </c>
      <c r="I394" t="s">
        <v>3536</v>
      </c>
    </row>
    <row r="395" spans="1:9" x14ac:dyDescent="0.25">
      <c r="A395" t="s">
        <v>965</v>
      </c>
      <c r="B395">
        <v>3</v>
      </c>
      <c r="C395">
        <v>0.58799999999999997</v>
      </c>
      <c r="D395" t="s">
        <v>967</v>
      </c>
      <c r="E395" t="s">
        <v>10</v>
      </c>
      <c r="F395" t="s">
        <v>11</v>
      </c>
      <c r="G395">
        <v>5.1020408163265305</v>
      </c>
      <c r="H395">
        <v>1.6296406197516198</v>
      </c>
      <c r="I395" t="s">
        <v>3536</v>
      </c>
    </row>
    <row r="396" spans="1:9" x14ac:dyDescent="0.25">
      <c r="A396" t="s">
        <v>968</v>
      </c>
      <c r="B396">
        <v>3</v>
      </c>
      <c r="C396">
        <v>0.45</v>
      </c>
      <c r="D396" t="s">
        <v>969</v>
      </c>
      <c r="E396" t="s">
        <v>170</v>
      </c>
      <c r="F396" t="s">
        <v>50</v>
      </c>
      <c r="G396">
        <v>6.6666666666666661</v>
      </c>
      <c r="H396">
        <v>1.8971199848858813</v>
      </c>
      <c r="I396" t="s">
        <v>3536</v>
      </c>
    </row>
    <row r="397" spans="1:9" x14ac:dyDescent="0.25">
      <c r="A397" t="s">
        <v>970</v>
      </c>
      <c r="B397">
        <v>3</v>
      </c>
      <c r="C397">
        <v>0.53600000000000003</v>
      </c>
      <c r="D397" t="s">
        <v>972</v>
      </c>
      <c r="E397" t="s">
        <v>20</v>
      </c>
      <c r="F397" t="s">
        <v>21</v>
      </c>
      <c r="G397">
        <v>5.5970149253731343</v>
      </c>
      <c r="H397">
        <v>1.7222334065794447</v>
      </c>
      <c r="I397" t="s">
        <v>3536</v>
      </c>
    </row>
    <row r="398" spans="1:9" x14ac:dyDescent="0.25">
      <c r="A398" t="s">
        <v>973</v>
      </c>
      <c r="B398">
        <v>3</v>
      </c>
      <c r="C398">
        <v>0.97499999999999998</v>
      </c>
      <c r="D398" t="s">
        <v>974</v>
      </c>
      <c r="E398" t="s">
        <v>20</v>
      </c>
      <c r="F398" t="s">
        <v>21</v>
      </c>
      <c r="G398">
        <v>3.0769230769230771</v>
      </c>
      <c r="H398">
        <v>1.1239300966523995</v>
      </c>
      <c r="I398" t="s">
        <v>3536</v>
      </c>
    </row>
    <row r="399" spans="1:9" x14ac:dyDescent="0.25">
      <c r="A399" t="s">
        <v>975</v>
      </c>
      <c r="B399">
        <v>3</v>
      </c>
      <c r="C399">
        <v>0.42</v>
      </c>
      <c r="D399" t="s">
        <v>448</v>
      </c>
      <c r="E399" t="s">
        <v>230</v>
      </c>
      <c r="F399" t="s">
        <v>50</v>
      </c>
      <c r="G399">
        <v>7.1428571428571432</v>
      </c>
      <c r="H399">
        <v>1.9661128563728327</v>
      </c>
      <c r="I399" t="s">
        <v>3536</v>
      </c>
    </row>
    <row r="400" spans="1:9" x14ac:dyDescent="0.25">
      <c r="A400" t="s">
        <v>977</v>
      </c>
      <c r="B400">
        <v>3</v>
      </c>
      <c r="C400">
        <v>0.14099999999999999</v>
      </c>
      <c r="D400" t="s">
        <v>225</v>
      </c>
      <c r="E400" t="s">
        <v>10</v>
      </c>
      <c r="F400" t="s">
        <v>11</v>
      </c>
      <c r="G400">
        <v>21.276595744680854</v>
      </c>
      <c r="H400">
        <v>3.0576076772720788</v>
      </c>
      <c r="I400" t="s">
        <v>3536</v>
      </c>
    </row>
    <row r="401" spans="1:9" x14ac:dyDescent="0.25">
      <c r="A401" t="s">
        <v>979</v>
      </c>
      <c r="B401">
        <v>3</v>
      </c>
      <c r="C401">
        <v>1</v>
      </c>
      <c r="D401" t="s">
        <v>980</v>
      </c>
      <c r="E401" t="s">
        <v>981</v>
      </c>
      <c r="F401" t="s">
        <v>526</v>
      </c>
      <c r="G401">
        <v>3</v>
      </c>
      <c r="H401">
        <v>1.0986122886681098</v>
      </c>
      <c r="I401" t="s">
        <v>3536</v>
      </c>
    </row>
    <row r="402" spans="1:9" x14ac:dyDescent="0.25">
      <c r="A402" t="s">
        <v>982</v>
      </c>
      <c r="B402">
        <v>3</v>
      </c>
      <c r="C402">
        <v>0.74099999999999999</v>
      </c>
      <c r="D402" t="s">
        <v>984</v>
      </c>
      <c r="E402" t="s">
        <v>44</v>
      </c>
      <c r="F402" t="s">
        <v>21</v>
      </c>
      <c r="G402">
        <v>4.048582995951417</v>
      </c>
      <c r="H402">
        <v>1.3983669423541598</v>
      </c>
      <c r="I402" t="s">
        <v>3536</v>
      </c>
    </row>
    <row r="403" spans="1:9" x14ac:dyDescent="0.25">
      <c r="A403" t="s">
        <v>985</v>
      </c>
      <c r="B403">
        <v>3</v>
      </c>
      <c r="C403">
        <v>0.29899999999999999</v>
      </c>
      <c r="D403" t="s">
        <v>987</v>
      </c>
      <c r="E403" t="s">
        <v>365</v>
      </c>
      <c r="F403" t="s">
        <v>11</v>
      </c>
      <c r="G403">
        <v>10.033444816053512</v>
      </c>
      <c r="H403">
        <v>2.3059239942595604</v>
      </c>
      <c r="I403" t="s">
        <v>3536</v>
      </c>
    </row>
    <row r="404" spans="1:9" x14ac:dyDescent="0.25">
      <c r="A404" t="s">
        <v>988</v>
      </c>
      <c r="B404">
        <v>3</v>
      </c>
      <c r="C404">
        <v>0.69799999999999995</v>
      </c>
      <c r="D404" t="s">
        <v>120</v>
      </c>
      <c r="E404" t="s">
        <v>10</v>
      </c>
      <c r="F404" t="s">
        <v>11</v>
      </c>
      <c r="G404">
        <v>4.2979942693409745</v>
      </c>
      <c r="H404">
        <v>1.4581484648878744</v>
      </c>
      <c r="I404" t="s">
        <v>3536</v>
      </c>
    </row>
    <row r="405" spans="1:9" x14ac:dyDescent="0.25">
      <c r="A405" t="s">
        <v>990</v>
      </c>
      <c r="B405">
        <v>3</v>
      </c>
      <c r="C405">
        <v>0.39400000000000002</v>
      </c>
      <c r="D405" t="s">
        <v>992</v>
      </c>
      <c r="E405" t="s">
        <v>10</v>
      </c>
      <c r="F405" t="s">
        <v>11</v>
      </c>
      <c r="G405">
        <v>7.6142131979695424</v>
      </c>
      <c r="H405">
        <v>2.0300166583523129</v>
      </c>
      <c r="I405" t="s">
        <v>3536</v>
      </c>
    </row>
    <row r="406" spans="1:9" x14ac:dyDescent="0.25">
      <c r="A406" t="s">
        <v>993</v>
      </c>
      <c r="B406">
        <v>3</v>
      </c>
      <c r="C406">
        <v>0.48</v>
      </c>
      <c r="D406" t="s">
        <v>169</v>
      </c>
      <c r="E406" t="s">
        <v>365</v>
      </c>
      <c r="F406" t="s">
        <v>11</v>
      </c>
      <c r="G406">
        <v>6.25</v>
      </c>
      <c r="H406">
        <v>1.8325814637483102</v>
      </c>
      <c r="I406" t="s">
        <v>3536</v>
      </c>
    </row>
    <row r="407" spans="1:9" x14ac:dyDescent="0.25">
      <c r="A407" t="s">
        <v>994</v>
      </c>
      <c r="B407">
        <v>3</v>
      </c>
      <c r="C407">
        <v>0.33400000000000002</v>
      </c>
      <c r="D407" t="s">
        <v>331</v>
      </c>
      <c r="E407" t="s">
        <v>10</v>
      </c>
      <c r="F407" t="s">
        <v>11</v>
      </c>
      <c r="G407">
        <v>8.9820359281437128</v>
      </c>
      <c r="H407">
        <v>2.1952265746735464</v>
      </c>
      <c r="I407" t="s">
        <v>3536</v>
      </c>
    </row>
    <row r="408" spans="1:9" x14ac:dyDescent="0.25">
      <c r="A408" t="s">
        <v>996</v>
      </c>
      <c r="B408">
        <v>3</v>
      </c>
      <c r="C408">
        <v>0.31900000000000001</v>
      </c>
      <c r="D408" t="s">
        <v>998</v>
      </c>
      <c r="E408" t="s">
        <v>20</v>
      </c>
      <c r="F408" t="s">
        <v>21</v>
      </c>
      <c r="G408">
        <v>9.4043887147335425</v>
      </c>
      <c r="H408">
        <v>2.241176464865402</v>
      </c>
      <c r="I408" t="s">
        <v>3536</v>
      </c>
    </row>
    <row r="409" spans="1:9" x14ac:dyDescent="0.25">
      <c r="A409" t="s">
        <v>999</v>
      </c>
      <c r="B409">
        <v>3</v>
      </c>
      <c r="C409">
        <v>0</v>
      </c>
      <c r="D409" t="s">
        <v>722</v>
      </c>
      <c r="E409" t="s">
        <v>210</v>
      </c>
      <c r="F409" t="s">
        <v>50</v>
      </c>
      <c r="G409" t="s">
        <v>3535</v>
      </c>
      <c r="H409" t="s">
        <v>3535</v>
      </c>
      <c r="I409" t="s">
        <v>3537</v>
      </c>
    </row>
    <row r="410" spans="1:9" x14ac:dyDescent="0.25">
      <c r="A410" t="s">
        <v>1000</v>
      </c>
      <c r="B410">
        <v>3</v>
      </c>
      <c r="C410">
        <v>0.20200000000000001</v>
      </c>
      <c r="D410" t="s">
        <v>476</v>
      </c>
      <c r="E410" t="s">
        <v>10</v>
      </c>
      <c r="F410" t="s">
        <v>11</v>
      </c>
      <c r="G410">
        <v>14.85148514851485</v>
      </c>
      <c r="H410">
        <v>2.6980998702490417</v>
      </c>
      <c r="I410" t="s">
        <v>3536</v>
      </c>
    </row>
    <row r="411" spans="1:9" x14ac:dyDescent="0.25">
      <c r="A411" t="s">
        <v>1002</v>
      </c>
      <c r="B411">
        <v>3</v>
      </c>
      <c r="C411">
        <v>0.156</v>
      </c>
      <c r="D411" t="s">
        <v>1004</v>
      </c>
      <c r="E411" t="s">
        <v>10</v>
      </c>
      <c r="F411" t="s">
        <v>11</v>
      </c>
      <c r="G411">
        <v>19.23076923076923</v>
      </c>
      <c r="H411">
        <v>2.9565115604007097</v>
      </c>
      <c r="I411" t="s">
        <v>3536</v>
      </c>
    </row>
    <row r="412" spans="1:9" x14ac:dyDescent="0.25">
      <c r="A412" t="s">
        <v>1005</v>
      </c>
      <c r="B412">
        <v>3</v>
      </c>
      <c r="C412">
        <v>0.41</v>
      </c>
      <c r="D412" t="s">
        <v>1007</v>
      </c>
      <c r="E412" t="s">
        <v>1008</v>
      </c>
      <c r="F412" t="s">
        <v>11</v>
      </c>
      <c r="G412">
        <v>7.3170731707317076</v>
      </c>
      <c r="H412">
        <v>1.9902104079518932</v>
      </c>
      <c r="I412" t="s">
        <v>3536</v>
      </c>
    </row>
    <row r="413" spans="1:9" x14ac:dyDescent="0.25">
      <c r="A413" t="s">
        <v>1009</v>
      </c>
      <c r="B413">
        <v>3</v>
      </c>
      <c r="C413">
        <v>0.47499999999999998</v>
      </c>
      <c r="D413" t="s">
        <v>1010</v>
      </c>
      <c r="E413" t="s">
        <v>10</v>
      </c>
      <c r="F413" t="s">
        <v>11</v>
      </c>
      <c r="G413">
        <v>6.3157894736842106</v>
      </c>
      <c r="H413">
        <v>1.8430527636156055</v>
      </c>
      <c r="I413" t="s">
        <v>3536</v>
      </c>
    </row>
    <row r="414" spans="1:9" x14ac:dyDescent="0.25">
      <c r="A414" t="s">
        <v>1011</v>
      </c>
      <c r="B414">
        <v>3</v>
      </c>
      <c r="C414">
        <v>0.628</v>
      </c>
      <c r="D414" t="s">
        <v>1012</v>
      </c>
      <c r="E414" t="s">
        <v>554</v>
      </c>
      <c r="F414" t="s">
        <v>526</v>
      </c>
      <c r="G414">
        <v>4.7770700636942678</v>
      </c>
      <c r="H414">
        <v>1.5638274011820481</v>
      </c>
      <c r="I414" t="s">
        <v>3536</v>
      </c>
    </row>
    <row r="415" spans="1:9" x14ac:dyDescent="0.25">
      <c r="A415" t="s">
        <v>1013</v>
      </c>
      <c r="B415">
        <v>3</v>
      </c>
      <c r="C415">
        <v>0.754</v>
      </c>
      <c r="D415" t="s">
        <v>1015</v>
      </c>
      <c r="E415" t="s">
        <v>44</v>
      </c>
      <c r="F415" t="s">
        <v>21</v>
      </c>
      <c r="G415">
        <v>3.9787798408488064</v>
      </c>
      <c r="H415">
        <v>1.3809751996422908</v>
      </c>
      <c r="I415" t="s">
        <v>3536</v>
      </c>
    </row>
    <row r="416" spans="1:9" x14ac:dyDescent="0.25">
      <c r="A416" t="s">
        <v>1016</v>
      </c>
      <c r="B416">
        <v>3</v>
      </c>
      <c r="C416">
        <v>8.9999999999999993E-3</v>
      </c>
      <c r="D416" t="s">
        <v>1018</v>
      </c>
      <c r="E416" t="s">
        <v>294</v>
      </c>
      <c r="F416" t="s">
        <v>21</v>
      </c>
      <c r="G416">
        <v>333.33333333333337</v>
      </c>
      <c r="H416">
        <v>5.8091429903140277</v>
      </c>
      <c r="I416" t="s">
        <v>3536</v>
      </c>
    </row>
    <row r="417" spans="1:9" x14ac:dyDescent="0.25">
      <c r="A417" t="s">
        <v>1019</v>
      </c>
      <c r="B417">
        <v>3</v>
      </c>
      <c r="C417">
        <v>1</v>
      </c>
      <c r="D417" t="s">
        <v>1020</v>
      </c>
      <c r="E417" t="s">
        <v>10</v>
      </c>
      <c r="F417" t="s">
        <v>11</v>
      </c>
      <c r="G417">
        <v>3</v>
      </c>
      <c r="H417">
        <v>1.0986122886681098</v>
      </c>
      <c r="I417" t="s">
        <v>3536</v>
      </c>
    </row>
    <row r="418" spans="1:9" x14ac:dyDescent="0.25">
      <c r="A418" t="s">
        <v>1021</v>
      </c>
      <c r="B418">
        <v>3</v>
      </c>
      <c r="C418">
        <v>9.2999999999999999E-2</v>
      </c>
      <c r="D418" t="s">
        <v>1023</v>
      </c>
      <c r="E418" t="s">
        <v>10</v>
      </c>
      <c r="F418" t="s">
        <v>11</v>
      </c>
      <c r="G418">
        <v>32.258064516129032</v>
      </c>
      <c r="H418">
        <v>3.473768074496991</v>
      </c>
      <c r="I418" t="s">
        <v>3536</v>
      </c>
    </row>
    <row r="419" spans="1:9" x14ac:dyDescent="0.25">
      <c r="A419" t="s">
        <v>1024</v>
      </c>
      <c r="B419">
        <v>3</v>
      </c>
      <c r="C419">
        <v>0.57999999999999996</v>
      </c>
      <c r="D419" t="s">
        <v>1025</v>
      </c>
      <c r="E419" t="s">
        <v>10</v>
      </c>
      <c r="F419" t="s">
        <v>11</v>
      </c>
      <c r="G419">
        <v>5.1724137931034484</v>
      </c>
      <c r="H419">
        <v>1.6433394641097818</v>
      </c>
      <c r="I419" t="s">
        <v>3536</v>
      </c>
    </row>
    <row r="420" spans="1:9" x14ac:dyDescent="0.25">
      <c r="A420" t="s">
        <v>1026</v>
      </c>
      <c r="B420">
        <v>3</v>
      </c>
      <c r="C420">
        <v>0.496</v>
      </c>
      <c r="D420" t="s">
        <v>254</v>
      </c>
      <c r="E420" t="s">
        <v>10</v>
      </c>
      <c r="F420" t="s">
        <v>11</v>
      </c>
      <c r="G420">
        <v>6.0483870967741939</v>
      </c>
      <c r="H420">
        <v>1.7997916409253194</v>
      </c>
      <c r="I420" t="s">
        <v>3536</v>
      </c>
    </row>
    <row r="421" spans="1:9" x14ac:dyDescent="0.25">
      <c r="A421" t="s">
        <v>1028</v>
      </c>
      <c r="B421">
        <v>3</v>
      </c>
      <c r="C421">
        <v>0.47199999999999998</v>
      </c>
      <c r="D421" t="s">
        <v>1030</v>
      </c>
      <c r="E421" t="s">
        <v>10</v>
      </c>
      <c r="F421" t="s">
        <v>11</v>
      </c>
      <c r="G421">
        <v>6.3559322033898304</v>
      </c>
      <c r="H421">
        <v>1.8493885820646914</v>
      </c>
      <c r="I421" t="s">
        <v>3536</v>
      </c>
    </row>
    <row r="422" spans="1:9" x14ac:dyDescent="0.25">
      <c r="A422" t="s">
        <v>1031</v>
      </c>
      <c r="B422">
        <v>3</v>
      </c>
      <c r="C422">
        <v>0.61199999999999999</v>
      </c>
      <c r="D422" t="s">
        <v>1032</v>
      </c>
      <c r="E422" t="s">
        <v>20</v>
      </c>
      <c r="F422" t="s">
        <v>21</v>
      </c>
      <c r="G422">
        <v>4.9019607843137258</v>
      </c>
      <c r="H422">
        <v>1.5896352851379207</v>
      </c>
      <c r="I422" t="s">
        <v>3536</v>
      </c>
    </row>
    <row r="423" spans="1:9" x14ac:dyDescent="0.25">
      <c r="A423" t="s">
        <v>1033</v>
      </c>
      <c r="B423">
        <v>3</v>
      </c>
      <c r="C423">
        <v>4</v>
      </c>
      <c r="D423" t="s">
        <v>1034</v>
      </c>
      <c r="E423" t="s">
        <v>1035</v>
      </c>
      <c r="F423" t="s">
        <v>21</v>
      </c>
      <c r="G423">
        <v>0.75</v>
      </c>
      <c r="H423">
        <v>-0.2876820724517809</v>
      </c>
      <c r="I423" t="s">
        <v>3536</v>
      </c>
    </row>
    <row r="424" spans="1:9" x14ac:dyDescent="0.25">
      <c r="A424" t="s">
        <v>1036</v>
      </c>
      <c r="B424">
        <v>3</v>
      </c>
      <c r="C424">
        <v>0</v>
      </c>
      <c r="E424" t="s">
        <v>20</v>
      </c>
      <c r="F424" t="s">
        <v>21</v>
      </c>
      <c r="G424" t="s">
        <v>3535</v>
      </c>
      <c r="H424" t="s">
        <v>3535</v>
      </c>
      <c r="I424" t="s">
        <v>3537</v>
      </c>
    </row>
    <row r="425" spans="1:9" x14ac:dyDescent="0.25">
      <c r="A425" t="s">
        <v>1037</v>
      </c>
      <c r="B425">
        <v>3</v>
      </c>
      <c r="C425">
        <v>0.64200000000000002</v>
      </c>
      <c r="D425" t="s">
        <v>1039</v>
      </c>
      <c r="E425" t="s">
        <v>10</v>
      </c>
      <c r="F425" t="s">
        <v>11</v>
      </c>
      <c r="G425">
        <v>4.6728971962616823</v>
      </c>
      <c r="H425">
        <v>1.5417792639602856</v>
      </c>
      <c r="I425" t="s">
        <v>3536</v>
      </c>
    </row>
    <row r="426" spans="1:9" x14ac:dyDescent="0.25">
      <c r="A426" t="s">
        <v>1040</v>
      </c>
      <c r="B426">
        <v>3</v>
      </c>
      <c r="C426">
        <v>0.626</v>
      </c>
      <c r="D426" t="s">
        <v>1042</v>
      </c>
      <c r="E426" t="s">
        <v>10</v>
      </c>
      <c r="F426" t="s">
        <v>11</v>
      </c>
      <c r="G426">
        <v>4.7923322683706067</v>
      </c>
      <c r="H426">
        <v>1.567017196550148</v>
      </c>
      <c r="I426" t="s">
        <v>3536</v>
      </c>
    </row>
    <row r="427" spans="1:9" x14ac:dyDescent="0.25">
      <c r="A427" t="s">
        <v>1043</v>
      </c>
      <c r="B427">
        <v>3</v>
      </c>
      <c r="C427">
        <v>0.56200000000000006</v>
      </c>
      <c r="D427" t="s">
        <v>469</v>
      </c>
      <c r="E427" t="s">
        <v>170</v>
      </c>
      <c r="F427" t="s">
        <v>50</v>
      </c>
      <c r="G427">
        <v>5.3380782918149459</v>
      </c>
      <c r="H427">
        <v>1.6748657177565556</v>
      </c>
      <c r="I427" t="s">
        <v>3536</v>
      </c>
    </row>
    <row r="428" spans="1:9" x14ac:dyDescent="0.25">
      <c r="A428" t="s">
        <v>1044</v>
      </c>
      <c r="B428">
        <v>3</v>
      </c>
      <c r="C428">
        <v>0.63600000000000001</v>
      </c>
      <c r="D428" t="s">
        <v>1046</v>
      </c>
      <c r="E428" t="s">
        <v>10</v>
      </c>
      <c r="F428" t="s">
        <v>11</v>
      </c>
      <c r="G428">
        <v>4.716981132075472</v>
      </c>
      <c r="H428">
        <v>1.5511690043101247</v>
      </c>
      <c r="I428" t="s">
        <v>3536</v>
      </c>
    </row>
    <row r="429" spans="1:9" x14ac:dyDescent="0.25">
      <c r="A429" t="s">
        <v>1047</v>
      </c>
      <c r="B429">
        <v>3</v>
      </c>
      <c r="C429">
        <v>0.47399999999999998</v>
      </c>
      <c r="D429" t="s">
        <v>1048</v>
      </c>
      <c r="E429" t="s">
        <v>10</v>
      </c>
      <c r="F429" t="s">
        <v>11</v>
      </c>
      <c r="G429">
        <v>6.3291139240506329</v>
      </c>
      <c r="H429">
        <v>1.8451602459551701</v>
      </c>
      <c r="I429" t="s">
        <v>3536</v>
      </c>
    </row>
    <row r="430" spans="1:9" x14ac:dyDescent="0.25">
      <c r="A430" t="s">
        <v>1049</v>
      </c>
      <c r="B430">
        <v>3</v>
      </c>
      <c r="C430">
        <v>0.89</v>
      </c>
      <c r="D430" t="s">
        <v>1051</v>
      </c>
      <c r="E430" t="s">
        <v>10</v>
      </c>
      <c r="F430" t="s">
        <v>11</v>
      </c>
      <c r="G430">
        <v>3.3707865168539324</v>
      </c>
      <c r="H430">
        <v>1.2151461049240611</v>
      </c>
      <c r="I430" t="s">
        <v>3536</v>
      </c>
    </row>
    <row r="431" spans="1:9" x14ac:dyDescent="0.25">
      <c r="A431" t="s">
        <v>1052</v>
      </c>
      <c r="B431">
        <v>3</v>
      </c>
      <c r="C431">
        <v>0.2</v>
      </c>
      <c r="D431" t="s">
        <v>1053</v>
      </c>
      <c r="E431" t="s">
        <v>522</v>
      </c>
      <c r="F431" t="s">
        <v>50</v>
      </c>
      <c r="G431">
        <v>15</v>
      </c>
      <c r="H431">
        <v>2.7080502011022101</v>
      </c>
      <c r="I431" t="s">
        <v>3536</v>
      </c>
    </row>
    <row r="432" spans="1:9" x14ac:dyDescent="0.25">
      <c r="A432" t="s">
        <v>1054</v>
      </c>
      <c r="B432">
        <v>3</v>
      </c>
      <c r="C432">
        <v>0.26800000000000002</v>
      </c>
      <c r="D432" t="s">
        <v>1056</v>
      </c>
      <c r="E432" t="s">
        <v>10</v>
      </c>
      <c r="F432" t="s">
        <v>11</v>
      </c>
      <c r="G432">
        <v>11.194029850746269</v>
      </c>
      <c r="H432">
        <v>2.4153805871393899</v>
      </c>
      <c r="I432" t="s">
        <v>3536</v>
      </c>
    </row>
    <row r="433" spans="1:9" x14ac:dyDescent="0.25">
      <c r="A433" t="s">
        <v>1057</v>
      </c>
      <c r="B433">
        <v>3</v>
      </c>
      <c r="C433">
        <v>0.35099999999999998</v>
      </c>
      <c r="D433" t="s">
        <v>1059</v>
      </c>
      <c r="E433" t="s">
        <v>365</v>
      </c>
      <c r="F433" t="s">
        <v>11</v>
      </c>
      <c r="G433">
        <v>8.5470085470085468</v>
      </c>
      <c r="H433">
        <v>2.145581344184381</v>
      </c>
      <c r="I433" t="s">
        <v>3536</v>
      </c>
    </row>
    <row r="434" spans="1:9" x14ac:dyDescent="0.25">
      <c r="A434" t="s">
        <v>1060</v>
      </c>
      <c r="B434">
        <v>3</v>
      </c>
      <c r="C434">
        <v>0.217</v>
      </c>
      <c r="D434" t="s">
        <v>1062</v>
      </c>
      <c r="E434" t="s">
        <v>10</v>
      </c>
      <c r="F434" t="s">
        <v>11</v>
      </c>
      <c r="G434">
        <v>13.824884792626728</v>
      </c>
      <c r="H434">
        <v>2.6264702141097871</v>
      </c>
      <c r="I434" t="s">
        <v>3536</v>
      </c>
    </row>
    <row r="435" spans="1:9" x14ac:dyDescent="0.25">
      <c r="A435" t="s">
        <v>1063</v>
      </c>
      <c r="B435">
        <v>3</v>
      </c>
      <c r="C435">
        <v>0.89</v>
      </c>
      <c r="D435" t="s">
        <v>1064</v>
      </c>
      <c r="E435" t="s">
        <v>10</v>
      </c>
      <c r="F435" t="s">
        <v>11</v>
      </c>
      <c r="G435">
        <v>3.3707865168539324</v>
      </c>
      <c r="H435">
        <v>1.2151461049240611</v>
      </c>
      <c r="I435" t="s">
        <v>3536</v>
      </c>
    </row>
    <row r="436" spans="1:9" x14ac:dyDescent="0.25">
      <c r="A436" t="s">
        <v>1065</v>
      </c>
      <c r="B436">
        <v>3</v>
      </c>
      <c r="C436">
        <v>0.628</v>
      </c>
      <c r="D436" t="s">
        <v>1066</v>
      </c>
      <c r="E436" t="s">
        <v>273</v>
      </c>
      <c r="F436" t="s">
        <v>21</v>
      </c>
      <c r="G436">
        <v>4.7770700636942678</v>
      </c>
      <c r="H436">
        <v>1.5638274011820481</v>
      </c>
      <c r="I436" t="s">
        <v>3536</v>
      </c>
    </row>
    <row r="437" spans="1:9" x14ac:dyDescent="0.25">
      <c r="A437" t="s">
        <v>1067</v>
      </c>
      <c r="B437">
        <v>3</v>
      </c>
      <c r="C437">
        <v>0.47399999999999998</v>
      </c>
      <c r="D437" t="s">
        <v>1068</v>
      </c>
      <c r="E437" t="s">
        <v>10</v>
      </c>
      <c r="F437" t="s">
        <v>11</v>
      </c>
      <c r="G437">
        <v>6.3291139240506329</v>
      </c>
      <c r="H437">
        <v>1.8451602459551701</v>
      </c>
      <c r="I437" t="s">
        <v>3536</v>
      </c>
    </row>
    <row r="438" spans="1:9" x14ac:dyDescent="0.25">
      <c r="A438" t="s">
        <v>1069</v>
      </c>
      <c r="B438">
        <v>3</v>
      </c>
      <c r="C438">
        <v>0</v>
      </c>
      <c r="D438" t="s">
        <v>1004</v>
      </c>
      <c r="E438" t="s">
        <v>10</v>
      </c>
      <c r="F438" t="s">
        <v>11</v>
      </c>
      <c r="G438" t="s">
        <v>3535</v>
      </c>
      <c r="H438" t="s">
        <v>3535</v>
      </c>
      <c r="I438" t="s">
        <v>3537</v>
      </c>
    </row>
    <row r="439" spans="1:9" x14ac:dyDescent="0.25">
      <c r="A439" t="s">
        <v>1070</v>
      </c>
      <c r="B439">
        <v>3</v>
      </c>
      <c r="C439">
        <v>0.77500000000000002</v>
      </c>
      <c r="D439" t="s">
        <v>1072</v>
      </c>
      <c r="E439" t="s">
        <v>10</v>
      </c>
      <c r="F439" t="s">
        <v>11</v>
      </c>
      <c r="G439">
        <v>3.8709677419354835</v>
      </c>
      <c r="H439">
        <v>1.3535045382968998</v>
      </c>
      <c r="I439" t="s">
        <v>3536</v>
      </c>
    </row>
    <row r="440" spans="1:9" x14ac:dyDescent="0.25">
      <c r="A440" t="s">
        <v>1073</v>
      </c>
      <c r="B440">
        <v>3</v>
      </c>
      <c r="C440">
        <v>1</v>
      </c>
      <c r="D440" t="s">
        <v>1074</v>
      </c>
      <c r="E440" t="s">
        <v>445</v>
      </c>
      <c r="F440" t="s">
        <v>50</v>
      </c>
      <c r="G440">
        <v>3</v>
      </c>
      <c r="H440">
        <v>1.0986122886681098</v>
      </c>
      <c r="I440" t="s">
        <v>3536</v>
      </c>
    </row>
    <row r="441" spans="1:9" x14ac:dyDescent="0.25">
      <c r="A441" t="s">
        <v>1075</v>
      </c>
      <c r="B441">
        <v>3</v>
      </c>
      <c r="C441">
        <v>0.33</v>
      </c>
      <c r="D441" t="s">
        <v>1077</v>
      </c>
      <c r="E441" t="s">
        <v>10</v>
      </c>
      <c r="F441" t="s">
        <v>11</v>
      </c>
      <c r="G441">
        <v>9.0909090909090899</v>
      </c>
      <c r="H441">
        <v>2.2072749131897207</v>
      </c>
      <c r="I441" t="s">
        <v>3536</v>
      </c>
    </row>
    <row r="442" spans="1:9" x14ac:dyDescent="0.25">
      <c r="A442" t="s">
        <v>1078</v>
      </c>
      <c r="B442">
        <v>3</v>
      </c>
      <c r="C442">
        <v>0.85899999999999999</v>
      </c>
      <c r="D442" t="s">
        <v>1080</v>
      </c>
      <c r="E442" t="s">
        <v>10</v>
      </c>
      <c r="F442" t="s">
        <v>11</v>
      </c>
      <c r="G442">
        <v>3.4924330616996508</v>
      </c>
      <c r="H442">
        <v>1.2505986456659914</v>
      </c>
      <c r="I442" t="s">
        <v>3536</v>
      </c>
    </row>
    <row r="443" spans="1:9" x14ac:dyDescent="0.25">
      <c r="A443" t="s">
        <v>1081</v>
      </c>
      <c r="B443">
        <v>3</v>
      </c>
      <c r="C443">
        <v>0.33300000000000002</v>
      </c>
      <c r="D443" t="s">
        <v>66</v>
      </c>
      <c r="E443" t="s">
        <v>170</v>
      </c>
      <c r="F443" t="s">
        <v>50</v>
      </c>
      <c r="G443">
        <v>9.0090090090090094</v>
      </c>
      <c r="H443">
        <v>2.1982250776698029</v>
      </c>
      <c r="I443" t="s">
        <v>3536</v>
      </c>
    </row>
    <row r="444" spans="1:9" x14ac:dyDescent="0.25">
      <c r="A444" t="s">
        <v>1082</v>
      </c>
      <c r="B444">
        <v>3</v>
      </c>
      <c r="C444">
        <v>0.35099999999999998</v>
      </c>
      <c r="D444" t="s">
        <v>1083</v>
      </c>
      <c r="E444" t="s">
        <v>10</v>
      </c>
      <c r="F444" t="s">
        <v>11</v>
      </c>
      <c r="G444">
        <v>8.5470085470085468</v>
      </c>
      <c r="H444">
        <v>2.145581344184381</v>
      </c>
      <c r="I444" t="s">
        <v>3536</v>
      </c>
    </row>
    <row r="445" spans="1:9" x14ac:dyDescent="0.25">
      <c r="A445" t="s">
        <v>1084</v>
      </c>
      <c r="B445">
        <v>3</v>
      </c>
      <c r="C445">
        <v>0.42299999999999999</v>
      </c>
      <c r="D445" t="s">
        <v>820</v>
      </c>
      <c r="E445" t="s">
        <v>10</v>
      </c>
      <c r="F445" t="s">
        <v>11</v>
      </c>
      <c r="G445">
        <v>7.0921985815602842</v>
      </c>
      <c r="H445">
        <v>1.9589953886039688</v>
      </c>
      <c r="I445" t="s">
        <v>3536</v>
      </c>
    </row>
    <row r="446" spans="1:9" x14ac:dyDescent="0.25">
      <c r="A446" t="s">
        <v>1086</v>
      </c>
      <c r="B446">
        <v>3</v>
      </c>
      <c r="C446">
        <v>0.17</v>
      </c>
      <c r="D446" t="s">
        <v>137</v>
      </c>
      <c r="E446" t="s">
        <v>10</v>
      </c>
      <c r="F446" t="s">
        <v>11</v>
      </c>
      <c r="G446">
        <v>17.647058823529409</v>
      </c>
      <c r="H446">
        <v>2.8705691305999848</v>
      </c>
      <c r="I446" t="s">
        <v>3536</v>
      </c>
    </row>
    <row r="447" spans="1:9" x14ac:dyDescent="0.25">
      <c r="A447" t="s">
        <v>1087</v>
      </c>
      <c r="B447">
        <v>3</v>
      </c>
      <c r="C447">
        <v>0.26</v>
      </c>
      <c r="D447" t="s">
        <v>1089</v>
      </c>
      <c r="E447" t="s">
        <v>554</v>
      </c>
      <c r="F447" t="s">
        <v>526</v>
      </c>
      <c r="G447">
        <v>11.538461538461538</v>
      </c>
      <c r="H447">
        <v>2.4456859366347188</v>
      </c>
      <c r="I447" t="s">
        <v>3536</v>
      </c>
    </row>
    <row r="448" spans="1:9" x14ac:dyDescent="0.25">
      <c r="A448" t="s">
        <v>1090</v>
      </c>
      <c r="B448">
        <v>3</v>
      </c>
      <c r="C448">
        <v>1</v>
      </c>
      <c r="D448" t="s">
        <v>1091</v>
      </c>
      <c r="E448" t="s">
        <v>170</v>
      </c>
      <c r="F448" t="s">
        <v>50</v>
      </c>
      <c r="G448">
        <v>3</v>
      </c>
      <c r="H448">
        <v>1.0986122886681098</v>
      </c>
      <c r="I448" t="s">
        <v>3536</v>
      </c>
    </row>
    <row r="449" spans="1:9" x14ac:dyDescent="0.25">
      <c r="A449" t="s">
        <v>1092</v>
      </c>
      <c r="B449">
        <v>3</v>
      </c>
      <c r="C449">
        <v>0.79500000000000004</v>
      </c>
      <c r="D449" t="s">
        <v>1094</v>
      </c>
      <c r="E449" t="s">
        <v>44</v>
      </c>
      <c r="F449" t="s">
        <v>21</v>
      </c>
      <c r="G449">
        <v>3.773584905660377</v>
      </c>
      <c r="H449">
        <v>1.3280254529959148</v>
      </c>
      <c r="I449" t="s">
        <v>3536</v>
      </c>
    </row>
    <row r="450" spans="1:9" x14ac:dyDescent="0.25">
      <c r="A450" t="s">
        <v>1095</v>
      </c>
      <c r="B450">
        <v>3</v>
      </c>
      <c r="C450">
        <v>0.5</v>
      </c>
      <c r="D450" t="s">
        <v>955</v>
      </c>
      <c r="E450" t="s">
        <v>10</v>
      </c>
      <c r="F450" t="s">
        <v>11</v>
      </c>
      <c r="G450">
        <v>6</v>
      </c>
      <c r="H450">
        <v>1.791759469228055</v>
      </c>
      <c r="I450" t="s">
        <v>3536</v>
      </c>
    </row>
    <row r="451" spans="1:9" x14ac:dyDescent="0.25">
      <c r="A451" t="s">
        <v>1096</v>
      </c>
      <c r="B451">
        <v>3</v>
      </c>
      <c r="C451">
        <v>2</v>
      </c>
      <c r="D451" t="s">
        <v>454</v>
      </c>
      <c r="E451" t="s">
        <v>20</v>
      </c>
      <c r="F451" t="s">
        <v>21</v>
      </c>
      <c r="G451">
        <v>1.5</v>
      </c>
      <c r="H451">
        <v>0.40546510810816438</v>
      </c>
      <c r="I451" t="s">
        <v>3536</v>
      </c>
    </row>
    <row r="452" spans="1:9" x14ac:dyDescent="0.25">
      <c r="A452" t="s">
        <v>1097</v>
      </c>
      <c r="B452">
        <v>3</v>
      </c>
      <c r="C452">
        <v>0.38900000000000001</v>
      </c>
      <c r="D452" t="s">
        <v>1099</v>
      </c>
      <c r="E452" t="s">
        <v>49</v>
      </c>
      <c r="F452" t="s">
        <v>50</v>
      </c>
      <c r="G452">
        <v>7.7120822622107967</v>
      </c>
      <c r="H452">
        <v>2.0427882240318005</v>
      </c>
      <c r="I452" t="s">
        <v>3536</v>
      </c>
    </row>
    <row r="453" spans="1:9" x14ac:dyDescent="0.25">
      <c r="A453" t="s">
        <v>1100</v>
      </c>
      <c r="B453">
        <v>3</v>
      </c>
      <c r="C453">
        <v>0.44700000000000001</v>
      </c>
      <c r="D453" t="s">
        <v>1102</v>
      </c>
      <c r="E453" t="s">
        <v>10</v>
      </c>
      <c r="F453" t="s">
        <v>11</v>
      </c>
      <c r="G453">
        <v>6.7114093959731544</v>
      </c>
      <c r="H453">
        <v>1.9038089730366778</v>
      </c>
      <c r="I453" t="s">
        <v>3536</v>
      </c>
    </row>
    <row r="454" spans="1:9" x14ac:dyDescent="0.25">
      <c r="A454" t="s">
        <v>1103</v>
      </c>
      <c r="B454">
        <v>3</v>
      </c>
      <c r="C454">
        <v>0.36</v>
      </c>
      <c r="D454" t="s">
        <v>66</v>
      </c>
      <c r="E454" t="s">
        <v>10</v>
      </c>
      <c r="F454" t="s">
        <v>11</v>
      </c>
      <c r="G454">
        <v>8.3333333333333339</v>
      </c>
      <c r="H454">
        <v>2.120263536200091</v>
      </c>
      <c r="I454" t="s">
        <v>3536</v>
      </c>
    </row>
    <row r="455" spans="1:9" x14ac:dyDescent="0.25">
      <c r="A455" t="s">
        <v>1105</v>
      </c>
      <c r="B455">
        <v>3</v>
      </c>
      <c r="C455">
        <v>2</v>
      </c>
      <c r="D455" t="s">
        <v>1106</v>
      </c>
      <c r="E455" t="s">
        <v>20</v>
      </c>
      <c r="F455" t="s">
        <v>21</v>
      </c>
      <c r="G455">
        <v>1.5</v>
      </c>
      <c r="H455">
        <v>0.40546510810816438</v>
      </c>
      <c r="I455" t="s">
        <v>3536</v>
      </c>
    </row>
    <row r="456" spans="1:9" x14ac:dyDescent="0.25">
      <c r="A456" t="s">
        <v>1107</v>
      </c>
      <c r="B456">
        <v>3</v>
      </c>
      <c r="C456">
        <v>0.52200000000000002</v>
      </c>
      <c r="D456" t="s">
        <v>1109</v>
      </c>
      <c r="E456" t="s">
        <v>20</v>
      </c>
      <c r="F456" t="s">
        <v>21</v>
      </c>
      <c r="G456">
        <v>5.7471264367816088</v>
      </c>
      <c r="H456">
        <v>1.7486999797676079</v>
      </c>
      <c r="I456" t="s">
        <v>3536</v>
      </c>
    </row>
    <row r="457" spans="1:9" x14ac:dyDescent="0.25">
      <c r="A457" t="s">
        <v>1110</v>
      </c>
      <c r="B457">
        <v>3</v>
      </c>
      <c r="C457">
        <v>0.52500000000000002</v>
      </c>
      <c r="D457" t="s">
        <v>66</v>
      </c>
      <c r="E457" t="s">
        <v>10</v>
      </c>
      <c r="F457" t="s">
        <v>11</v>
      </c>
      <c r="G457">
        <v>5.7142857142857144</v>
      </c>
      <c r="H457">
        <v>1.742969305058623</v>
      </c>
      <c r="I457" t="s">
        <v>3536</v>
      </c>
    </row>
    <row r="458" spans="1:9" x14ac:dyDescent="0.25">
      <c r="A458" t="s">
        <v>1112</v>
      </c>
      <c r="B458">
        <v>3</v>
      </c>
      <c r="C458">
        <v>0.77500000000000002</v>
      </c>
      <c r="D458" t="s">
        <v>1113</v>
      </c>
      <c r="E458" t="s">
        <v>20</v>
      </c>
      <c r="F458" t="s">
        <v>21</v>
      </c>
      <c r="G458">
        <v>3.8709677419354835</v>
      </c>
      <c r="H458">
        <v>1.3535045382968998</v>
      </c>
      <c r="I458" t="s">
        <v>3536</v>
      </c>
    </row>
    <row r="459" spans="1:9" x14ac:dyDescent="0.25">
      <c r="A459" t="s">
        <v>1114</v>
      </c>
      <c r="B459">
        <v>3</v>
      </c>
      <c r="C459">
        <v>0.24</v>
      </c>
      <c r="D459" t="s">
        <v>1116</v>
      </c>
      <c r="E459" t="s">
        <v>10</v>
      </c>
      <c r="F459" t="s">
        <v>11</v>
      </c>
      <c r="G459">
        <v>12.5</v>
      </c>
      <c r="H459">
        <v>2.5257286443082556</v>
      </c>
      <c r="I459" t="s">
        <v>3536</v>
      </c>
    </row>
    <row r="460" spans="1:9" x14ac:dyDescent="0.25">
      <c r="A460" t="s">
        <v>1117</v>
      </c>
      <c r="B460">
        <v>3</v>
      </c>
      <c r="C460">
        <v>0.33</v>
      </c>
      <c r="D460" t="s">
        <v>1118</v>
      </c>
      <c r="E460" t="s">
        <v>10</v>
      </c>
      <c r="F460" t="s">
        <v>11</v>
      </c>
      <c r="G460">
        <v>9.0909090909090899</v>
      </c>
      <c r="H460">
        <v>2.2072749131897207</v>
      </c>
      <c r="I460" t="s">
        <v>3536</v>
      </c>
    </row>
    <row r="461" spans="1:9" x14ac:dyDescent="0.25">
      <c r="A461" t="s">
        <v>1119</v>
      </c>
      <c r="B461">
        <v>3</v>
      </c>
      <c r="C461">
        <v>1</v>
      </c>
      <c r="D461" t="s">
        <v>1120</v>
      </c>
      <c r="E461" t="s">
        <v>49</v>
      </c>
      <c r="F461" t="s">
        <v>50</v>
      </c>
      <c r="G461">
        <v>3</v>
      </c>
      <c r="H461">
        <v>1.0986122886681098</v>
      </c>
      <c r="I461" t="s">
        <v>3536</v>
      </c>
    </row>
    <row r="462" spans="1:9" x14ac:dyDescent="0.25">
      <c r="A462" t="s">
        <v>1121</v>
      </c>
      <c r="B462">
        <v>3</v>
      </c>
      <c r="C462">
        <v>0.29799999999999999</v>
      </c>
      <c r="D462" t="s">
        <v>1123</v>
      </c>
      <c r="E462" t="s">
        <v>10</v>
      </c>
      <c r="F462" t="s">
        <v>11</v>
      </c>
      <c r="G462">
        <v>10.067114093959733</v>
      </c>
      <c r="H462">
        <v>2.3092740811448422</v>
      </c>
      <c r="I462" t="s">
        <v>3536</v>
      </c>
    </row>
    <row r="463" spans="1:9" x14ac:dyDescent="0.25">
      <c r="A463" t="s">
        <v>1124</v>
      </c>
      <c r="B463">
        <v>3</v>
      </c>
      <c r="C463">
        <v>0.42599999999999999</v>
      </c>
      <c r="D463" t="s">
        <v>1125</v>
      </c>
      <c r="E463" t="s">
        <v>10</v>
      </c>
      <c r="F463" t="s">
        <v>11</v>
      </c>
      <c r="G463">
        <v>7.042253521126761</v>
      </c>
      <c r="H463">
        <v>1.9519282213808764</v>
      </c>
      <c r="I463" t="s">
        <v>3536</v>
      </c>
    </row>
    <row r="464" spans="1:9" x14ac:dyDescent="0.25">
      <c r="A464" t="s">
        <v>1126</v>
      </c>
      <c r="B464">
        <v>3</v>
      </c>
      <c r="C464">
        <v>0.87</v>
      </c>
      <c r="D464" t="s">
        <v>722</v>
      </c>
      <c r="E464" t="s">
        <v>10</v>
      </c>
      <c r="F464" t="s">
        <v>11</v>
      </c>
      <c r="G464">
        <v>3.4482758620689657</v>
      </c>
      <c r="H464">
        <v>1.2378743560016174</v>
      </c>
      <c r="I464" t="s">
        <v>3536</v>
      </c>
    </row>
    <row r="465" spans="1:9" x14ac:dyDescent="0.25">
      <c r="A465" t="s">
        <v>1128</v>
      </c>
      <c r="B465">
        <v>3</v>
      </c>
      <c r="C465">
        <v>0.35799999999999998</v>
      </c>
      <c r="E465" t="s">
        <v>652</v>
      </c>
      <c r="F465" t="s">
        <v>50</v>
      </c>
      <c r="G465">
        <v>8.3798882681564244</v>
      </c>
      <c r="H465">
        <v>2.1258345812495465</v>
      </c>
      <c r="I465" t="s">
        <v>3536</v>
      </c>
    </row>
    <row r="466" spans="1:9" x14ac:dyDescent="0.25">
      <c r="A466" t="s">
        <v>1130</v>
      </c>
      <c r="B466">
        <v>3</v>
      </c>
      <c r="C466">
        <v>0.65900000000000003</v>
      </c>
      <c r="D466" t="s">
        <v>1131</v>
      </c>
      <c r="E466" t="s">
        <v>20</v>
      </c>
      <c r="F466" t="s">
        <v>21</v>
      </c>
      <c r="G466">
        <v>4.5523520485584212</v>
      </c>
      <c r="H466">
        <v>1.5156440331477394</v>
      </c>
      <c r="I466" t="s">
        <v>3536</v>
      </c>
    </row>
    <row r="467" spans="1:9" x14ac:dyDescent="0.25">
      <c r="A467" t="s">
        <v>1132</v>
      </c>
      <c r="B467">
        <v>3</v>
      </c>
      <c r="C467">
        <v>1</v>
      </c>
      <c r="D467" t="s">
        <v>1133</v>
      </c>
      <c r="E467" t="s">
        <v>20</v>
      </c>
      <c r="F467" t="s">
        <v>21</v>
      </c>
      <c r="G467">
        <v>3</v>
      </c>
      <c r="H467">
        <v>1.0986122886681098</v>
      </c>
      <c r="I467" t="s">
        <v>3536</v>
      </c>
    </row>
    <row r="468" spans="1:9" x14ac:dyDescent="0.25">
      <c r="A468" t="s">
        <v>1134</v>
      </c>
      <c r="B468">
        <v>3</v>
      </c>
      <c r="C468">
        <v>0.53600000000000003</v>
      </c>
      <c r="D468" t="s">
        <v>1135</v>
      </c>
      <c r="E468" t="s">
        <v>20</v>
      </c>
      <c r="F468" t="s">
        <v>21</v>
      </c>
      <c r="G468">
        <v>5.5970149253731343</v>
      </c>
      <c r="H468">
        <v>1.7222334065794447</v>
      </c>
      <c r="I468" t="s">
        <v>3536</v>
      </c>
    </row>
    <row r="469" spans="1:9" x14ac:dyDescent="0.25">
      <c r="A469" t="s">
        <v>1136</v>
      </c>
      <c r="B469">
        <v>3</v>
      </c>
      <c r="C469">
        <v>1</v>
      </c>
      <c r="D469" t="s">
        <v>1137</v>
      </c>
      <c r="E469" t="s">
        <v>10</v>
      </c>
      <c r="F469" t="s">
        <v>11</v>
      </c>
      <c r="G469">
        <v>3</v>
      </c>
      <c r="H469">
        <v>1.0986122886681098</v>
      </c>
      <c r="I469" t="s">
        <v>3536</v>
      </c>
    </row>
    <row r="470" spans="1:9" x14ac:dyDescent="0.25">
      <c r="A470" t="s">
        <v>1138</v>
      </c>
      <c r="B470">
        <v>3</v>
      </c>
      <c r="C470">
        <v>0.29499999999999998</v>
      </c>
      <c r="E470" t="s">
        <v>20</v>
      </c>
      <c r="F470" t="s">
        <v>21</v>
      </c>
      <c r="G470">
        <v>10.16949152542373</v>
      </c>
      <c r="H470">
        <v>2.3193922113104271</v>
      </c>
      <c r="I470" t="s">
        <v>3536</v>
      </c>
    </row>
    <row r="471" spans="1:9" x14ac:dyDescent="0.25">
      <c r="A471" t="s">
        <v>1140</v>
      </c>
      <c r="B471">
        <v>3</v>
      </c>
      <c r="C471">
        <v>0.81299999999999994</v>
      </c>
      <c r="D471" t="s">
        <v>1141</v>
      </c>
      <c r="E471" t="s">
        <v>20</v>
      </c>
      <c r="F471" t="s">
        <v>21</v>
      </c>
      <c r="G471">
        <v>3.6900369003690039</v>
      </c>
      <c r="H471">
        <v>1.3056364581024362</v>
      </c>
      <c r="I471" t="s">
        <v>3536</v>
      </c>
    </row>
    <row r="472" spans="1:9" x14ac:dyDescent="0.25">
      <c r="A472" t="s">
        <v>1142</v>
      </c>
      <c r="B472">
        <v>3</v>
      </c>
      <c r="C472">
        <v>0.98299999999999998</v>
      </c>
      <c r="D472" t="s">
        <v>1143</v>
      </c>
      <c r="E472" t="s">
        <v>20</v>
      </c>
      <c r="F472" t="s">
        <v>21</v>
      </c>
      <c r="G472">
        <v>3.0518819938962363</v>
      </c>
      <c r="H472">
        <v>1.1157584475030802</v>
      </c>
      <c r="I472" t="s">
        <v>3536</v>
      </c>
    </row>
    <row r="473" spans="1:9" x14ac:dyDescent="0.25">
      <c r="A473" t="s">
        <v>1144</v>
      </c>
      <c r="B473">
        <v>3</v>
      </c>
      <c r="C473">
        <v>0.72199999999999998</v>
      </c>
      <c r="D473" t="s">
        <v>1146</v>
      </c>
      <c r="E473" t="s">
        <v>10</v>
      </c>
      <c r="F473" t="s">
        <v>11</v>
      </c>
      <c r="G473">
        <v>4.1551246537396125</v>
      </c>
      <c r="H473">
        <v>1.4243424287574207</v>
      </c>
      <c r="I473" t="s">
        <v>3536</v>
      </c>
    </row>
    <row r="474" spans="1:9" x14ac:dyDescent="0.25">
      <c r="A474" t="s">
        <v>1147</v>
      </c>
      <c r="B474">
        <v>3</v>
      </c>
      <c r="C474">
        <v>0.88800000000000001</v>
      </c>
      <c r="D474" t="s">
        <v>1146</v>
      </c>
      <c r="E474" t="s">
        <v>554</v>
      </c>
      <c r="F474" t="s">
        <v>526</v>
      </c>
      <c r="G474">
        <v>3.3783783783783785</v>
      </c>
      <c r="H474">
        <v>1.2173958246580767</v>
      </c>
      <c r="I474" t="s">
        <v>3536</v>
      </c>
    </row>
    <row r="475" spans="1:9" x14ac:dyDescent="0.25">
      <c r="A475" t="s">
        <v>1149</v>
      </c>
      <c r="B475">
        <v>3</v>
      </c>
      <c r="C475">
        <v>0.55100000000000005</v>
      </c>
      <c r="D475" t="s">
        <v>1151</v>
      </c>
      <c r="E475" t="s">
        <v>10</v>
      </c>
      <c r="F475" t="s">
        <v>11</v>
      </c>
      <c r="G475">
        <v>5.4446460980036298</v>
      </c>
      <c r="H475">
        <v>1.6946327584973322</v>
      </c>
      <c r="I475" t="s">
        <v>3536</v>
      </c>
    </row>
    <row r="476" spans="1:9" x14ac:dyDescent="0.25">
      <c r="A476" t="s">
        <v>1152</v>
      </c>
      <c r="B476">
        <v>3</v>
      </c>
      <c r="C476">
        <v>0.6</v>
      </c>
      <c r="D476" t="s">
        <v>66</v>
      </c>
      <c r="E476" t="s">
        <v>44</v>
      </c>
      <c r="F476" t="s">
        <v>21</v>
      </c>
      <c r="G476">
        <v>5</v>
      </c>
      <c r="H476">
        <v>1.6094379124341003</v>
      </c>
      <c r="I476" t="s">
        <v>3536</v>
      </c>
    </row>
    <row r="477" spans="1:9" x14ac:dyDescent="0.25">
      <c r="A477" t="s">
        <v>1153</v>
      </c>
      <c r="B477">
        <v>3</v>
      </c>
      <c r="C477">
        <v>0.71699999999999997</v>
      </c>
      <c r="D477" t="s">
        <v>1155</v>
      </c>
      <c r="E477" t="s">
        <v>10</v>
      </c>
      <c r="F477" t="s">
        <v>11</v>
      </c>
      <c r="G477">
        <v>4.1841004184100417</v>
      </c>
      <c r="H477">
        <v>1.4312917270506262</v>
      </c>
      <c r="I477" t="s">
        <v>3536</v>
      </c>
    </row>
    <row r="478" spans="1:9" x14ac:dyDescent="0.25">
      <c r="A478" t="s">
        <v>1156</v>
      </c>
      <c r="B478">
        <v>3</v>
      </c>
      <c r="C478">
        <v>0.11899999999999999</v>
      </c>
      <c r="E478" t="s">
        <v>20</v>
      </c>
      <c r="F478" t="s">
        <v>21</v>
      </c>
      <c r="G478">
        <v>25.210084033613448</v>
      </c>
      <c r="H478">
        <v>3.2272440745387176</v>
      </c>
      <c r="I478" t="s">
        <v>3536</v>
      </c>
    </row>
    <row r="479" spans="1:9" x14ac:dyDescent="0.25">
      <c r="A479" t="s">
        <v>1158</v>
      </c>
      <c r="B479">
        <v>3</v>
      </c>
      <c r="C479">
        <v>0.34100000000000003</v>
      </c>
      <c r="D479" t="s">
        <v>1068</v>
      </c>
      <c r="E479" t="s">
        <v>10</v>
      </c>
      <c r="F479" t="s">
        <v>11</v>
      </c>
      <c r="G479">
        <v>8.7976539589442808</v>
      </c>
      <c r="H479">
        <v>2.1744850903667299</v>
      </c>
      <c r="I479" t="s">
        <v>3536</v>
      </c>
    </row>
    <row r="480" spans="1:9" x14ac:dyDescent="0.25">
      <c r="A480" t="s">
        <v>1160</v>
      </c>
      <c r="B480">
        <v>3</v>
      </c>
      <c r="C480">
        <v>1</v>
      </c>
      <c r="D480" t="s">
        <v>254</v>
      </c>
      <c r="E480" t="s">
        <v>49</v>
      </c>
      <c r="F480" t="s">
        <v>50</v>
      </c>
      <c r="G480">
        <v>3</v>
      </c>
      <c r="H480">
        <v>1.0986122886681098</v>
      </c>
      <c r="I480" t="s">
        <v>3536</v>
      </c>
    </row>
    <row r="481" spans="1:9" x14ac:dyDescent="0.25">
      <c r="A481" t="s">
        <v>1161</v>
      </c>
      <c r="B481">
        <v>3</v>
      </c>
      <c r="C481">
        <v>0.36599999999999999</v>
      </c>
      <c r="D481" t="s">
        <v>1162</v>
      </c>
      <c r="E481" t="s">
        <v>10</v>
      </c>
      <c r="F481" t="s">
        <v>11</v>
      </c>
      <c r="G481">
        <v>8.1967213114754092</v>
      </c>
      <c r="H481">
        <v>2.1037342342488805</v>
      </c>
      <c r="I481" t="s">
        <v>3536</v>
      </c>
    </row>
    <row r="482" spans="1:9" x14ac:dyDescent="0.25">
      <c r="A482" t="s">
        <v>1163</v>
      </c>
      <c r="B482">
        <v>3</v>
      </c>
      <c r="C482">
        <v>0.64300000000000002</v>
      </c>
      <c r="D482" t="s">
        <v>469</v>
      </c>
      <c r="E482" t="s">
        <v>230</v>
      </c>
      <c r="F482" t="s">
        <v>50</v>
      </c>
      <c r="G482">
        <v>4.6656298600311041</v>
      </c>
      <c r="H482">
        <v>1.5402228434126273</v>
      </c>
      <c r="I482" t="s">
        <v>3536</v>
      </c>
    </row>
    <row r="483" spans="1:9" x14ac:dyDescent="0.25">
      <c r="A483" t="s">
        <v>1164</v>
      </c>
      <c r="B483">
        <v>3</v>
      </c>
      <c r="C483">
        <v>0.57799999999999996</v>
      </c>
      <c r="D483" t="s">
        <v>1166</v>
      </c>
      <c r="E483" t="s">
        <v>44</v>
      </c>
      <c r="F483" t="s">
        <v>21</v>
      </c>
      <c r="G483">
        <v>5.1903114186851216</v>
      </c>
      <c r="H483">
        <v>1.6467936989778693</v>
      </c>
      <c r="I483" t="s">
        <v>3536</v>
      </c>
    </row>
    <row r="484" spans="1:9" x14ac:dyDescent="0.25">
      <c r="A484" t="s">
        <v>1167</v>
      </c>
      <c r="B484">
        <v>3</v>
      </c>
      <c r="C484">
        <v>0.50800000000000001</v>
      </c>
      <c r="D484" t="s">
        <v>722</v>
      </c>
      <c r="E484" t="s">
        <v>294</v>
      </c>
      <c r="F484" t="s">
        <v>21</v>
      </c>
      <c r="G484">
        <v>5.9055118110236222</v>
      </c>
      <c r="H484">
        <v>1.7758861200717648</v>
      </c>
      <c r="I484" t="s">
        <v>3536</v>
      </c>
    </row>
    <row r="485" spans="1:9" x14ac:dyDescent="0.25">
      <c r="A485" t="s">
        <v>1169</v>
      </c>
      <c r="B485">
        <v>3</v>
      </c>
      <c r="C485">
        <v>0</v>
      </c>
      <c r="E485" t="s">
        <v>384</v>
      </c>
      <c r="F485" t="s">
        <v>21</v>
      </c>
      <c r="G485" t="s">
        <v>3535</v>
      </c>
      <c r="H485" t="s">
        <v>3535</v>
      </c>
      <c r="I485" t="s">
        <v>3537</v>
      </c>
    </row>
    <row r="486" spans="1:9" x14ac:dyDescent="0.25">
      <c r="A486" t="s">
        <v>1170</v>
      </c>
      <c r="B486">
        <v>3</v>
      </c>
      <c r="C486">
        <v>1</v>
      </c>
      <c r="D486" t="s">
        <v>1171</v>
      </c>
      <c r="E486" t="s">
        <v>1172</v>
      </c>
      <c r="F486" t="s">
        <v>21</v>
      </c>
      <c r="G486">
        <v>3</v>
      </c>
      <c r="H486">
        <v>1.0986122886681098</v>
      </c>
      <c r="I486" t="s">
        <v>3536</v>
      </c>
    </row>
    <row r="487" spans="1:9" x14ac:dyDescent="0.25">
      <c r="A487" t="s">
        <v>1173</v>
      </c>
      <c r="B487">
        <v>3</v>
      </c>
      <c r="C487">
        <v>0.55800000000000005</v>
      </c>
      <c r="D487" t="s">
        <v>1175</v>
      </c>
      <c r="E487" t="s">
        <v>10</v>
      </c>
      <c r="F487" t="s">
        <v>11</v>
      </c>
      <c r="G487">
        <v>5.376344086021505</v>
      </c>
      <c r="H487">
        <v>1.6820086052689358</v>
      </c>
      <c r="I487" t="s">
        <v>3536</v>
      </c>
    </row>
    <row r="488" spans="1:9" x14ac:dyDescent="0.25">
      <c r="A488" t="s">
        <v>1176</v>
      </c>
      <c r="B488">
        <v>3</v>
      </c>
      <c r="C488">
        <v>0.46100000000000002</v>
      </c>
      <c r="D488" t="s">
        <v>97</v>
      </c>
      <c r="E488" t="s">
        <v>10</v>
      </c>
      <c r="F488" t="s">
        <v>11</v>
      </c>
      <c r="G488">
        <v>6.5075921908893708</v>
      </c>
      <c r="H488">
        <v>1.8729695246535982</v>
      </c>
      <c r="I488" t="s">
        <v>3536</v>
      </c>
    </row>
    <row r="489" spans="1:9" x14ac:dyDescent="0.25">
      <c r="A489" t="s">
        <v>1178</v>
      </c>
      <c r="B489">
        <v>3</v>
      </c>
      <c r="C489">
        <v>2</v>
      </c>
      <c r="D489" t="s">
        <v>1179</v>
      </c>
      <c r="E489" t="s">
        <v>20</v>
      </c>
      <c r="F489" t="s">
        <v>21</v>
      </c>
      <c r="G489">
        <v>1.5</v>
      </c>
      <c r="H489">
        <v>0.40546510810816438</v>
      </c>
      <c r="I489" t="s">
        <v>3536</v>
      </c>
    </row>
    <row r="490" spans="1:9" x14ac:dyDescent="0.25">
      <c r="A490" t="s">
        <v>1180</v>
      </c>
      <c r="B490">
        <v>3</v>
      </c>
      <c r="C490">
        <v>0.58299999999999996</v>
      </c>
      <c r="D490" t="s">
        <v>1181</v>
      </c>
      <c r="E490" t="s">
        <v>10</v>
      </c>
      <c r="F490" t="s">
        <v>11</v>
      </c>
      <c r="G490">
        <v>5.1457975986277873</v>
      </c>
      <c r="H490">
        <v>1.6381803812997544</v>
      </c>
      <c r="I490" t="s">
        <v>3536</v>
      </c>
    </row>
    <row r="491" spans="1:9" x14ac:dyDescent="0.25">
      <c r="A491" t="s">
        <v>1182</v>
      </c>
      <c r="B491">
        <v>3</v>
      </c>
      <c r="C491">
        <v>0.2</v>
      </c>
      <c r="D491" t="s">
        <v>1183</v>
      </c>
      <c r="E491" t="s">
        <v>10</v>
      </c>
      <c r="F491" t="s">
        <v>11</v>
      </c>
      <c r="G491">
        <v>15</v>
      </c>
      <c r="H491">
        <v>2.7080502011022101</v>
      </c>
      <c r="I491" t="s">
        <v>3536</v>
      </c>
    </row>
    <row r="492" spans="1:9" x14ac:dyDescent="0.25">
      <c r="A492" t="s">
        <v>1184</v>
      </c>
      <c r="B492">
        <v>3</v>
      </c>
      <c r="C492">
        <v>0.23499999999999999</v>
      </c>
      <c r="D492" t="s">
        <v>1186</v>
      </c>
      <c r="E492" t="s">
        <v>294</v>
      </c>
      <c r="F492" t="s">
        <v>21</v>
      </c>
      <c r="G492">
        <v>12.765957446808512</v>
      </c>
      <c r="H492">
        <v>2.5467820535060879</v>
      </c>
      <c r="I492" t="s">
        <v>3536</v>
      </c>
    </row>
    <row r="493" spans="1:9" x14ac:dyDescent="0.25">
      <c r="A493" t="s">
        <v>1187</v>
      </c>
      <c r="B493">
        <v>3</v>
      </c>
      <c r="C493">
        <v>0.625</v>
      </c>
      <c r="D493" t="s">
        <v>159</v>
      </c>
      <c r="E493" t="s">
        <v>49</v>
      </c>
      <c r="F493" t="s">
        <v>50</v>
      </c>
      <c r="G493">
        <v>4.8</v>
      </c>
      <c r="H493">
        <v>1.5686159179138452</v>
      </c>
      <c r="I493" t="s">
        <v>3536</v>
      </c>
    </row>
    <row r="494" spans="1:9" x14ac:dyDescent="0.25">
      <c r="A494" t="s">
        <v>1188</v>
      </c>
      <c r="B494">
        <v>3</v>
      </c>
      <c r="C494">
        <v>2</v>
      </c>
      <c r="D494" t="s">
        <v>61</v>
      </c>
      <c r="E494" t="s">
        <v>10</v>
      </c>
      <c r="F494" t="s">
        <v>11</v>
      </c>
      <c r="G494">
        <v>1.5</v>
      </c>
      <c r="H494">
        <v>0.40546510810816438</v>
      </c>
      <c r="I494" t="s">
        <v>3536</v>
      </c>
    </row>
    <row r="495" spans="1:9" x14ac:dyDescent="0.25">
      <c r="A495" t="s">
        <v>1189</v>
      </c>
      <c r="B495">
        <v>3</v>
      </c>
      <c r="C495">
        <v>0.57399999999999995</v>
      </c>
      <c r="D495" t="s">
        <v>1191</v>
      </c>
      <c r="E495" t="s">
        <v>350</v>
      </c>
      <c r="F495" t="s">
        <v>21</v>
      </c>
      <c r="G495">
        <v>5.2264808362369344</v>
      </c>
      <c r="H495">
        <v>1.6537381713306805</v>
      </c>
      <c r="I495" t="s">
        <v>3536</v>
      </c>
    </row>
    <row r="496" spans="1:9" x14ac:dyDescent="0.25">
      <c r="A496" t="s">
        <v>1192</v>
      </c>
      <c r="B496">
        <v>3</v>
      </c>
      <c r="C496">
        <v>0.73099999999999998</v>
      </c>
      <c r="D496" t="s">
        <v>1194</v>
      </c>
      <c r="E496" t="s">
        <v>1195</v>
      </c>
      <c r="F496" t="s">
        <v>50</v>
      </c>
      <c r="G496">
        <v>4.1039671682626544</v>
      </c>
      <c r="H496">
        <v>1.4119541079004683</v>
      </c>
      <c r="I496" t="s">
        <v>3536</v>
      </c>
    </row>
    <row r="497" spans="1:9" x14ac:dyDescent="0.25">
      <c r="A497" t="s">
        <v>1196</v>
      </c>
      <c r="B497">
        <v>3</v>
      </c>
      <c r="C497">
        <v>1</v>
      </c>
      <c r="D497" t="s">
        <v>1197</v>
      </c>
      <c r="E497" t="s">
        <v>365</v>
      </c>
      <c r="F497" t="s">
        <v>11</v>
      </c>
      <c r="G497">
        <v>3</v>
      </c>
      <c r="H497">
        <v>1.0986122886681098</v>
      </c>
      <c r="I497" t="s">
        <v>3536</v>
      </c>
    </row>
    <row r="498" spans="1:9" x14ac:dyDescent="0.25">
      <c r="A498" t="s">
        <v>1198</v>
      </c>
      <c r="B498">
        <v>3</v>
      </c>
      <c r="C498">
        <v>0.114</v>
      </c>
      <c r="D498" t="s">
        <v>1200</v>
      </c>
      <c r="E498" t="s">
        <v>294</v>
      </c>
      <c r="F498" t="s">
        <v>21</v>
      </c>
      <c r="G498">
        <v>26.315789473684209</v>
      </c>
      <c r="H498">
        <v>3.2701691192557512</v>
      </c>
      <c r="I498" t="s">
        <v>3536</v>
      </c>
    </row>
    <row r="499" spans="1:9" x14ac:dyDescent="0.25">
      <c r="A499" t="s">
        <v>1201</v>
      </c>
      <c r="B499">
        <v>3</v>
      </c>
      <c r="C499">
        <v>0.127</v>
      </c>
      <c r="D499" t="s">
        <v>1203</v>
      </c>
      <c r="E499" t="s">
        <v>445</v>
      </c>
      <c r="F499" t="s">
        <v>50</v>
      </c>
      <c r="G499">
        <v>23.622047244094489</v>
      </c>
      <c r="H499">
        <v>3.1621804811916556</v>
      </c>
      <c r="I499" t="s">
        <v>3536</v>
      </c>
    </row>
    <row r="500" spans="1:9" x14ac:dyDescent="0.25">
      <c r="A500" t="s">
        <v>1204</v>
      </c>
      <c r="B500">
        <v>3</v>
      </c>
      <c r="C500">
        <v>0.3</v>
      </c>
      <c r="D500" t="s">
        <v>545</v>
      </c>
      <c r="E500" t="s">
        <v>445</v>
      </c>
      <c r="F500" t="s">
        <v>50</v>
      </c>
      <c r="G500">
        <v>10</v>
      </c>
      <c r="H500">
        <v>2.3025850929940459</v>
      </c>
      <c r="I500" t="s">
        <v>3536</v>
      </c>
    </row>
    <row r="501" spans="1:9" x14ac:dyDescent="0.25">
      <c r="A501" t="s">
        <v>1206</v>
      </c>
      <c r="B501">
        <v>3</v>
      </c>
      <c r="C501">
        <v>0.248</v>
      </c>
      <c r="D501" t="s">
        <v>15</v>
      </c>
      <c r="E501" t="s">
        <v>10</v>
      </c>
      <c r="F501" t="s">
        <v>11</v>
      </c>
      <c r="G501">
        <v>12.096774193548388</v>
      </c>
      <c r="H501">
        <v>2.4929388214852648</v>
      </c>
      <c r="I501" t="s">
        <v>3536</v>
      </c>
    </row>
    <row r="502" spans="1:9" x14ac:dyDescent="0.25">
      <c r="A502" t="s">
        <v>1208</v>
      </c>
      <c r="B502">
        <v>3</v>
      </c>
      <c r="C502">
        <v>0.40699999999999997</v>
      </c>
      <c r="D502" t="s">
        <v>1210</v>
      </c>
      <c r="E502" t="s">
        <v>10</v>
      </c>
      <c r="F502" t="s">
        <v>11</v>
      </c>
      <c r="G502">
        <v>7.3710073710073711</v>
      </c>
      <c r="H502">
        <v>1.9975543822076518</v>
      </c>
      <c r="I502" t="s">
        <v>3536</v>
      </c>
    </row>
    <row r="503" spans="1:9" x14ac:dyDescent="0.25">
      <c r="A503" t="s">
        <v>1211</v>
      </c>
      <c r="B503">
        <v>3</v>
      </c>
      <c r="C503">
        <v>0.94299999999999995</v>
      </c>
      <c r="D503" t="s">
        <v>1213</v>
      </c>
      <c r="E503" t="s">
        <v>10</v>
      </c>
      <c r="F503" t="s">
        <v>11</v>
      </c>
      <c r="G503">
        <v>3.1813361611876991</v>
      </c>
      <c r="H503">
        <v>1.1573012850167894</v>
      </c>
      <c r="I503" t="s">
        <v>3536</v>
      </c>
    </row>
    <row r="504" spans="1:9" x14ac:dyDescent="0.25">
      <c r="A504" t="s">
        <v>1214</v>
      </c>
      <c r="B504">
        <v>3</v>
      </c>
      <c r="C504">
        <v>0.59499999999999997</v>
      </c>
      <c r="D504" t="s">
        <v>1216</v>
      </c>
      <c r="E504" t="s">
        <v>10</v>
      </c>
      <c r="F504" t="s">
        <v>11</v>
      </c>
      <c r="G504">
        <v>5.0420168067226889</v>
      </c>
      <c r="H504">
        <v>1.6178061621046169</v>
      </c>
      <c r="I504" t="s">
        <v>3536</v>
      </c>
    </row>
    <row r="505" spans="1:9" x14ac:dyDescent="0.25">
      <c r="A505" t="s">
        <v>1217</v>
      </c>
      <c r="B505">
        <v>3</v>
      </c>
      <c r="C505">
        <v>0.496</v>
      </c>
      <c r="D505" t="s">
        <v>302</v>
      </c>
      <c r="E505" t="s">
        <v>10</v>
      </c>
      <c r="F505" t="s">
        <v>11</v>
      </c>
      <c r="G505">
        <v>6.0483870967741939</v>
      </c>
      <c r="H505">
        <v>1.7997916409253194</v>
      </c>
      <c r="I505" t="s">
        <v>3536</v>
      </c>
    </row>
    <row r="506" spans="1:9" x14ac:dyDescent="0.25">
      <c r="A506" t="s">
        <v>1218</v>
      </c>
      <c r="B506">
        <v>3</v>
      </c>
      <c r="C506">
        <v>0.69699999999999995</v>
      </c>
      <c r="D506" t="s">
        <v>254</v>
      </c>
      <c r="E506" t="s">
        <v>10</v>
      </c>
      <c r="F506" t="s">
        <v>11</v>
      </c>
      <c r="G506">
        <v>4.3041606886657107</v>
      </c>
      <c r="H506">
        <v>1.4595821568897229</v>
      </c>
      <c r="I506" t="s">
        <v>3536</v>
      </c>
    </row>
    <row r="507" spans="1:9" x14ac:dyDescent="0.25">
      <c r="A507" t="s">
        <v>1220</v>
      </c>
      <c r="B507">
        <v>3</v>
      </c>
      <c r="C507">
        <v>0.36699999999999999</v>
      </c>
      <c r="D507" t="s">
        <v>1068</v>
      </c>
      <c r="E507" t="s">
        <v>10</v>
      </c>
      <c r="F507" t="s">
        <v>11</v>
      </c>
      <c r="G507">
        <v>8.1743869209809272</v>
      </c>
      <c r="H507">
        <v>2.1010057195956766</v>
      </c>
      <c r="I507" t="s">
        <v>3536</v>
      </c>
    </row>
    <row r="508" spans="1:9" x14ac:dyDescent="0.25">
      <c r="A508" t="s">
        <v>1222</v>
      </c>
      <c r="B508">
        <v>3</v>
      </c>
      <c r="C508">
        <v>0.6</v>
      </c>
      <c r="D508" t="s">
        <v>1223</v>
      </c>
      <c r="E508" t="s">
        <v>20</v>
      </c>
      <c r="F508" t="s">
        <v>21</v>
      </c>
      <c r="G508">
        <v>5</v>
      </c>
      <c r="H508">
        <v>1.6094379124341003</v>
      </c>
      <c r="I508" t="s">
        <v>3536</v>
      </c>
    </row>
    <row r="509" spans="1:9" x14ac:dyDescent="0.25">
      <c r="A509" t="s">
        <v>1224</v>
      </c>
      <c r="B509">
        <v>3</v>
      </c>
      <c r="C509">
        <v>0.70599999999999996</v>
      </c>
      <c r="D509" t="s">
        <v>156</v>
      </c>
      <c r="E509" t="s">
        <v>187</v>
      </c>
      <c r="F509" t="s">
        <v>50</v>
      </c>
      <c r="G509">
        <v>4.2492917847025495</v>
      </c>
      <c r="H509">
        <v>1.4467523301570047</v>
      </c>
      <c r="I509" t="s">
        <v>3536</v>
      </c>
    </row>
    <row r="510" spans="1:9" x14ac:dyDescent="0.25">
      <c r="A510" t="s">
        <v>1226</v>
      </c>
      <c r="B510">
        <v>3</v>
      </c>
      <c r="C510">
        <v>0.54500000000000004</v>
      </c>
      <c r="D510" t="s">
        <v>1228</v>
      </c>
      <c r="E510" t="s">
        <v>49</v>
      </c>
      <c r="F510" t="s">
        <v>50</v>
      </c>
      <c r="G510">
        <v>5.5045871559633026</v>
      </c>
      <c r="H510">
        <v>1.7055817729870026</v>
      </c>
      <c r="I510" t="s">
        <v>3536</v>
      </c>
    </row>
    <row r="511" spans="1:9" x14ac:dyDescent="0.25">
      <c r="A511" t="s">
        <v>1229</v>
      </c>
      <c r="B511">
        <v>3</v>
      </c>
      <c r="C511">
        <v>0.33700000000000002</v>
      </c>
      <c r="D511" t="s">
        <v>1230</v>
      </c>
      <c r="E511" t="s">
        <v>554</v>
      </c>
      <c r="F511" t="s">
        <v>526</v>
      </c>
      <c r="G511">
        <v>8.9020771513353107</v>
      </c>
      <c r="H511">
        <v>2.1862846372978848</v>
      </c>
      <c r="I511" t="s">
        <v>3536</v>
      </c>
    </row>
    <row r="512" spans="1:9" x14ac:dyDescent="0.25">
      <c r="A512" t="s">
        <v>1231</v>
      </c>
      <c r="B512">
        <v>3</v>
      </c>
      <c r="C512">
        <v>0.47199999999999998</v>
      </c>
      <c r="D512" t="s">
        <v>1232</v>
      </c>
      <c r="E512" t="s">
        <v>1035</v>
      </c>
      <c r="F512" t="s">
        <v>21</v>
      </c>
      <c r="G512">
        <v>6.3559322033898304</v>
      </c>
      <c r="H512">
        <v>1.8493885820646914</v>
      </c>
      <c r="I512" t="s">
        <v>3536</v>
      </c>
    </row>
    <row r="513" spans="1:9" x14ac:dyDescent="0.25">
      <c r="A513" t="s">
        <v>1233</v>
      </c>
      <c r="B513">
        <v>3</v>
      </c>
      <c r="C513">
        <v>0.36799999999999999</v>
      </c>
      <c r="D513" t="s">
        <v>932</v>
      </c>
      <c r="E513" t="s">
        <v>384</v>
      </c>
      <c r="F513" t="s">
        <v>21</v>
      </c>
      <c r="G513">
        <v>8.1521739130434785</v>
      </c>
      <c r="H513">
        <v>2.098284629481316</v>
      </c>
      <c r="I513" t="s">
        <v>3536</v>
      </c>
    </row>
    <row r="514" spans="1:9" x14ac:dyDescent="0.25">
      <c r="A514" t="s">
        <v>1235</v>
      </c>
      <c r="B514">
        <v>3</v>
      </c>
      <c r="C514">
        <v>0.48</v>
      </c>
      <c r="D514" t="s">
        <v>1236</v>
      </c>
      <c r="E514" t="s">
        <v>20</v>
      </c>
      <c r="F514" t="s">
        <v>21</v>
      </c>
      <c r="G514">
        <v>6.25</v>
      </c>
      <c r="H514">
        <v>1.8325814637483102</v>
      </c>
      <c r="I514" t="s">
        <v>3536</v>
      </c>
    </row>
    <row r="515" spans="1:9" x14ac:dyDescent="0.25">
      <c r="A515" t="s">
        <v>1237</v>
      </c>
      <c r="B515">
        <v>3</v>
      </c>
      <c r="C515">
        <v>0.35599999999999998</v>
      </c>
      <c r="D515" t="s">
        <v>1239</v>
      </c>
      <c r="E515" t="s">
        <v>20</v>
      </c>
      <c r="F515" t="s">
        <v>21</v>
      </c>
      <c r="G515">
        <v>8.4269662921348321</v>
      </c>
      <c r="H515">
        <v>2.1314368367982164</v>
      </c>
      <c r="I515" t="s">
        <v>3536</v>
      </c>
    </row>
    <row r="516" spans="1:9" x14ac:dyDescent="0.25">
      <c r="A516" t="s">
        <v>1240</v>
      </c>
      <c r="B516">
        <v>3</v>
      </c>
      <c r="C516">
        <v>0.53700000000000003</v>
      </c>
      <c r="D516" t="s">
        <v>248</v>
      </c>
      <c r="E516" t="s">
        <v>10</v>
      </c>
      <c r="F516" t="s">
        <v>11</v>
      </c>
      <c r="G516">
        <v>5.5865921787709496</v>
      </c>
      <c r="H516">
        <v>1.7203694731413821</v>
      </c>
      <c r="I516" t="s">
        <v>3536</v>
      </c>
    </row>
    <row r="517" spans="1:9" x14ac:dyDescent="0.25">
      <c r="A517" t="s">
        <v>1241</v>
      </c>
      <c r="B517">
        <v>3</v>
      </c>
      <c r="C517">
        <v>0.26400000000000001</v>
      </c>
      <c r="D517" t="s">
        <v>66</v>
      </c>
      <c r="E517" t="s">
        <v>10</v>
      </c>
      <c r="F517" t="s">
        <v>11</v>
      </c>
      <c r="G517">
        <v>11.363636363636363</v>
      </c>
      <c r="H517">
        <v>2.4304184645039304</v>
      </c>
      <c r="I517" t="s">
        <v>3536</v>
      </c>
    </row>
    <row r="518" spans="1:9" x14ac:dyDescent="0.25">
      <c r="A518" t="s">
        <v>1243</v>
      </c>
      <c r="B518">
        <v>3</v>
      </c>
      <c r="C518">
        <v>0.46500000000000002</v>
      </c>
      <c r="D518" t="s">
        <v>389</v>
      </c>
      <c r="E518" t="s">
        <v>10</v>
      </c>
      <c r="F518" t="s">
        <v>11</v>
      </c>
      <c r="G518">
        <v>6.4516129032258061</v>
      </c>
      <c r="H518">
        <v>1.8643301620628903</v>
      </c>
      <c r="I518" t="s">
        <v>3536</v>
      </c>
    </row>
    <row r="519" spans="1:9" x14ac:dyDescent="0.25">
      <c r="A519" t="s">
        <v>1245</v>
      </c>
      <c r="B519">
        <v>3</v>
      </c>
      <c r="C519">
        <v>0.36599999999999999</v>
      </c>
      <c r="D519" t="s">
        <v>148</v>
      </c>
      <c r="E519" t="s">
        <v>10</v>
      </c>
      <c r="F519" t="s">
        <v>11</v>
      </c>
      <c r="G519">
        <v>8.1967213114754092</v>
      </c>
      <c r="H519">
        <v>2.1037342342488805</v>
      </c>
      <c r="I519" t="s">
        <v>3536</v>
      </c>
    </row>
    <row r="520" spans="1:9" x14ac:dyDescent="0.25">
      <c r="A520" t="s">
        <v>1246</v>
      </c>
      <c r="B520">
        <v>3</v>
      </c>
      <c r="C520">
        <v>7.4999999999999997E-2</v>
      </c>
      <c r="D520" t="s">
        <v>1248</v>
      </c>
      <c r="E520" t="s">
        <v>44</v>
      </c>
      <c r="F520" t="s">
        <v>21</v>
      </c>
      <c r="G520">
        <v>40</v>
      </c>
      <c r="H520">
        <v>3.6888794541139363</v>
      </c>
      <c r="I520" t="s">
        <v>3536</v>
      </c>
    </row>
    <row r="521" spans="1:9" x14ac:dyDescent="0.25">
      <c r="A521" t="s">
        <v>1249</v>
      </c>
      <c r="B521">
        <v>3</v>
      </c>
      <c r="C521">
        <v>0.86699999999999999</v>
      </c>
      <c r="D521" t="s">
        <v>1251</v>
      </c>
      <c r="E521" t="s">
        <v>10</v>
      </c>
      <c r="F521" t="s">
        <v>11</v>
      </c>
      <c r="G521">
        <v>3.4602076124567476</v>
      </c>
      <c r="H521">
        <v>1.2413285908697049</v>
      </c>
      <c r="I521" t="s">
        <v>3536</v>
      </c>
    </row>
    <row r="522" spans="1:9" x14ac:dyDescent="0.25">
      <c r="A522" t="s">
        <v>1252</v>
      </c>
      <c r="B522">
        <v>3</v>
      </c>
      <c r="C522">
        <v>0.73</v>
      </c>
      <c r="D522" t="s">
        <v>1102</v>
      </c>
      <c r="E522" t="s">
        <v>10</v>
      </c>
      <c r="F522" t="s">
        <v>11</v>
      </c>
      <c r="G522">
        <v>4.1095890410958908</v>
      </c>
      <c r="H522">
        <v>1.41332303350781</v>
      </c>
      <c r="I522" t="s">
        <v>3536</v>
      </c>
    </row>
    <row r="523" spans="1:9" x14ac:dyDescent="0.25">
      <c r="A523" t="s">
        <v>1254</v>
      </c>
      <c r="B523">
        <v>3</v>
      </c>
      <c r="C523">
        <v>0.58199999999999996</v>
      </c>
      <c r="D523" t="s">
        <v>1256</v>
      </c>
      <c r="E523" t="s">
        <v>10</v>
      </c>
      <c r="F523" t="s">
        <v>11</v>
      </c>
      <c r="G523">
        <v>5.1546391752577323</v>
      </c>
      <c r="H523">
        <v>1.639897119918809</v>
      </c>
      <c r="I523" t="s">
        <v>3536</v>
      </c>
    </row>
    <row r="524" spans="1:9" x14ac:dyDescent="0.25">
      <c r="A524" t="s">
        <v>1257</v>
      </c>
      <c r="B524">
        <v>3</v>
      </c>
      <c r="C524">
        <v>1</v>
      </c>
      <c r="D524" t="s">
        <v>1258</v>
      </c>
      <c r="E524" t="s">
        <v>10</v>
      </c>
      <c r="F524" t="s">
        <v>11</v>
      </c>
      <c r="G524">
        <v>3</v>
      </c>
      <c r="H524">
        <v>1.0986122886681098</v>
      </c>
      <c r="I524" t="s">
        <v>3536</v>
      </c>
    </row>
    <row r="525" spans="1:9" x14ac:dyDescent="0.25">
      <c r="A525" t="s">
        <v>1259</v>
      </c>
      <c r="B525">
        <v>3</v>
      </c>
      <c r="C525">
        <v>0.753</v>
      </c>
      <c r="D525" t="s">
        <v>1261</v>
      </c>
      <c r="E525" t="s">
        <v>10</v>
      </c>
      <c r="F525" t="s">
        <v>11</v>
      </c>
      <c r="G525">
        <v>3.9840637450199203</v>
      </c>
      <c r="H525">
        <v>1.3823023398503531</v>
      </c>
      <c r="I525" t="s">
        <v>3536</v>
      </c>
    </row>
    <row r="526" spans="1:9" x14ac:dyDescent="0.25">
      <c r="A526" t="s">
        <v>1262</v>
      </c>
      <c r="B526">
        <v>3</v>
      </c>
      <c r="C526">
        <v>0.15</v>
      </c>
      <c r="D526" t="s">
        <v>1263</v>
      </c>
      <c r="E526" t="s">
        <v>10</v>
      </c>
      <c r="F526" t="s">
        <v>11</v>
      </c>
      <c r="G526">
        <v>20</v>
      </c>
      <c r="H526">
        <v>2.9957322735539909</v>
      </c>
      <c r="I526" t="s">
        <v>3536</v>
      </c>
    </row>
    <row r="527" spans="1:9" x14ac:dyDescent="0.25">
      <c r="A527" t="s">
        <v>1264</v>
      </c>
      <c r="B527">
        <v>3</v>
      </c>
      <c r="C527">
        <v>1</v>
      </c>
      <c r="D527" t="s">
        <v>1265</v>
      </c>
      <c r="E527" t="s">
        <v>20</v>
      </c>
      <c r="F527" t="s">
        <v>21</v>
      </c>
      <c r="G527">
        <v>3</v>
      </c>
      <c r="H527">
        <v>1.0986122886681098</v>
      </c>
      <c r="I527" t="s">
        <v>3536</v>
      </c>
    </row>
    <row r="528" spans="1:9" x14ac:dyDescent="0.25">
      <c r="A528" t="s">
        <v>1266</v>
      </c>
      <c r="B528">
        <v>3</v>
      </c>
      <c r="C528">
        <v>0.45</v>
      </c>
      <c r="D528" t="s">
        <v>15</v>
      </c>
      <c r="E528" t="s">
        <v>10</v>
      </c>
      <c r="F528" t="s">
        <v>11</v>
      </c>
      <c r="G528">
        <v>6.6666666666666661</v>
      </c>
      <c r="H528">
        <v>1.8971199848858813</v>
      </c>
      <c r="I528" t="s">
        <v>3536</v>
      </c>
    </row>
    <row r="529" spans="1:9" x14ac:dyDescent="0.25">
      <c r="A529" t="s">
        <v>1267</v>
      </c>
      <c r="B529">
        <v>3</v>
      </c>
      <c r="C529">
        <v>0.93500000000000005</v>
      </c>
      <c r="D529" t="s">
        <v>1269</v>
      </c>
      <c r="E529" t="s">
        <v>10</v>
      </c>
      <c r="F529" t="s">
        <v>11</v>
      </c>
      <c r="G529">
        <v>3.2085561497326203</v>
      </c>
      <c r="H529">
        <v>1.1658210383615597</v>
      </c>
      <c r="I529" t="s">
        <v>3536</v>
      </c>
    </row>
    <row r="530" spans="1:9" x14ac:dyDescent="0.25">
      <c r="A530" t="s">
        <v>1270</v>
      </c>
      <c r="B530">
        <v>3</v>
      </c>
      <c r="C530">
        <v>0.16900000000000001</v>
      </c>
      <c r="D530" t="s">
        <v>1272</v>
      </c>
      <c r="E530" t="s">
        <v>10</v>
      </c>
      <c r="F530" t="s">
        <v>11</v>
      </c>
      <c r="G530">
        <v>17.751479289940828</v>
      </c>
      <c r="H530">
        <v>2.8764688527271733</v>
      </c>
      <c r="I530" t="s">
        <v>3536</v>
      </c>
    </row>
    <row r="531" spans="1:9" x14ac:dyDescent="0.25">
      <c r="A531" t="s">
        <v>1273</v>
      </c>
      <c r="B531">
        <v>3</v>
      </c>
      <c r="C531">
        <v>0.71699999999999997</v>
      </c>
      <c r="D531" t="s">
        <v>1274</v>
      </c>
      <c r="E531" t="s">
        <v>49</v>
      </c>
      <c r="F531" t="s">
        <v>50</v>
      </c>
      <c r="G531">
        <v>4.1841004184100417</v>
      </c>
      <c r="H531">
        <v>1.4312917270506262</v>
      </c>
      <c r="I531" t="s">
        <v>3536</v>
      </c>
    </row>
    <row r="532" spans="1:9" x14ac:dyDescent="0.25">
      <c r="A532" t="s">
        <v>1275</v>
      </c>
      <c r="B532">
        <v>3</v>
      </c>
      <c r="C532">
        <v>0.27700000000000002</v>
      </c>
      <c r="D532" t="s">
        <v>159</v>
      </c>
      <c r="E532" t="s">
        <v>62</v>
      </c>
      <c r="F532" t="s">
        <v>63</v>
      </c>
      <c r="G532">
        <v>10.830324909747292</v>
      </c>
      <c r="H532">
        <v>2.3823500614629083</v>
      </c>
      <c r="I532" t="s">
        <v>3536</v>
      </c>
    </row>
    <row r="533" spans="1:9" x14ac:dyDescent="0.25">
      <c r="A533" t="s">
        <v>1277</v>
      </c>
      <c r="B533">
        <v>3</v>
      </c>
      <c r="C533">
        <v>0.22500000000000001</v>
      </c>
      <c r="E533" t="s">
        <v>1279</v>
      </c>
      <c r="F533" t="s">
        <v>11</v>
      </c>
      <c r="G533">
        <v>13.333333333333332</v>
      </c>
      <c r="H533">
        <v>2.5902671654458267</v>
      </c>
      <c r="I533" t="s">
        <v>3536</v>
      </c>
    </row>
    <row r="534" spans="1:9" x14ac:dyDescent="0.25">
      <c r="A534" t="s">
        <v>1280</v>
      </c>
      <c r="B534">
        <v>3</v>
      </c>
      <c r="C534">
        <v>0.254</v>
      </c>
      <c r="D534" t="s">
        <v>1282</v>
      </c>
      <c r="E534" t="s">
        <v>10</v>
      </c>
      <c r="F534" t="s">
        <v>11</v>
      </c>
      <c r="G534">
        <v>11.811023622047244</v>
      </c>
      <c r="H534">
        <v>2.4690333006317102</v>
      </c>
      <c r="I534" t="s">
        <v>3536</v>
      </c>
    </row>
    <row r="535" spans="1:9" x14ac:dyDescent="0.25">
      <c r="A535" t="s">
        <v>1283</v>
      </c>
      <c r="B535">
        <v>3</v>
      </c>
      <c r="C535">
        <v>2</v>
      </c>
      <c r="D535" t="s">
        <v>1284</v>
      </c>
      <c r="E535" t="s">
        <v>10</v>
      </c>
      <c r="F535" t="s">
        <v>11</v>
      </c>
      <c r="G535">
        <v>1.5</v>
      </c>
      <c r="H535">
        <v>0.40546510810816438</v>
      </c>
      <c r="I535" t="s">
        <v>3536</v>
      </c>
    </row>
    <row r="536" spans="1:9" x14ac:dyDescent="0.25">
      <c r="A536" t="s">
        <v>1285</v>
      </c>
      <c r="B536">
        <v>3</v>
      </c>
      <c r="C536">
        <v>0.06</v>
      </c>
      <c r="D536" t="s">
        <v>1287</v>
      </c>
      <c r="E536" t="s">
        <v>10</v>
      </c>
      <c r="F536" t="s">
        <v>11</v>
      </c>
      <c r="G536">
        <v>50</v>
      </c>
      <c r="H536">
        <v>3.912023005428146</v>
      </c>
      <c r="I536" t="s">
        <v>3536</v>
      </c>
    </row>
    <row r="537" spans="1:9" x14ac:dyDescent="0.25">
      <c r="A537" t="s">
        <v>1288</v>
      </c>
      <c r="B537">
        <v>3</v>
      </c>
      <c r="C537">
        <v>0.53700000000000003</v>
      </c>
      <c r="D537" t="s">
        <v>1228</v>
      </c>
      <c r="E537" t="s">
        <v>365</v>
      </c>
      <c r="F537" t="s">
        <v>11</v>
      </c>
      <c r="G537">
        <v>5.5865921787709496</v>
      </c>
      <c r="H537">
        <v>1.7203694731413821</v>
      </c>
      <c r="I537" t="s">
        <v>3536</v>
      </c>
    </row>
    <row r="538" spans="1:9" x14ac:dyDescent="0.25">
      <c r="A538" t="s">
        <v>1289</v>
      </c>
      <c r="B538">
        <v>3</v>
      </c>
      <c r="C538">
        <v>0.25</v>
      </c>
      <c r="D538" t="s">
        <v>225</v>
      </c>
      <c r="E538" t="s">
        <v>10</v>
      </c>
      <c r="F538" t="s">
        <v>11</v>
      </c>
      <c r="G538">
        <v>12</v>
      </c>
      <c r="H538">
        <v>2.4849066497880004</v>
      </c>
      <c r="I538" t="s">
        <v>3536</v>
      </c>
    </row>
    <row r="539" spans="1:9" x14ac:dyDescent="0.25">
      <c r="A539" t="s">
        <v>1290</v>
      </c>
      <c r="B539">
        <v>3</v>
      </c>
      <c r="C539">
        <v>0.25800000000000001</v>
      </c>
      <c r="D539" t="s">
        <v>130</v>
      </c>
      <c r="E539" t="s">
        <v>170</v>
      </c>
      <c r="F539" t="s">
        <v>50</v>
      </c>
      <c r="G539">
        <v>11.627906976744185</v>
      </c>
      <c r="H539">
        <v>2.4534079827286295</v>
      </c>
      <c r="I539" t="s">
        <v>3536</v>
      </c>
    </row>
    <row r="540" spans="1:9" x14ac:dyDescent="0.25">
      <c r="A540" t="s">
        <v>1292</v>
      </c>
      <c r="B540">
        <v>3</v>
      </c>
      <c r="C540">
        <v>0.35399999999999998</v>
      </c>
      <c r="D540" t="s">
        <v>1125</v>
      </c>
      <c r="E540" t="s">
        <v>10</v>
      </c>
      <c r="F540" t="s">
        <v>11</v>
      </c>
      <c r="G540">
        <v>8.4745762711864412</v>
      </c>
      <c r="H540">
        <v>2.1370706545164722</v>
      </c>
      <c r="I540" t="s">
        <v>3536</v>
      </c>
    </row>
    <row r="541" spans="1:9" x14ac:dyDescent="0.25">
      <c r="A541" t="s">
        <v>1294</v>
      </c>
      <c r="B541">
        <v>3</v>
      </c>
      <c r="C541">
        <v>0.85</v>
      </c>
      <c r="D541" t="s">
        <v>1296</v>
      </c>
      <c r="E541" t="s">
        <v>10</v>
      </c>
      <c r="F541" t="s">
        <v>11</v>
      </c>
      <c r="G541">
        <v>3.5294117647058822</v>
      </c>
      <c r="H541">
        <v>1.2611312181658845</v>
      </c>
      <c r="I541" t="s">
        <v>3536</v>
      </c>
    </row>
    <row r="542" spans="1:9" x14ac:dyDescent="0.25">
      <c r="A542" t="s">
        <v>1297</v>
      </c>
      <c r="B542">
        <v>3</v>
      </c>
      <c r="C542">
        <v>0.58699999999999997</v>
      </c>
      <c r="D542" t="s">
        <v>1299</v>
      </c>
      <c r="E542" t="s">
        <v>350</v>
      </c>
      <c r="F542" t="s">
        <v>21</v>
      </c>
      <c r="G542">
        <v>5.1107325383304945</v>
      </c>
      <c r="H542">
        <v>1.6313427478221503</v>
      </c>
      <c r="I542" t="s">
        <v>3536</v>
      </c>
    </row>
    <row r="543" spans="1:9" x14ac:dyDescent="0.25">
      <c r="A543" t="s">
        <v>1300</v>
      </c>
      <c r="B543">
        <v>3</v>
      </c>
      <c r="C543">
        <v>0.71499999999999997</v>
      </c>
      <c r="D543" t="s">
        <v>1302</v>
      </c>
      <c r="E543" t="s">
        <v>1035</v>
      </c>
      <c r="F543" t="s">
        <v>21</v>
      </c>
      <c r="G543">
        <v>4.1958041958041958</v>
      </c>
      <c r="H543">
        <v>1.4340850249562391</v>
      </c>
      <c r="I543" t="s">
        <v>3536</v>
      </c>
    </row>
    <row r="544" spans="1:9" x14ac:dyDescent="0.25">
      <c r="A544" t="s">
        <v>1303</v>
      </c>
      <c r="B544">
        <v>2</v>
      </c>
      <c r="C544">
        <v>0</v>
      </c>
      <c r="D544" t="s">
        <v>1304</v>
      </c>
      <c r="E544" t="s">
        <v>170</v>
      </c>
      <c r="F544" t="s">
        <v>50</v>
      </c>
      <c r="G544" t="s">
        <v>3535</v>
      </c>
      <c r="H544" t="s">
        <v>3535</v>
      </c>
      <c r="I544" t="s">
        <v>3537</v>
      </c>
    </row>
    <row r="545" spans="1:9" x14ac:dyDescent="0.25">
      <c r="A545" t="s">
        <v>1305</v>
      </c>
      <c r="B545">
        <v>2</v>
      </c>
      <c r="C545">
        <v>0.45</v>
      </c>
      <c r="D545" t="s">
        <v>1306</v>
      </c>
      <c r="E545" t="s">
        <v>10</v>
      </c>
      <c r="F545" t="s">
        <v>11</v>
      </c>
      <c r="G545">
        <v>4.4444444444444446</v>
      </c>
      <c r="H545">
        <v>1.4916548767777169</v>
      </c>
      <c r="I545" t="s">
        <v>3536</v>
      </c>
    </row>
    <row r="546" spans="1:9" x14ac:dyDescent="0.25">
      <c r="A546" t="s">
        <v>1307</v>
      </c>
      <c r="B546">
        <v>2</v>
      </c>
      <c r="C546">
        <v>0.247</v>
      </c>
      <c r="D546" t="s">
        <v>1309</v>
      </c>
      <c r="E546" t="s">
        <v>44</v>
      </c>
      <c r="F546" t="s">
        <v>21</v>
      </c>
      <c r="G546">
        <v>8.097165991902834</v>
      </c>
      <c r="H546">
        <v>2.0915141229141052</v>
      </c>
      <c r="I546" t="s">
        <v>3536</v>
      </c>
    </row>
    <row r="547" spans="1:9" x14ac:dyDescent="0.25">
      <c r="A547" t="s">
        <v>1310</v>
      </c>
      <c r="B547">
        <v>2</v>
      </c>
      <c r="C547">
        <v>0.375</v>
      </c>
      <c r="D547" t="s">
        <v>1312</v>
      </c>
      <c r="E547" t="s">
        <v>10</v>
      </c>
      <c r="F547" t="s">
        <v>11</v>
      </c>
      <c r="G547">
        <v>5.333333333333333</v>
      </c>
      <c r="H547">
        <v>1.6739764335716716</v>
      </c>
      <c r="I547" t="s">
        <v>3536</v>
      </c>
    </row>
    <row r="548" spans="1:9" x14ac:dyDescent="0.25">
      <c r="A548" t="s">
        <v>1313</v>
      </c>
      <c r="B548">
        <v>2</v>
      </c>
      <c r="C548">
        <v>0.252</v>
      </c>
      <c r="D548" t="s">
        <v>1315</v>
      </c>
      <c r="E548" t="s">
        <v>1316</v>
      </c>
      <c r="F548" t="s">
        <v>21</v>
      </c>
      <c r="G548">
        <v>7.9365079365079367</v>
      </c>
      <c r="H548">
        <v>2.0714733720306593</v>
      </c>
      <c r="I548" t="s">
        <v>3536</v>
      </c>
    </row>
    <row r="549" spans="1:9" x14ac:dyDescent="0.25">
      <c r="A549" t="s">
        <v>1317</v>
      </c>
      <c r="B549">
        <v>2</v>
      </c>
      <c r="C549">
        <v>0.35799999999999998</v>
      </c>
      <c r="D549" t="s">
        <v>1318</v>
      </c>
      <c r="E549" t="s">
        <v>1035</v>
      </c>
      <c r="F549" t="s">
        <v>21</v>
      </c>
      <c r="G549">
        <v>5.5865921787709496</v>
      </c>
      <c r="H549">
        <v>1.7203694731413821</v>
      </c>
      <c r="I549" t="s">
        <v>3536</v>
      </c>
    </row>
    <row r="550" spans="1:9" x14ac:dyDescent="0.25">
      <c r="A550" t="s">
        <v>1319</v>
      </c>
      <c r="B550">
        <v>2</v>
      </c>
      <c r="C550">
        <v>0.64300000000000002</v>
      </c>
      <c r="D550" t="s">
        <v>955</v>
      </c>
      <c r="E550" t="s">
        <v>170</v>
      </c>
      <c r="F550" t="s">
        <v>50</v>
      </c>
      <c r="G550">
        <v>3.1104199066874028</v>
      </c>
      <c r="H550">
        <v>1.1347577353044629</v>
      </c>
      <c r="I550" t="s">
        <v>3536</v>
      </c>
    </row>
    <row r="551" spans="1:9" x14ac:dyDescent="0.25">
      <c r="A551" t="s">
        <v>1320</v>
      </c>
      <c r="B551">
        <v>2</v>
      </c>
      <c r="C551">
        <v>0.94299999999999995</v>
      </c>
      <c r="D551" t="s">
        <v>1321</v>
      </c>
      <c r="E551" t="s">
        <v>10</v>
      </c>
      <c r="F551" t="s">
        <v>11</v>
      </c>
      <c r="G551">
        <v>2.1208907741251326</v>
      </c>
      <c r="H551">
        <v>0.75183617690862492</v>
      </c>
      <c r="I551" t="s">
        <v>3536</v>
      </c>
    </row>
    <row r="552" spans="1:9" x14ac:dyDescent="0.25">
      <c r="A552" t="s">
        <v>1322</v>
      </c>
      <c r="B552">
        <v>2</v>
      </c>
      <c r="C552">
        <v>0.45800000000000002</v>
      </c>
      <c r="D552" t="s">
        <v>1324</v>
      </c>
      <c r="E552" t="s">
        <v>10</v>
      </c>
      <c r="F552" t="s">
        <v>11</v>
      </c>
      <c r="G552">
        <v>4.3668122270742353</v>
      </c>
      <c r="H552">
        <v>1.4740332754278973</v>
      </c>
      <c r="I552" t="s">
        <v>3536</v>
      </c>
    </row>
    <row r="553" spans="1:9" x14ac:dyDescent="0.25">
      <c r="A553" t="s">
        <v>1325</v>
      </c>
      <c r="B553">
        <v>2</v>
      </c>
      <c r="C553">
        <v>0.74299999999999999</v>
      </c>
      <c r="D553" t="s">
        <v>225</v>
      </c>
      <c r="E553" t="s">
        <v>10</v>
      </c>
      <c r="F553" t="s">
        <v>11</v>
      </c>
      <c r="G553">
        <v>2.6917900403768504</v>
      </c>
      <c r="H553">
        <v>0.99020641482432314</v>
      </c>
      <c r="I553" t="s">
        <v>3536</v>
      </c>
    </row>
    <row r="554" spans="1:9" x14ac:dyDescent="0.25">
      <c r="A554" t="s">
        <v>1327</v>
      </c>
      <c r="B554">
        <v>2</v>
      </c>
      <c r="C554">
        <v>0.54300000000000004</v>
      </c>
      <c r="D554" t="s">
        <v>1329</v>
      </c>
      <c r="E554" t="s">
        <v>10</v>
      </c>
      <c r="F554" t="s">
        <v>11</v>
      </c>
      <c r="G554">
        <v>3.6832412523020257</v>
      </c>
      <c r="H554">
        <v>1.3037931396081468</v>
      </c>
      <c r="I554" t="s">
        <v>3536</v>
      </c>
    </row>
    <row r="555" spans="1:9" x14ac:dyDescent="0.25">
      <c r="A555" t="s">
        <v>1330</v>
      </c>
      <c r="B555">
        <v>2</v>
      </c>
      <c r="C555">
        <v>0.39800000000000002</v>
      </c>
      <c r="D555" t="s">
        <v>1332</v>
      </c>
      <c r="E555" t="s">
        <v>10</v>
      </c>
      <c r="F555" t="s">
        <v>11</v>
      </c>
      <c r="G555">
        <v>5.0251256281407031</v>
      </c>
      <c r="H555">
        <v>1.6144504542576446</v>
      </c>
      <c r="I555" t="s">
        <v>3536</v>
      </c>
    </row>
    <row r="556" spans="1:9" x14ac:dyDescent="0.25">
      <c r="A556" t="s">
        <v>1333</v>
      </c>
      <c r="B556">
        <v>2</v>
      </c>
      <c r="C556">
        <v>0.39100000000000001</v>
      </c>
      <c r="D556" t="s">
        <v>727</v>
      </c>
      <c r="E556" t="s">
        <v>10</v>
      </c>
      <c r="F556" t="s">
        <v>11</v>
      </c>
      <c r="G556">
        <v>5.1150895140664963</v>
      </c>
      <c r="H556">
        <v>1.6321948995567166</v>
      </c>
      <c r="I556" t="s">
        <v>3536</v>
      </c>
    </row>
    <row r="557" spans="1:9" x14ac:dyDescent="0.25">
      <c r="A557" t="s">
        <v>1335</v>
      </c>
      <c r="B557">
        <v>2</v>
      </c>
      <c r="C557">
        <v>0.60499999999999998</v>
      </c>
      <c r="D557" t="s">
        <v>1337</v>
      </c>
      <c r="E557" t="s">
        <v>10</v>
      </c>
      <c r="F557" t="s">
        <v>11</v>
      </c>
      <c r="G557">
        <v>3.3057851239669422</v>
      </c>
      <c r="H557">
        <v>1.195674001511241</v>
      </c>
      <c r="I557" t="s">
        <v>3536</v>
      </c>
    </row>
    <row r="558" spans="1:9" x14ac:dyDescent="0.25">
      <c r="A558" t="s">
        <v>1338</v>
      </c>
      <c r="B558">
        <v>2</v>
      </c>
      <c r="C558">
        <v>0.45900000000000002</v>
      </c>
      <c r="D558" t="s">
        <v>221</v>
      </c>
      <c r="E558" t="s">
        <v>10</v>
      </c>
      <c r="F558" t="s">
        <v>11</v>
      </c>
      <c r="G558">
        <v>4.3572984749455337</v>
      </c>
      <c r="H558">
        <v>1.4718522494815371</v>
      </c>
      <c r="I558" t="s">
        <v>3536</v>
      </c>
    </row>
    <row r="559" spans="1:9" x14ac:dyDescent="0.25">
      <c r="A559" t="s">
        <v>1340</v>
      </c>
      <c r="B559">
        <v>2</v>
      </c>
      <c r="C559">
        <v>0.498</v>
      </c>
      <c r="D559" t="s">
        <v>655</v>
      </c>
      <c r="E559" t="s">
        <v>10</v>
      </c>
      <c r="F559" t="s">
        <v>11</v>
      </c>
      <c r="G559">
        <v>4.0160642570281126</v>
      </c>
      <c r="H559">
        <v>1.3903023825174294</v>
      </c>
      <c r="I559" t="s">
        <v>3536</v>
      </c>
    </row>
    <row r="560" spans="1:9" x14ac:dyDescent="0.25">
      <c r="A560" t="s">
        <v>1341</v>
      </c>
      <c r="B560">
        <v>2</v>
      </c>
      <c r="C560">
        <v>0.40100000000000002</v>
      </c>
      <c r="D560" t="s">
        <v>1343</v>
      </c>
      <c r="E560" t="s">
        <v>20</v>
      </c>
      <c r="F560" t="s">
        <v>21</v>
      </c>
      <c r="G560">
        <v>4.9875311720698248</v>
      </c>
      <c r="H560">
        <v>1.6069410322355131</v>
      </c>
      <c r="I560" t="s">
        <v>3536</v>
      </c>
    </row>
    <row r="561" spans="1:9" x14ac:dyDescent="0.25">
      <c r="A561" t="s">
        <v>1344</v>
      </c>
      <c r="B561">
        <v>2</v>
      </c>
      <c r="C561">
        <v>0.41399999999999998</v>
      </c>
      <c r="D561" t="s">
        <v>496</v>
      </c>
      <c r="E561" t="s">
        <v>62</v>
      </c>
      <c r="F561" t="s">
        <v>63</v>
      </c>
      <c r="G561">
        <v>4.8309178743961354</v>
      </c>
      <c r="H561">
        <v>1.575036485716768</v>
      </c>
      <c r="I561" t="s">
        <v>3536</v>
      </c>
    </row>
    <row r="562" spans="1:9" x14ac:dyDescent="0.25">
      <c r="A562" t="s">
        <v>1345</v>
      </c>
      <c r="B562">
        <v>2</v>
      </c>
      <c r="C562">
        <v>0.30299999999999999</v>
      </c>
      <c r="D562" t="s">
        <v>1347</v>
      </c>
      <c r="E562" t="s">
        <v>20</v>
      </c>
      <c r="F562" t="s">
        <v>21</v>
      </c>
      <c r="G562">
        <v>6.6006600660066006</v>
      </c>
      <c r="H562">
        <v>1.8871696540327132</v>
      </c>
      <c r="I562" t="s">
        <v>3536</v>
      </c>
    </row>
    <row r="563" spans="1:9" x14ac:dyDescent="0.25">
      <c r="A563" t="s">
        <v>1348</v>
      </c>
      <c r="B563">
        <v>2</v>
      </c>
      <c r="C563">
        <v>0.69599999999999995</v>
      </c>
      <c r="D563" t="s">
        <v>1350</v>
      </c>
      <c r="E563" t="s">
        <v>49</v>
      </c>
      <c r="F563" t="s">
        <v>50</v>
      </c>
      <c r="G563">
        <v>2.8735632183908049</v>
      </c>
      <c r="H563">
        <v>1.0555527992076628</v>
      </c>
      <c r="I563" t="s">
        <v>3536</v>
      </c>
    </row>
    <row r="564" spans="1:9" x14ac:dyDescent="0.25">
      <c r="A564" t="s">
        <v>1351</v>
      </c>
      <c r="B564">
        <v>2</v>
      </c>
      <c r="C564">
        <v>0</v>
      </c>
      <c r="E564" t="s">
        <v>62</v>
      </c>
      <c r="F564" t="s">
        <v>63</v>
      </c>
      <c r="G564" t="s">
        <v>3535</v>
      </c>
      <c r="H564" t="s">
        <v>3535</v>
      </c>
      <c r="I564" t="s">
        <v>3537</v>
      </c>
    </row>
    <row r="565" spans="1:9" x14ac:dyDescent="0.25">
      <c r="A565" t="s">
        <v>1352</v>
      </c>
      <c r="B565">
        <v>2</v>
      </c>
      <c r="C565">
        <v>0.25800000000000001</v>
      </c>
      <c r="D565" t="s">
        <v>1146</v>
      </c>
      <c r="E565" t="s">
        <v>10</v>
      </c>
      <c r="F565" t="s">
        <v>11</v>
      </c>
      <c r="G565">
        <v>7.7519379844961236</v>
      </c>
      <c r="H565">
        <v>2.0479428746204649</v>
      </c>
      <c r="I565" t="s">
        <v>3536</v>
      </c>
    </row>
    <row r="566" spans="1:9" x14ac:dyDescent="0.25">
      <c r="A566" t="s">
        <v>1353</v>
      </c>
      <c r="B566">
        <v>2</v>
      </c>
      <c r="C566">
        <v>0.55700000000000005</v>
      </c>
      <c r="D566" t="s">
        <v>15</v>
      </c>
      <c r="E566" t="s">
        <v>10</v>
      </c>
      <c r="F566" t="s">
        <v>11</v>
      </c>
      <c r="G566">
        <v>3.5906642728904843</v>
      </c>
      <c r="H566">
        <v>1.2783372196147982</v>
      </c>
      <c r="I566" t="s">
        <v>3536</v>
      </c>
    </row>
    <row r="567" spans="1:9" x14ac:dyDescent="0.25">
      <c r="A567" t="s">
        <v>1355</v>
      </c>
      <c r="B567">
        <v>2</v>
      </c>
      <c r="C567">
        <v>0.55500000000000005</v>
      </c>
      <c r="D567" t="s">
        <v>1357</v>
      </c>
      <c r="E567" t="s">
        <v>44</v>
      </c>
      <c r="F567" t="s">
        <v>21</v>
      </c>
      <c r="G567">
        <v>3.6036036036036032</v>
      </c>
      <c r="H567">
        <v>1.2819343457956478</v>
      </c>
      <c r="I567" t="s">
        <v>3536</v>
      </c>
    </row>
    <row r="568" spans="1:9" x14ac:dyDescent="0.25">
      <c r="A568" t="s">
        <v>1358</v>
      </c>
      <c r="B568">
        <v>2</v>
      </c>
      <c r="C568">
        <v>0.32600000000000001</v>
      </c>
      <c r="D568" t="s">
        <v>1074</v>
      </c>
      <c r="E568" t="s">
        <v>10</v>
      </c>
      <c r="F568" t="s">
        <v>11</v>
      </c>
      <c r="G568">
        <v>6.1349693251533743</v>
      </c>
      <c r="H568">
        <v>1.8140050781753747</v>
      </c>
      <c r="I568" t="s">
        <v>3536</v>
      </c>
    </row>
    <row r="569" spans="1:9" x14ac:dyDescent="0.25">
      <c r="A569" t="s">
        <v>1360</v>
      </c>
      <c r="B569">
        <v>2</v>
      </c>
      <c r="C569">
        <v>0.39100000000000001</v>
      </c>
      <c r="D569" t="s">
        <v>1361</v>
      </c>
      <c r="E569" t="s">
        <v>44</v>
      </c>
      <c r="F569" t="s">
        <v>21</v>
      </c>
      <c r="G569">
        <v>5.1150895140664963</v>
      </c>
      <c r="H569">
        <v>1.6321948995567166</v>
      </c>
      <c r="I569" t="s">
        <v>3536</v>
      </c>
    </row>
    <row r="570" spans="1:9" x14ac:dyDescent="0.25">
      <c r="A570" t="s">
        <v>1362</v>
      </c>
      <c r="B570">
        <v>2</v>
      </c>
      <c r="C570">
        <v>0.29299999999999998</v>
      </c>
      <c r="D570" t="s">
        <v>1364</v>
      </c>
      <c r="E570" t="s">
        <v>10</v>
      </c>
      <c r="F570" t="s">
        <v>11</v>
      </c>
      <c r="G570">
        <v>6.8259385665529013</v>
      </c>
      <c r="H570">
        <v>1.920729850525015</v>
      </c>
      <c r="I570" t="s">
        <v>3536</v>
      </c>
    </row>
    <row r="571" spans="1:9" x14ac:dyDescent="0.25">
      <c r="A571" t="s">
        <v>1365</v>
      </c>
      <c r="B571">
        <v>2</v>
      </c>
      <c r="C571">
        <v>0.84299999999999997</v>
      </c>
      <c r="D571" t="s">
        <v>1367</v>
      </c>
      <c r="E571" t="s">
        <v>10</v>
      </c>
      <c r="F571" t="s">
        <v>11</v>
      </c>
      <c r="G571">
        <v>2.3724792408066429</v>
      </c>
      <c r="H571">
        <v>0.86393550154022691</v>
      </c>
      <c r="I571" t="s">
        <v>3536</v>
      </c>
    </row>
    <row r="572" spans="1:9" x14ac:dyDescent="0.25">
      <c r="A572" t="s">
        <v>1368</v>
      </c>
      <c r="B572">
        <v>2</v>
      </c>
      <c r="C572">
        <v>5.8000000000000003E-2</v>
      </c>
      <c r="D572" t="s">
        <v>1370</v>
      </c>
      <c r="E572" t="s">
        <v>20</v>
      </c>
      <c r="F572" t="s">
        <v>21</v>
      </c>
      <c r="G572">
        <v>34.482758620689651</v>
      </c>
      <c r="H572">
        <v>3.5404594489956631</v>
      </c>
      <c r="I572" t="s">
        <v>3536</v>
      </c>
    </row>
    <row r="573" spans="1:9" x14ac:dyDescent="0.25">
      <c r="A573" t="s">
        <v>1371</v>
      </c>
      <c r="B573">
        <v>2</v>
      </c>
      <c r="C573">
        <v>0.72199999999999998</v>
      </c>
      <c r="D573" t="s">
        <v>159</v>
      </c>
      <c r="E573" t="s">
        <v>44</v>
      </c>
      <c r="F573" t="s">
        <v>21</v>
      </c>
      <c r="G573">
        <v>2.770083102493075</v>
      </c>
      <c r="H573">
        <v>1.0188773206492563</v>
      </c>
      <c r="I573" t="s">
        <v>3536</v>
      </c>
    </row>
    <row r="574" spans="1:9" x14ac:dyDescent="0.25">
      <c r="A574" t="s">
        <v>1372</v>
      </c>
      <c r="B574">
        <v>2</v>
      </c>
      <c r="C574">
        <v>0.33400000000000002</v>
      </c>
      <c r="D574" t="s">
        <v>1373</v>
      </c>
      <c r="E574" t="s">
        <v>10</v>
      </c>
      <c r="F574" t="s">
        <v>11</v>
      </c>
      <c r="G574">
        <v>5.9880239520958076</v>
      </c>
      <c r="H574">
        <v>1.7897614665653818</v>
      </c>
      <c r="I574" t="s">
        <v>3536</v>
      </c>
    </row>
    <row r="575" spans="1:9" x14ac:dyDescent="0.25">
      <c r="A575" t="s">
        <v>1374</v>
      </c>
      <c r="B575">
        <v>2</v>
      </c>
      <c r="C575">
        <v>0.19</v>
      </c>
      <c r="D575" t="s">
        <v>1065</v>
      </c>
      <c r="E575" t="s">
        <v>10</v>
      </c>
      <c r="F575" t="s">
        <v>11</v>
      </c>
      <c r="G575">
        <v>10.526315789473685</v>
      </c>
      <c r="H575">
        <v>2.3538783873815965</v>
      </c>
      <c r="I575" t="s">
        <v>3536</v>
      </c>
    </row>
    <row r="576" spans="1:9" x14ac:dyDescent="0.25">
      <c r="A576" t="s">
        <v>1376</v>
      </c>
      <c r="B576">
        <v>2</v>
      </c>
      <c r="C576">
        <v>0.13400000000000001</v>
      </c>
      <c r="D576" t="s">
        <v>15</v>
      </c>
      <c r="E576" t="s">
        <v>10</v>
      </c>
      <c r="F576" t="s">
        <v>11</v>
      </c>
      <c r="G576">
        <v>14.925373134328357</v>
      </c>
      <c r="H576">
        <v>2.7030626595911711</v>
      </c>
      <c r="I576" t="s">
        <v>3536</v>
      </c>
    </row>
    <row r="577" spans="1:9" x14ac:dyDescent="0.25">
      <c r="A577" t="s">
        <v>1378</v>
      </c>
      <c r="B577">
        <v>2</v>
      </c>
      <c r="C577">
        <v>0.27800000000000002</v>
      </c>
      <c r="D577" t="s">
        <v>1380</v>
      </c>
      <c r="E577" t="s">
        <v>20</v>
      </c>
      <c r="F577" t="s">
        <v>21</v>
      </c>
      <c r="G577">
        <v>7.1942446043165464</v>
      </c>
      <c r="H577">
        <v>1.9732813458514453</v>
      </c>
      <c r="I577" t="s">
        <v>3536</v>
      </c>
    </row>
    <row r="578" spans="1:9" x14ac:dyDescent="0.25">
      <c r="A578" t="s">
        <v>1381</v>
      </c>
      <c r="B578">
        <v>2</v>
      </c>
      <c r="C578">
        <v>0.52</v>
      </c>
      <c r="D578" t="s">
        <v>1383</v>
      </c>
      <c r="E578" t="s">
        <v>20</v>
      </c>
      <c r="F578" t="s">
        <v>21</v>
      </c>
      <c r="G578">
        <v>3.8461538461538458</v>
      </c>
      <c r="H578">
        <v>1.3470736479666092</v>
      </c>
      <c r="I578" t="s">
        <v>3536</v>
      </c>
    </row>
    <row r="579" spans="1:9" x14ac:dyDescent="0.25">
      <c r="A579" t="s">
        <v>1384</v>
      </c>
      <c r="B579">
        <v>2</v>
      </c>
      <c r="C579">
        <v>2</v>
      </c>
      <c r="D579" t="s">
        <v>1385</v>
      </c>
      <c r="E579" t="s">
        <v>1008</v>
      </c>
      <c r="F579" t="s">
        <v>11</v>
      </c>
      <c r="G579">
        <v>1</v>
      </c>
      <c r="H579">
        <v>0</v>
      </c>
      <c r="I579" t="s">
        <v>3536</v>
      </c>
    </row>
    <row r="580" spans="1:9" x14ac:dyDescent="0.25">
      <c r="A580" t="s">
        <v>1386</v>
      </c>
      <c r="B580">
        <v>2</v>
      </c>
      <c r="C580">
        <v>0.247</v>
      </c>
      <c r="D580" t="s">
        <v>1387</v>
      </c>
      <c r="E580" t="s">
        <v>10</v>
      </c>
      <c r="F580" t="s">
        <v>11</v>
      </c>
      <c r="G580">
        <v>8.097165991902834</v>
      </c>
      <c r="H580">
        <v>2.0915141229141052</v>
      </c>
      <c r="I580" t="s">
        <v>3536</v>
      </c>
    </row>
    <row r="581" spans="1:9" x14ac:dyDescent="0.25">
      <c r="A581" t="s">
        <v>1388</v>
      </c>
      <c r="B581">
        <v>2</v>
      </c>
      <c r="C581">
        <v>0.60199999999999998</v>
      </c>
      <c r="D581" t="s">
        <v>15</v>
      </c>
      <c r="E581" t="s">
        <v>10</v>
      </c>
      <c r="F581" t="s">
        <v>11</v>
      </c>
      <c r="G581">
        <v>3.3222591362126246</v>
      </c>
      <c r="H581">
        <v>1.2006450142332614</v>
      </c>
      <c r="I581" t="s">
        <v>3536</v>
      </c>
    </row>
    <row r="582" spans="1:9" x14ac:dyDescent="0.25">
      <c r="A582" t="s">
        <v>1389</v>
      </c>
      <c r="B582">
        <v>2</v>
      </c>
      <c r="C582">
        <v>0.315</v>
      </c>
      <c r="D582" t="s">
        <v>921</v>
      </c>
      <c r="E582" t="s">
        <v>1008</v>
      </c>
      <c r="F582" t="s">
        <v>11</v>
      </c>
      <c r="G582">
        <v>6.3492063492063489</v>
      </c>
      <c r="H582">
        <v>1.8483298207164491</v>
      </c>
      <c r="I582" t="s">
        <v>3536</v>
      </c>
    </row>
    <row r="583" spans="1:9" x14ac:dyDescent="0.25">
      <c r="A583" t="s">
        <v>1391</v>
      </c>
      <c r="B583">
        <v>2</v>
      </c>
      <c r="C583">
        <v>0.183</v>
      </c>
      <c r="D583" t="s">
        <v>835</v>
      </c>
      <c r="E583" t="s">
        <v>10</v>
      </c>
      <c r="F583" t="s">
        <v>11</v>
      </c>
      <c r="G583">
        <v>10.928961748633879</v>
      </c>
      <c r="H583">
        <v>2.3914163067006613</v>
      </c>
      <c r="I583" t="s">
        <v>3536</v>
      </c>
    </row>
    <row r="584" spans="1:9" x14ac:dyDescent="0.25">
      <c r="A584" t="s">
        <v>1392</v>
      </c>
      <c r="B584">
        <v>2</v>
      </c>
      <c r="C584">
        <v>0.71</v>
      </c>
      <c r="D584" t="s">
        <v>1393</v>
      </c>
      <c r="E584" t="s">
        <v>20</v>
      </c>
      <c r="F584" t="s">
        <v>21</v>
      </c>
      <c r="G584">
        <v>2.8169014084507045</v>
      </c>
      <c r="H584">
        <v>1.0356374895067213</v>
      </c>
      <c r="I584" t="s">
        <v>3536</v>
      </c>
    </row>
    <row r="585" spans="1:9" x14ac:dyDescent="0.25">
      <c r="A585" t="s">
        <v>1394</v>
      </c>
      <c r="B585">
        <v>2</v>
      </c>
      <c r="C585">
        <v>0.61499999999999999</v>
      </c>
      <c r="D585" t="s">
        <v>1396</v>
      </c>
      <c r="E585" t="s">
        <v>10</v>
      </c>
      <c r="F585" t="s">
        <v>11</v>
      </c>
      <c r="G585">
        <v>3.2520325203252032</v>
      </c>
      <c r="H585">
        <v>1.1792801917355644</v>
      </c>
      <c r="I585" t="s">
        <v>3536</v>
      </c>
    </row>
    <row r="586" spans="1:9" x14ac:dyDescent="0.25">
      <c r="A586" t="s">
        <v>1397</v>
      </c>
      <c r="B586">
        <v>2</v>
      </c>
      <c r="C586">
        <v>0.252</v>
      </c>
      <c r="D586" t="s">
        <v>1398</v>
      </c>
      <c r="E586" t="s">
        <v>10</v>
      </c>
      <c r="F586" t="s">
        <v>11</v>
      </c>
      <c r="G586">
        <v>7.9365079365079367</v>
      </c>
      <c r="H586">
        <v>2.0714733720306593</v>
      </c>
      <c r="I586" t="s">
        <v>3536</v>
      </c>
    </row>
    <row r="587" spans="1:9" x14ac:dyDescent="0.25">
      <c r="A587" t="s">
        <v>1399</v>
      </c>
      <c r="B587">
        <v>2</v>
      </c>
      <c r="C587">
        <v>0.39200000000000002</v>
      </c>
      <c r="D587" t="s">
        <v>15</v>
      </c>
      <c r="E587" t="s">
        <v>10</v>
      </c>
      <c r="F587" t="s">
        <v>11</v>
      </c>
      <c r="G587">
        <v>5.1020408163265305</v>
      </c>
      <c r="H587">
        <v>1.6296406197516198</v>
      </c>
      <c r="I587" t="s">
        <v>3536</v>
      </c>
    </row>
    <row r="588" spans="1:9" x14ac:dyDescent="0.25">
      <c r="A588" t="s">
        <v>1401</v>
      </c>
      <c r="B588">
        <v>2</v>
      </c>
      <c r="C588">
        <v>0.371</v>
      </c>
      <c r="D588" t="s">
        <v>786</v>
      </c>
      <c r="E588" t="s">
        <v>10</v>
      </c>
      <c r="F588" t="s">
        <v>11</v>
      </c>
      <c r="G588">
        <v>5.3908355795148246</v>
      </c>
      <c r="H588">
        <v>1.6847003969346472</v>
      </c>
      <c r="I588" t="s">
        <v>3536</v>
      </c>
    </row>
    <row r="589" spans="1:9" x14ac:dyDescent="0.25">
      <c r="A589" t="s">
        <v>1403</v>
      </c>
      <c r="B589">
        <v>2</v>
      </c>
      <c r="C589">
        <v>0.46</v>
      </c>
      <c r="D589" t="s">
        <v>641</v>
      </c>
      <c r="E589" t="s">
        <v>62</v>
      </c>
      <c r="F589" t="s">
        <v>63</v>
      </c>
      <c r="G589">
        <v>4.3478260869565215</v>
      </c>
      <c r="H589">
        <v>1.4696759700589417</v>
      </c>
      <c r="I589" t="s">
        <v>3536</v>
      </c>
    </row>
    <row r="590" spans="1:9" x14ac:dyDescent="0.25">
      <c r="A590" t="s">
        <v>1405</v>
      </c>
      <c r="B590">
        <v>2</v>
      </c>
      <c r="C590">
        <v>0.42199999999999999</v>
      </c>
      <c r="D590" t="s">
        <v>1183</v>
      </c>
      <c r="E590" t="s">
        <v>10</v>
      </c>
      <c r="F590" t="s">
        <v>11</v>
      </c>
      <c r="G590">
        <v>4.7393364928909953</v>
      </c>
      <c r="H590">
        <v>1.5558971455060706</v>
      </c>
      <c r="I590" t="s">
        <v>3536</v>
      </c>
    </row>
    <row r="591" spans="1:9" x14ac:dyDescent="0.25">
      <c r="A591" t="s">
        <v>1407</v>
      </c>
      <c r="B591">
        <v>2</v>
      </c>
      <c r="C591">
        <v>0.45</v>
      </c>
      <c r="D591" t="s">
        <v>137</v>
      </c>
      <c r="E591" t="s">
        <v>10</v>
      </c>
      <c r="F591" t="s">
        <v>11</v>
      </c>
      <c r="G591">
        <v>4.4444444444444446</v>
      </c>
      <c r="H591">
        <v>1.4916548767777169</v>
      </c>
      <c r="I591" t="s">
        <v>3536</v>
      </c>
    </row>
    <row r="592" spans="1:9" x14ac:dyDescent="0.25">
      <c r="A592" t="s">
        <v>1408</v>
      </c>
      <c r="B592">
        <v>2</v>
      </c>
      <c r="C592">
        <v>0.55000000000000004</v>
      </c>
      <c r="D592" t="s">
        <v>177</v>
      </c>
      <c r="E592" t="s">
        <v>170</v>
      </c>
      <c r="F592" t="s">
        <v>50</v>
      </c>
      <c r="G592">
        <v>3.6363636363636362</v>
      </c>
      <c r="H592">
        <v>1.2909841813155658</v>
      </c>
      <c r="I592" t="s">
        <v>3536</v>
      </c>
    </row>
    <row r="593" spans="1:9" x14ac:dyDescent="0.25">
      <c r="A593" t="s">
        <v>1410</v>
      </c>
      <c r="B593">
        <v>2</v>
      </c>
      <c r="C593">
        <v>0.90500000000000003</v>
      </c>
      <c r="D593" t="s">
        <v>1412</v>
      </c>
      <c r="E593" t="s">
        <v>10</v>
      </c>
      <c r="F593" t="s">
        <v>11</v>
      </c>
      <c r="G593">
        <v>2.2099447513812156</v>
      </c>
      <c r="H593">
        <v>0.7929675158421563</v>
      </c>
      <c r="I593" t="s">
        <v>3536</v>
      </c>
    </row>
    <row r="594" spans="1:9" x14ac:dyDescent="0.25">
      <c r="A594" t="s">
        <v>1413</v>
      </c>
      <c r="B594">
        <v>2</v>
      </c>
      <c r="C594">
        <v>0.152</v>
      </c>
      <c r="D594" t="s">
        <v>225</v>
      </c>
      <c r="E594" t="s">
        <v>10</v>
      </c>
      <c r="F594" t="s">
        <v>11</v>
      </c>
      <c r="G594">
        <v>13.157894736842106</v>
      </c>
      <c r="H594">
        <v>2.5770219386958062</v>
      </c>
      <c r="I594" t="s">
        <v>3536</v>
      </c>
    </row>
    <row r="595" spans="1:9" x14ac:dyDescent="0.25">
      <c r="A595" t="s">
        <v>1415</v>
      </c>
      <c r="B595">
        <v>2</v>
      </c>
      <c r="C595">
        <v>0.74</v>
      </c>
      <c r="D595" t="s">
        <v>1416</v>
      </c>
      <c r="E595" t="s">
        <v>10</v>
      </c>
      <c r="F595" t="s">
        <v>11</v>
      </c>
      <c r="G595">
        <v>2.7027027027027026</v>
      </c>
      <c r="H595">
        <v>0.9942522733438669</v>
      </c>
      <c r="I595" t="s">
        <v>3536</v>
      </c>
    </row>
    <row r="596" spans="1:9" x14ac:dyDescent="0.25">
      <c r="A596" t="s">
        <v>1417</v>
      </c>
      <c r="B596">
        <v>2</v>
      </c>
      <c r="C596">
        <v>0.85799999999999998</v>
      </c>
      <c r="D596" t="s">
        <v>383</v>
      </c>
      <c r="E596" t="s">
        <v>294</v>
      </c>
      <c r="F596" t="s">
        <v>21</v>
      </c>
      <c r="G596">
        <v>2.3310023310023311</v>
      </c>
      <c r="H596">
        <v>0.84629836005412018</v>
      </c>
      <c r="I596" t="s">
        <v>3536</v>
      </c>
    </row>
    <row r="597" spans="1:9" x14ac:dyDescent="0.25">
      <c r="A597" t="s">
        <v>1419</v>
      </c>
      <c r="B597">
        <v>2</v>
      </c>
      <c r="C597">
        <v>2.1000000000000001E-2</v>
      </c>
      <c r="D597" t="s">
        <v>1421</v>
      </c>
      <c r="E597" t="s">
        <v>787</v>
      </c>
      <c r="F597" t="s">
        <v>50</v>
      </c>
      <c r="G597">
        <v>95.238095238095227</v>
      </c>
      <c r="H597">
        <v>4.5563800218186596</v>
      </c>
      <c r="I597" t="s">
        <v>3536</v>
      </c>
    </row>
    <row r="598" spans="1:9" x14ac:dyDescent="0.25">
      <c r="A598" t="s">
        <v>1422</v>
      </c>
      <c r="B598">
        <v>2</v>
      </c>
      <c r="C598">
        <v>0.70799999999999996</v>
      </c>
      <c r="D598" t="s">
        <v>1424</v>
      </c>
      <c r="E598" t="s">
        <v>10</v>
      </c>
      <c r="F598" t="s">
        <v>11</v>
      </c>
      <c r="G598">
        <v>2.8248587570621471</v>
      </c>
      <c r="H598">
        <v>1.0384583658483626</v>
      </c>
      <c r="I598" t="s">
        <v>3536</v>
      </c>
    </row>
    <row r="599" spans="1:9" x14ac:dyDescent="0.25">
      <c r="A599" t="s">
        <v>1425</v>
      </c>
      <c r="B599">
        <v>2</v>
      </c>
      <c r="C599">
        <v>0.72899999999999998</v>
      </c>
      <c r="E599" t="s">
        <v>20</v>
      </c>
      <c r="F599" t="s">
        <v>21</v>
      </c>
      <c r="G599">
        <v>2.7434842249657065</v>
      </c>
      <c r="H599">
        <v>1.0092287275334242</v>
      </c>
      <c r="I599" t="s">
        <v>3536</v>
      </c>
    </row>
    <row r="600" spans="1:9" x14ac:dyDescent="0.25">
      <c r="A600" t="s">
        <v>1427</v>
      </c>
      <c r="B600">
        <v>2</v>
      </c>
      <c r="C600">
        <v>0.311</v>
      </c>
      <c r="D600" t="s">
        <v>1429</v>
      </c>
      <c r="E600" t="s">
        <v>10</v>
      </c>
      <c r="F600" t="s">
        <v>11</v>
      </c>
      <c r="G600">
        <v>6.430868167202572</v>
      </c>
      <c r="H600">
        <v>1.8611095473628483</v>
      </c>
      <c r="I600" t="s">
        <v>3536</v>
      </c>
    </row>
    <row r="601" spans="1:9" x14ac:dyDescent="0.25">
      <c r="A601" t="s">
        <v>1430</v>
      </c>
      <c r="B601">
        <v>2</v>
      </c>
      <c r="C601">
        <v>0.34499999999999997</v>
      </c>
      <c r="D601" t="s">
        <v>148</v>
      </c>
      <c r="E601" t="s">
        <v>554</v>
      </c>
      <c r="F601" t="s">
        <v>526</v>
      </c>
      <c r="G601">
        <v>5.7971014492753632</v>
      </c>
      <c r="H601">
        <v>1.7573580425107227</v>
      </c>
      <c r="I601" t="s">
        <v>3536</v>
      </c>
    </row>
    <row r="602" spans="1:9" x14ac:dyDescent="0.25">
      <c r="A602" t="s">
        <v>1432</v>
      </c>
      <c r="B602">
        <v>2</v>
      </c>
      <c r="C602">
        <v>0.53</v>
      </c>
      <c r="D602" t="s">
        <v>1434</v>
      </c>
      <c r="E602" t="s">
        <v>20</v>
      </c>
      <c r="F602" t="s">
        <v>21</v>
      </c>
      <c r="G602">
        <v>3.773584905660377</v>
      </c>
      <c r="H602">
        <v>1.3280254529959148</v>
      </c>
      <c r="I602" t="s">
        <v>3536</v>
      </c>
    </row>
    <row r="603" spans="1:9" x14ac:dyDescent="0.25">
      <c r="A603" t="s">
        <v>1435</v>
      </c>
      <c r="B603">
        <v>2</v>
      </c>
      <c r="C603">
        <v>0.876</v>
      </c>
      <c r="D603" t="s">
        <v>1437</v>
      </c>
      <c r="E603" t="s">
        <v>1438</v>
      </c>
      <c r="F603" t="s">
        <v>50</v>
      </c>
      <c r="G603">
        <v>2.2831050228310503</v>
      </c>
      <c r="H603">
        <v>0.82553636860569102</v>
      </c>
      <c r="I603" t="s">
        <v>3536</v>
      </c>
    </row>
    <row r="604" spans="1:9" x14ac:dyDescent="0.25">
      <c r="A604" t="s">
        <v>1439</v>
      </c>
      <c r="B604">
        <v>2</v>
      </c>
      <c r="C604">
        <v>0.22</v>
      </c>
      <c r="D604" t="s">
        <v>454</v>
      </c>
      <c r="E604" t="s">
        <v>294</v>
      </c>
      <c r="F604" t="s">
        <v>21</v>
      </c>
      <c r="G604">
        <v>9.0909090909090917</v>
      </c>
      <c r="H604">
        <v>2.2072749131897211</v>
      </c>
      <c r="I604" t="s">
        <v>3536</v>
      </c>
    </row>
    <row r="605" spans="1:9" x14ac:dyDescent="0.25">
      <c r="A605" t="s">
        <v>1441</v>
      </c>
      <c r="B605">
        <v>2</v>
      </c>
      <c r="C605">
        <v>0.64</v>
      </c>
      <c r="D605" t="s">
        <v>1443</v>
      </c>
      <c r="E605" t="s">
        <v>1035</v>
      </c>
      <c r="F605" t="s">
        <v>21</v>
      </c>
      <c r="G605">
        <v>3.125</v>
      </c>
      <c r="H605">
        <v>1.1394342831883648</v>
      </c>
      <c r="I605" t="s">
        <v>3536</v>
      </c>
    </row>
    <row r="606" spans="1:9" x14ac:dyDescent="0.25">
      <c r="A606" t="s">
        <v>1444</v>
      </c>
      <c r="B606">
        <v>2</v>
      </c>
      <c r="C606">
        <v>0.25</v>
      </c>
      <c r="D606" t="s">
        <v>1329</v>
      </c>
      <c r="E606" t="s">
        <v>554</v>
      </c>
      <c r="F606" t="s">
        <v>526</v>
      </c>
      <c r="G606">
        <v>8</v>
      </c>
      <c r="H606">
        <v>2.0794415416798357</v>
      </c>
      <c r="I606" t="s">
        <v>3536</v>
      </c>
    </row>
    <row r="607" spans="1:9" x14ac:dyDescent="0.25">
      <c r="A607" t="s">
        <v>1445</v>
      </c>
      <c r="B607">
        <v>2</v>
      </c>
      <c r="C607">
        <v>0.436</v>
      </c>
      <c r="D607" t="s">
        <v>1042</v>
      </c>
      <c r="E607" t="s">
        <v>10</v>
      </c>
      <c r="F607" t="s">
        <v>11</v>
      </c>
      <c r="G607">
        <v>4.5871559633027523</v>
      </c>
      <c r="H607">
        <v>1.523260216193048</v>
      </c>
      <c r="I607" t="s">
        <v>3536</v>
      </c>
    </row>
    <row r="608" spans="1:9" x14ac:dyDescent="0.25">
      <c r="A608" t="s">
        <v>1447</v>
      </c>
      <c r="B608">
        <v>2</v>
      </c>
      <c r="C608">
        <v>0.26800000000000002</v>
      </c>
      <c r="D608" t="s">
        <v>576</v>
      </c>
      <c r="E608" t="s">
        <v>10</v>
      </c>
      <c r="F608" t="s">
        <v>11</v>
      </c>
      <c r="G608">
        <v>7.4626865671641784</v>
      </c>
      <c r="H608">
        <v>2.0099154790312257</v>
      </c>
      <c r="I608" t="s">
        <v>3536</v>
      </c>
    </row>
    <row r="609" spans="1:9" x14ac:dyDescent="0.25">
      <c r="A609" t="s">
        <v>1448</v>
      </c>
      <c r="B609">
        <v>2</v>
      </c>
      <c r="C609">
        <v>0.59299999999999997</v>
      </c>
      <c r="D609" t="s">
        <v>424</v>
      </c>
      <c r="E609" t="s">
        <v>170</v>
      </c>
      <c r="F609" t="s">
        <v>50</v>
      </c>
      <c r="G609">
        <v>3.3726812816188874</v>
      </c>
      <c r="H609">
        <v>1.2157080605443571</v>
      </c>
      <c r="I609" t="s">
        <v>3536</v>
      </c>
    </row>
    <row r="610" spans="1:9" x14ac:dyDescent="0.25">
      <c r="A610" t="s">
        <v>1450</v>
      </c>
      <c r="B610">
        <v>2</v>
      </c>
      <c r="C610">
        <v>0.27700000000000002</v>
      </c>
      <c r="D610" t="s">
        <v>1451</v>
      </c>
      <c r="E610" t="s">
        <v>10</v>
      </c>
      <c r="F610" t="s">
        <v>11</v>
      </c>
      <c r="G610">
        <v>7.2202166064981945</v>
      </c>
      <c r="H610">
        <v>1.9768849533547439</v>
      </c>
      <c r="I610" t="s">
        <v>3536</v>
      </c>
    </row>
    <row r="611" spans="1:9" x14ac:dyDescent="0.25">
      <c r="A611" t="s">
        <v>1452</v>
      </c>
      <c r="B611">
        <v>2</v>
      </c>
      <c r="C611">
        <v>0.50700000000000001</v>
      </c>
      <c r="D611" t="s">
        <v>1454</v>
      </c>
      <c r="E611" t="s">
        <v>10</v>
      </c>
      <c r="F611" t="s">
        <v>11</v>
      </c>
      <c r="G611">
        <v>3.9447731755424065</v>
      </c>
      <c r="H611">
        <v>1.3723914559508992</v>
      </c>
      <c r="I611" t="s">
        <v>3536</v>
      </c>
    </row>
    <row r="612" spans="1:9" x14ac:dyDescent="0.25">
      <c r="A612" t="s">
        <v>1455</v>
      </c>
      <c r="B612">
        <v>2</v>
      </c>
      <c r="C612">
        <v>0.39700000000000002</v>
      </c>
      <c r="D612" t="s">
        <v>254</v>
      </c>
      <c r="E612" t="s">
        <v>10</v>
      </c>
      <c r="F612" t="s">
        <v>11</v>
      </c>
      <c r="G612">
        <v>5.0377833753148611</v>
      </c>
      <c r="H612">
        <v>1.6169661788548919</v>
      </c>
      <c r="I612" t="s">
        <v>3536</v>
      </c>
    </row>
    <row r="613" spans="1:9" x14ac:dyDescent="0.25">
      <c r="A613" t="s">
        <v>1457</v>
      </c>
      <c r="B613">
        <v>2</v>
      </c>
      <c r="C613">
        <v>0.221</v>
      </c>
      <c r="D613" t="s">
        <v>1102</v>
      </c>
      <c r="E613" t="s">
        <v>10</v>
      </c>
      <c r="F613" t="s">
        <v>11</v>
      </c>
      <c r="G613">
        <v>9.0497737556561084</v>
      </c>
      <c r="H613">
        <v>2.2027397580243293</v>
      </c>
      <c r="I613" t="s">
        <v>3536</v>
      </c>
    </row>
    <row r="614" spans="1:9" x14ac:dyDescent="0.25">
      <c r="A614" t="s">
        <v>1459</v>
      </c>
      <c r="B614">
        <v>2</v>
      </c>
      <c r="C614">
        <v>7.0000000000000007E-2</v>
      </c>
      <c r="D614" t="s">
        <v>15</v>
      </c>
      <c r="E614" t="s">
        <v>10</v>
      </c>
      <c r="F614" t="s">
        <v>11</v>
      </c>
      <c r="G614">
        <v>28.571428571428569</v>
      </c>
      <c r="H614">
        <v>3.3524072174927233</v>
      </c>
      <c r="I614" t="s">
        <v>3536</v>
      </c>
    </row>
    <row r="615" spans="1:9" x14ac:dyDescent="0.25">
      <c r="A615" t="s">
        <v>1461</v>
      </c>
      <c r="B615">
        <v>2</v>
      </c>
      <c r="C615">
        <v>0.26</v>
      </c>
      <c r="D615" t="s">
        <v>1462</v>
      </c>
      <c r="E615" t="s">
        <v>20</v>
      </c>
      <c r="F615" t="s">
        <v>21</v>
      </c>
      <c r="G615">
        <v>7.6923076923076916</v>
      </c>
      <c r="H615">
        <v>2.0402208285265546</v>
      </c>
      <c r="I615" t="s">
        <v>3536</v>
      </c>
    </row>
    <row r="616" spans="1:9" x14ac:dyDescent="0.25">
      <c r="A616" t="s">
        <v>1463</v>
      </c>
      <c r="B616">
        <v>2</v>
      </c>
      <c r="C616">
        <v>2</v>
      </c>
      <c r="E616" t="s">
        <v>20</v>
      </c>
      <c r="F616" t="s">
        <v>21</v>
      </c>
      <c r="G616">
        <v>1</v>
      </c>
      <c r="H616">
        <v>0</v>
      </c>
      <c r="I616" t="s">
        <v>3536</v>
      </c>
    </row>
    <row r="617" spans="1:9" x14ac:dyDescent="0.25">
      <c r="A617" t="s">
        <v>1464</v>
      </c>
      <c r="B617">
        <v>2</v>
      </c>
      <c r="C617">
        <v>0.26400000000000001</v>
      </c>
      <c r="D617" t="s">
        <v>1465</v>
      </c>
      <c r="E617" t="s">
        <v>20</v>
      </c>
      <c r="F617" t="s">
        <v>21</v>
      </c>
      <c r="G617">
        <v>7.5757575757575752</v>
      </c>
      <c r="H617">
        <v>2.0249533563957662</v>
      </c>
      <c r="I617" t="s">
        <v>3536</v>
      </c>
    </row>
    <row r="618" spans="1:9" x14ac:dyDescent="0.25">
      <c r="A618" t="s">
        <v>1466</v>
      </c>
      <c r="B618">
        <v>2</v>
      </c>
      <c r="C618">
        <v>1</v>
      </c>
      <c r="D618" t="s">
        <v>1467</v>
      </c>
      <c r="E618" t="s">
        <v>20</v>
      </c>
      <c r="F618" t="s">
        <v>21</v>
      </c>
      <c r="G618">
        <v>2</v>
      </c>
      <c r="H618">
        <v>0.69314718055994529</v>
      </c>
      <c r="I618" t="s">
        <v>3536</v>
      </c>
    </row>
    <row r="619" spans="1:9" x14ac:dyDescent="0.25">
      <c r="A619" t="s">
        <v>1468</v>
      </c>
      <c r="B619">
        <v>2</v>
      </c>
      <c r="C619">
        <v>0.34399999999999997</v>
      </c>
      <c r="D619" t="s">
        <v>1470</v>
      </c>
      <c r="E619" t="s">
        <v>10</v>
      </c>
      <c r="F619" t="s">
        <v>11</v>
      </c>
      <c r="G619">
        <v>5.8139534883720936</v>
      </c>
      <c r="H619">
        <v>1.7602608021686841</v>
      </c>
      <c r="I619" t="s">
        <v>3536</v>
      </c>
    </row>
    <row r="620" spans="1:9" x14ac:dyDescent="0.25">
      <c r="A620" t="s">
        <v>1471</v>
      </c>
      <c r="B620">
        <v>2</v>
      </c>
      <c r="C620">
        <v>2</v>
      </c>
      <c r="D620" t="s">
        <v>1472</v>
      </c>
      <c r="E620" t="s">
        <v>20</v>
      </c>
      <c r="F620" t="s">
        <v>21</v>
      </c>
      <c r="G620">
        <v>1</v>
      </c>
      <c r="H620">
        <v>0</v>
      </c>
      <c r="I620" t="s">
        <v>3536</v>
      </c>
    </row>
    <row r="621" spans="1:9" x14ac:dyDescent="0.25">
      <c r="A621" t="s">
        <v>1473</v>
      </c>
      <c r="B621">
        <v>2</v>
      </c>
      <c r="C621">
        <v>0.496</v>
      </c>
      <c r="D621" t="s">
        <v>177</v>
      </c>
      <c r="E621" t="s">
        <v>187</v>
      </c>
      <c r="F621" t="s">
        <v>50</v>
      </c>
      <c r="G621">
        <v>4.032258064516129</v>
      </c>
      <c r="H621">
        <v>1.3943265328171548</v>
      </c>
      <c r="I621" t="s">
        <v>3536</v>
      </c>
    </row>
    <row r="622" spans="1:9" x14ac:dyDescent="0.25">
      <c r="A622" t="s">
        <v>1474</v>
      </c>
      <c r="B622">
        <v>2</v>
      </c>
      <c r="C622">
        <v>0.58899999999999997</v>
      </c>
      <c r="D622" t="s">
        <v>1476</v>
      </c>
      <c r="E622" t="s">
        <v>20</v>
      </c>
      <c r="F622" t="s">
        <v>21</v>
      </c>
      <c r="G622">
        <v>3.3955857385398982</v>
      </c>
      <c r="H622">
        <v>1.2224762758904957</v>
      </c>
      <c r="I622" t="s">
        <v>3536</v>
      </c>
    </row>
    <row r="623" spans="1:9" x14ac:dyDescent="0.25">
      <c r="A623" t="s">
        <v>1477</v>
      </c>
      <c r="B623">
        <v>2</v>
      </c>
      <c r="C623">
        <v>0.316</v>
      </c>
      <c r="D623" t="s">
        <v>1479</v>
      </c>
      <c r="E623" t="s">
        <v>10</v>
      </c>
      <c r="F623" t="s">
        <v>11</v>
      </c>
      <c r="G623">
        <v>6.3291139240506329</v>
      </c>
      <c r="H623">
        <v>1.8451602459551701</v>
      </c>
      <c r="I623" t="s">
        <v>3536</v>
      </c>
    </row>
    <row r="624" spans="1:9" x14ac:dyDescent="0.25">
      <c r="A624" t="s">
        <v>1480</v>
      </c>
      <c r="B624">
        <v>2</v>
      </c>
      <c r="C624">
        <v>0.51700000000000002</v>
      </c>
      <c r="D624" t="s">
        <v>1482</v>
      </c>
      <c r="E624" t="s">
        <v>187</v>
      </c>
      <c r="F624" t="s">
        <v>50</v>
      </c>
      <c r="G624">
        <v>3.8684719535783363</v>
      </c>
      <c r="H624">
        <v>1.3528595850336531</v>
      </c>
      <c r="I624" t="s">
        <v>3536</v>
      </c>
    </row>
    <row r="625" spans="1:9" x14ac:dyDescent="0.25">
      <c r="A625" t="s">
        <v>1483</v>
      </c>
      <c r="B625">
        <v>2</v>
      </c>
      <c r="C625">
        <v>0.28199999999999997</v>
      </c>
      <c r="D625" t="s">
        <v>1485</v>
      </c>
      <c r="E625" t="s">
        <v>294</v>
      </c>
      <c r="F625" t="s">
        <v>21</v>
      </c>
      <c r="G625">
        <v>7.0921985815602842</v>
      </c>
      <c r="H625">
        <v>1.9589953886039688</v>
      </c>
      <c r="I625" t="s">
        <v>3536</v>
      </c>
    </row>
    <row r="626" spans="1:9" x14ac:dyDescent="0.25">
      <c r="A626" t="s">
        <v>1486</v>
      </c>
      <c r="B626">
        <v>2</v>
      </c>
      <c r="C626">
        <v>0.78100000000000003</v>
      </c>
      <c r="D626" t="s">
        <v>1487</v>
      </c>
      <c r="E626" t="s">
        <v>1488</v>
      </c>
      <c r="F626" t="s">
        <v>21</v>
      </c>
      <c r="G626">
        <v>2.5608194622279128</v>
      </c>
      <c r="H626">
        <v>0.94032730970239631</v>
      </c>
      <c r="I626" t="s">
        <v>3536</v>
      </c>
    </row>
    <row r="627" spans="1:9" x14ac:dyDescent="0.25">
      <c r="A627" t="s">
        <v>1489</v>
      </c>
      <c r="B627">
        <v>2</v>
      </c>
      <c r="C627">
        <v>0.72799999999999998</v>
      </c>
      <c r="D627" t="s">
        <v>1490</v>
      </c>
      <c r="E627" t="s">
        <v>210</v>
      </c>
      <c r="F627" t="s">
        <v>50</v>
      </c>
      <c r="G627">
        <v>2.7472527472527473</v>
      </c>
      <c r="H627">
        <v>1.0106014113453965</v>
      </c>
      <c r="I627" t="s">
        <v>3536</v>
      </c>
    </row>
    <row r="628" spans="1:9" x14ac:dyDescent="0.25">
      <c r="A628" t="s">
        <v>1491</v>
      </c>
      <c r="B628">
        <v>2</v>
      </c>
      <c r="C628">
        <v>0</v>
      </c>
      <c r="D628" t="s">
        <v>1492</v>
      </c>
      <c r="E628" t="s">
        <v>20</v>
      </c>
      <c r="F628" t="s">
        <v>21</v>
      </c>
      <c r="G628" t="s">
        <v>3535</v>
      </c>
      <c r="H628" t="s">
        <v>3535</v>
      </c>
      <c r="I628" t="s">
        <v>3537</v>
      </c>
    </row>
    <row r="629" spans="1:9" x14ac:dyDescent="0.25">
      <c r="A629" t="s">
        <v>1493</v>
      </c>
      <c r="B629">
        <v>2</v>
      </c>
      <c r="C629">
        <v>1</v>
      </c>
      <c r="D629" t="s">
        <v>1494</v>
      </c>
      <c r="E629" t="s">
        <v>20</v>
      </c>
      <c r="F629" t="s">
        <v>21</v>
      </c>
      <c r="G629">
        <v>2</v>
      </c>
      <c r="H629">
        <v>0.69314718055994529</v>
      </c>
      <c r="I629" t="s">
        <v>3536</v>
      </c>
    </row>
    <row r="630" spans="1:9" x14ac:dyDescent="0.25">
      <c r="A630" t="s">
        <v>1495</v>
      </c>
      <c r="B630">
        <v>2</v>
      </c>
      <c r="C630">
        <v>0.52</v>
      </c>
      <c r="D630" t="s">
        <v>1496</v>
      </c>
      <c r="E630" t="s">
        <v>10</v>
      </c>
      <c r="F630" t="s">
        <v>11</v>
      </c>
      <c r="G630">
        <v>3.8461538461538458</v>
      </c>
      <c r="H630">
        <v>1.3470736479666092</v>
      </c>
      <c r="I630" t="s">
        <v>3536</v>
      </c>
    </row>
    <row r="631" spans="1:9" x14ac:dyDescent="0.25">
      <c r="A631" t="s">
        <v>1497</v>
      </c>
      <c r="B631">
        <v>2</v>
      </c>
      <c r="C631">
        <v>0.26600000000000001</v>
      </c>
      <c r="D631" t="s">
        <v>1499</v>
      </c>
      <c r="E631" t="s">
        <v>49</v>
      </c>
      <c r="F631" t="s">
        <v>50</v>
      </c>
      <c r="G631">
        <v>7.518796992481203</v>
      </c>
      <c r="H631">
        <v>2.0174061507603831</v>
      </c>
      <c r="I631" t="s">
        <v>3536</v>
      </c>
    </row>
    <row r="632" spans="1:9" x14ac:dyDescent="0.25">
      <c r="A632" t="s">
        <v>1500</v>
      </c>
      <c r="B632">
        <v>2</v>
      </c>
      <c r="C632">
        <v>3.5000000000000003E-2</v>
      </c>
      <c r="D632" t="s">
        <v>1502</v>
      </c>
      <c r="E632" t="s">
        <v>652</v>
      </c>
      <c r="F632" t="s">
        <v>50</v>
      </c>
      <c r="G632">
        <v>57.142857142857139</v>
      </c>
      <c r="H632">
        <v>4.0455543980526683</v>
      </c>
      <c r="I632" t="s">
        <v>3536</v>
      </c>
    </row>
    <row r="633" spans="1:9" x14ac:dyDescent="0.25">
      <c r="A633" t="s">
        <v>1503</v>
      </c>
      <c r="B633">
        <v>2</v>
      </c>
      <c r="C633">
        <v>0.33600000000000002</v>
      </c>
      <c r="D633" t="s">
        <v>1505</v>
      </c>
      <c r="E633" t="s">
        <v>10</v>
      </c>
      <c r="F633" t="s">
        <v>11</v>
      </c>
      <c r="G633">
        <v>5.9523809523809517</v>
      </c>
      <c r="H633">
        <v>1.7837912995788781</v>
      </c>
      <c r="I633" t="s">
        <v>3536</v>
      </c>
    </row>
    <row r="634" spans="1:9" x14ac:dyDescent="0.25">
      <c r="A634" t="s">
        <v>1506</v>
      </c>
      <c r="B634">
        <v>2</v>
      </c>
      <c r="C634">
        <v>0.4</v>
      </c>
      <c r="D634" t="s">
        <v>1507</v>
      </c>
      <c r="E634" t="s">
        <v>170</v>
      </c>
      <c r="F634" t="s">
        <v>50</v>
      </c>
      <c r="G634">
        <v>5</v>
      </c>
      <c r="H634">
        <v>1.6094379124341003</v>
      </c>
      <c r="I634" t="s">
        <v>3536</v>
      </c>
    </row>
    <row r="635" spans="1:9" x14ac:dyDescent="0.25">
      <c r="A635" t="s">
        <v>1508</v>
      </c>
      <c r="B635">
        <v>2</v>
      </c>
      <c r="C635">
        <v>0.3</v>
      </c>
      <c r="D635" t="s">
        <v>1509</v>
      </c>
      <c r="E635" t="s">
        <v>10</v>
      </c>
      <c r="F635" t="s">
        <v>11</v>
      </c>
      <c r="G635">
        <v>6.666666666666667</v>
      </c>
      <c r="H635">
        <v>1.8971199848858813</v>
      </c>
      <c r="I635" t="s">
        <v>3536</v>
      </c>
    </row>
    <row r="636" spans="1:9" x14ac:dyDescent="0.25">
      <c r="A636" t="s">
        <v>1510</v>
      </c>
      <c r="B636">
        <v>2</v>
      </c>
      <c r="C636">
        <v>0.318</v>
      </c>
      <c r="D636" t="s">
        <v>1512</v>
      </c>
      <c r="E636" t="s">
        <v>10</v>
      </c>
      <c r="F636" t="s">
        <v>11</v>
      </c>
      <c r="G636">
        <v>6.2893081761006284</v>
      </c>
      <c r="H636">
        <v>1.8388510767619055</v>
      </c>
      <c r="I636" t="s">
        <v>3536</v>
      </c>
    </row>
    <row r="637" spans="1:9" x14ac:dyDescent="0.25">
      <c r="A637" t="s">
        <v>1513</v>
      </c>
      <c r="B637">
        <v>2</v>
      </c>
      <c r="C637">
        <v>0.624</v>
      </c>
      <c r="D637" t="s">
        <v>1515</v>
      </c>
      <c r="E637" t="s">
        <v>10</v>
      </c>
      <c r="F637" t="s">
        <v>11</v>
      </c>
      <c r="G637">
        <v>3.2051282051282053</v>
      </c>
      <c r="H637">
        <v>1.1647520911726548</v>
      </c>
      <c r="I637" t="s">
        <v>3536</v>
      </c>
    </row>
    <row r="638" spans="1:9" x14ac:dyDescent="0.25">
      <c r="A638" t="s">
        <v>1516</v>
      </c>
      <c r="B638">
        <v>2</v>
      </c>
      <c r="C638">
        <v>0.63100000000000001</v>
      </c>
      <c r="D638" t="s">
        <v>1518</v>
      </c>
      <c r="E638" t="s">
        <v>10</v>
      </c>
      <c r="F638" t="s">
        <v>11</v>
      </c>
      <c r="G638">
        <v>3.1695721077654517</v>
      </c>
      <c r="H638">
        <v>1.1535965970008693</v>
      </c>
      <c r="I638" t="s">
        <v>3536</v>
      </c>
    </row>
    <row r="639" spans="1:9" x14ac:dyDescent="0.25">
      <c r="A639" t="s">
        <v>1519</v>
      </c>
      <c r="B639">
        <v>2</v>
      </c>
      <c r="C639">
        <v>0.41</v>
      </c>
      <c r="D639" t="s">
        <v>1520</v>
      </c>
      <c r="E639" t="s">
        <v>384</v>
      </c>
      <c r="F639" t="s">
        <v>21</v>
      </c>
      <c r="G639">
        <v>4.8780487804878048</v>
      </c>
      <c r="H639">
        <v>1.5847452998437288</v>
      </c>
      <c r="I639" t="s">
        <v>3536</v>
      </c>
    </row>
    <row r="640" spans="1:9" x14ac:dyDescent="0.25">
      <c r="A640" t="s">
        <v>1521</v>
      </c>
      <c r="B640">
        <v>2</v>
      </c>
      <c r="C640">
        <v>0.41599999999999998</v>
      </c>
      <c r="D640" t="s">
        <v>1523</v>
      </c>
      <c r="E640" t="s">
        <v>10</v>
      </c>
      <c r="F640" t="s">
        <v>11</v>
      </c>
      <c r="G640">
        <v>4.8076923076923075</v>
      </c>
      <c r="H640">
        <v>1.5702171992808189</v>
      </c>
      <c r="I640" t="s">
        <v>3536</v>
      </c>
    </row>
    <row r="641" spans="1:9" x14ac:dyDescent="0.25">
      <c r="A641" t="s">
        <v>1524</v>
      </c>
      <c r="B641">
        <v>2</v>
      </c>
      <c r="C641">
        <v>0.432</v>
      </c>
      <c r="D641" t="s">
        <v>1526</v>
      </c>
      <c r="E641" t="s">
        <v>10</v>
      </c>
      <c r="F641" t="s">
        <v>11</v>
      </c>
      <c r="G641">
        <v>4.6296296296296298</v>
      </c>
      <c r="H641">
        <v>1.5324768712979722</v>
      </c>
      <c r="I641" t="s">
        <v>3536</v>
      </c>
    </row>
    <row r="642" spans="1:9" x14ac:dyDescent="0.25">
      <c r="A642" t="s">
        <v>1527</v>
      </c>
      <c r="B642">
        <v>2</v>
      </c>
      <c r="C642">
        <v>0.50700000000000001</v>
      </c>
      <c r="D642" t="s">
        <v>1528</v>
      </c>
      <c r="E642" t="s">
        <v>554</v>
      </c>
      <c r="F642" t="s">
        <v>526</v>
      </c>
      <c r="G642">
        <v>3.9447731755424065</v>
      </c>
      <c r="H642">
        <v>1.3723914559508992</v>
      </c>
      <c r="I642" t="s">
        <v>3536</v>
      </c>
    </row>
    <row r="643" spans="1:9" x14ac:dyDescent="0.25">
      <c r="A643" t="s">
        <v>1529</v>
      </c>
      <c r="B643">
        <v>2</v>
      </c>
      <c r="C643">
        <v>0.5</v>
      </c>
      <c r="D643" t="s">
        <v>1530</v>
      </c>
      <c r="E643" t="s">
        <v>20</v>
      </c>
      <c r="F643" t="s">
        <v>21</v>
      </c>
      <c r="G643">
        <v>4</v>
      </c>
      <c r="H643">
        <v>1.3862943611198906</v>
      </c>
      <c r="I643" t="s">
        <v>3536</v>
      </c>
    </row>
    <row r="644" spans="1:9" x14ac:dyDescent="0.25">
      <c r="A644" t="s">
        <v>1531</v>
      </c>
      <c r="B644">
        <v>2</v>
      </c>
      <c r="C644">
        <v>0.45100000000000001</v>
      </c>
      <c r="D644" t="s">
        <v>1533</v>
      </c>
      <c r="E644" t="s">
        <v>44</v>
      </c>
      <c r="F644" t="s">
        <v>21</v>
      </c>
      <c r="G644">
        <v>4.434589800443459</v>
      </c>
      <c r="H644">
        <v>1.489435120039404</v>
      </c>
      <c r="I644" t="s">
        <v>3536</v>
      </c>
    </row>
    <row r="645" spans="1:9" x14ac:dyDescent="0.25">
      <c r="A645" t="s">
        <v>1534</v>
      </c>
      <c r="B645">
        <v>2</v>
      </c>
      <c r="C645">
        <v>0.33</v>
      </c>
      <c r="D645" t="s">
        <v>1535</v>
      </c>
      <c r="E645" t="s">
        <v>10</v>
      </c>
      <c r="F645" t="s">
        <v>11</v>
      </c>
      <c r="G645">
        <v>6.0606060606060606</v>
      </c>
      <c r="H645">
        <v>1.8018098050815565</v>
      </c>
      <c r="I645" t="s">
        <v>3536</v>
      </c>
    </row>
    <row r="646" spans="1:9" x14ac:dyDescent="0.25">
      <c r="A646" t="s">
        <v>1536</v>
      </c>
      <c r="B646">
        <v>2</v>
      </c>
      <c r="C646">
        <v>0.19400000000000001</v>
      </c>
      <c r="D646" t="s">
        <v>1012</v>
      </c>
      <c r="E646" t="s">
        <v>10</v>
      </c>
      <c r="F646" t="s">
        <v>11</v>
      </c>
      <c r="G646">
        <v>10.309278350515463</v>
      </c>
      <c r="H646">
        <v>2.333044300478754</v>
      </c>
      <c r="I646" t="s">
        <v>3536</v>
      </c>
    </row>
    <row r="647" spans="1:9" x14ac:dyDescent="0.25">
      <c r="A647" t="s">
        <v>1538</v>
      </c>
      <c r="B647">
        <v>2</v>
      </c>
      <c r="C647">
        <v>0.56899999999999995</v>
      </c>
      <c r="D647" t="s">
        <v>1540</v>
      </c>
      <c r="E647" t="s">
        <v>648</v>
      </c>
      <c r="F647" t="s">
        <v>50</v>
      </c>
      <c r="G647">
        <v>3.5149384885764503</v>
      </c>
      <c r="H647">
        <v>1.2570220254157516</v>
      </c>
      <c r="I647" t="s">
        <v>3536</v>
      </c>
    </row>
    <row r="648" spans="1:9" x14ac:dyDescent="0.25">
      <c r="A648" t="s">
        <v>1541</v>
      </c>
      <c r="B648">
        <v>2</v>
      </c>
      <c r="C648">
        <v>0.3</v>
      </c>
      <c r="D648" t="s">
        <v>1542</v>
      </c>
      <c r="E648" t="s">
        <v>10</v>
      </c>
      <c r="F648" t="s">
        <v>11</v>
      </c>
      <c r="G648">
        <v>6.666666666666667</v>
      </c>
      <c r="H648">
        <v>1.8971199848858813</v>
      </c>
      <c r="I648" t="s">
        <v>3536</v>
      </c>
    </row>
    <row r="649" spans="1:9" x14ac:dyDescent="0.25">
      <c r="A649" t="s">
        <v>1543</v>
      </c>
      <c r="B649">
        <v>2</v>
      </c>
      <c r="C649">
        <v>0.2</v>
      </c>
      <c r="D649" t="s">
        <v>254</v>
      </c>
      <c r="E649" t="s">
        <v>10</v>
      </c>
      <c r="F649" t="s">
        <v>11</v>
      </c>
      <c r="G649">
        <v>10</v>
      </c>
      <c r="H649">
        <v>2.3025850929940459</v>
      </c>
      <c r="I649" t="s">
        <v>3536</v>
      </c>
    </row>
    <row r="650" spans="1:9" x14ac:dyDescent="0.25">
      <c r="A650" t="s">
        <v>1544</v>
      </c>
      <c r="B650">
        <v>2</v>
      </c>
      <c r="C650">
        <v>0.121</v>
      </c>
      <c r="D650" t="s">
        <v>1546</v>
      </c>
      <c r="E650" t="s">
        <v>10</v>
      </c>
      <c r="F650" t="s">
        <v>11</v>
      </c>
      <c r="G650">
        <v>16.528925619834713</v>
      </c>
      <c r="H650">
        <v>2.8051119139453413</v>
      </c>
      <c r="I650" t="s">
        <v>3536</v>
      </c>
    </row>
    <row r="651" spans="1:9" x14ac:dyDescent="0.25">
      <c r="A651" t="s">
        <v>1547</v>
      </c>
      <c r="B651">
        <v>2</v>
      </c>
      <c r="C651">
        <v>0.35599999999999998</v>
      </c>
      <c r="D651" t="s">
        <v>66</v>
      </c>
      <c r="E651" t="s">
        <v>10</v>
      </c>
      <c r="F651" t="s">
        <v>11</v>
      </c>
      <c r="G651">
        <v>5.617977528089888</v>
      </c>
      <c r="H651">
        <v>1.725971728690052</v>
      </c>
      <c r="I651" t="s">
        <v>3536</v>
      </c>
    </row>
    <row r="652" spans="1:9" x14ac:dyDescent="0.25">
      <c r="A652" t="s">
        <v>1548</v>
      </c>
      <c r="B652">
        <v>2</v>
      </c>
      <c r="C652">
        <v>0.34200000000000003</v>
      </c>
      <c r="D652" t="s">
        <v>1550</v>
      </c>
      <c r="E652" t="s">
        <v>10</v>
      </c>
      <c r="F652" t="s">
        <v>11</v>
      </c>
      <c r="G652">
        <v>5.8479532163742682</v>
      </c>
      <c r="H652">
        <v>1.766091722479477</v>
      </c>
      <c r="I652" t="s">
        <v>3536</v>
      </c>
    </row>
    <row r="653" spans="1:9" x14ac:dyDescent="0.25">
      <c r="A653" t="s">
        <v>1551</v>
      </c>
      <c r="B653">
        <v>2</v>
      </c>
      <c r="C653">
        <v>0.29899999999999999</v>
      </c>
      <c r="D653" t="s">
        <v>1552</v>
      </c>
      <c r="E653" t="s">
        <v>10</v>
      </c>
      <c r="F653" t="s">
        <v>11</v>
      </c>
      <c r="G653">
        <v>6.6889632107023411</v>
      </c>
      <c r="H653">
        <v>1.900458886151396</v>
      </c>
      <c r="I653" t="s">
        <v>3536</v>
      </c>
    </row>
    <row r="654" spans="1:9" x14ac:dyDescent="0.25">
      <c r="A654" t="s">
        <v>1553</v>
      </c>
      <c r="B654">
        <v>2</v>
      </c>
      <c r="C654">
        <v>0.36499999999999999</v>
      </c>
      <c r="D654" t="s">
        <v>1555</v>
      </c>
      <c r="E654" t="s">
        <v>10</v>
      </c>
      <c r="F654" t="s">
        <v>11</v>
      </c>
      <c r="G654">
        <v>5.4794520547945202</v>
      </c>
      <c r="H654">
        <v>1.7010051059595908</v>
      </c>
      <c r="I654" t="s">
        <v>3536</v>
      </c>
    </row>
    <row r="655" spans="1:9" x14ac:dyDescent="0.25">
      <c r="A655" t="s">
        <v>1556</v>
      </c>
      <c r="B655">
        <v>2</v>
      </c>
      <c r="C655">
        <v>0.47499999999999998</v>
      </c>
      <c r="D655" t="s">
        <v>209</v>
      </c>
      <c r="E655" t="s">
        <v>10</v>
      </c>
      <c r="F655" t="s">
        <v>11</v>
      </c>
      <c r="G655">
        <v>4.2105263157894735</v>
      </c>
      <c r="H655">
        <v>1.4375876555074412</v>
      </c>
      <c r="I655" t="s">
        <v>3536</v>
      </c>
    </row>
    <row r="656" spans="1:9" x14ac:dyDescent="0.25">
      <c r="A656" t="s">
        <v>1557</v>
      </c>
      <c r="B656">
        <v>2</v>
      </c>
      <c r="C656">
        <v>0.34100000000000003</v>
      </c>
      <c r="D656" t="s">
        <v>641</v>
      </c>
      <c r="E656" t="s">
        <v>10</v>
      </c>
      <c r="F656" t="s">
        <v>11</v>
      </c>
      <c r="G656">
        <v>5.8651026392961869</v>
      </c>
      <c r="H656">
        <v>1.7690199822585655</v>
      </c>
      <c r="I656" t="s">
        <v>3536</v>
      </c>
    </row>
    <row r="657" spans="1:9" x14ac:dyDescent="0.25">
      <c r="A657" t="s">
        <v>1558</v>
      </c>
      <c r="B657">
        <v>2</v>
      </c>
      <c r="C657">
        <v>0.48099999999999998</v>
      </c>
      <c r="D657" t="s">
        <v>1064</v>
      </c>
      <c r="E657" t="s">
        <v>1008</v>
      </c>
      <c r="F657" t="s">
        <v>11</v>
      </c>
      <c r="G657">
        <v>4.1580041580041582</v>
      </c>
      <c r="H657">
        <v>1.4250351894363211</v>
      </c>
      <c r="I657" t="s">
        <v>3536</v>
      </c>
    </row>
    <row r="658" spans="1:9" x14ac:dyDescent="0.25">
      <c r="A658" t="s">
        <v>1559</v>
      </c>
      <c r="B658">
        <v>2</v>
      </c>
      <c r="C658">
        <v>0.55000000000000004</v>
      </c>
      <c r="D658" t="s">
        <v>66</v>
      </c>
      <c r="E658" t="s">
        <v>10</v>
      </c>
      <c r="F658" t="s">
        <v>11</v>
      </c>
      <c r="G658">
        <v>3.6363636363636362</v>
      </c>
      <c r="H658">
        <v>1.2909841813155658</v>
      </c>
      <c r="I658" t="s">
        <v>3536</v>
      </c>
    </row>
    <row r="659" spans="1:9" x14ac:dyDescent="0.25">
      <c r="A659" t="s">
        <v>1560</v>
      </c>
      <c r="B659">
        <v>2</v>
      </c>
      <c r="C659">
        <v>0</v>
      </c>
      <c r="E659" t="s">
        <v>10</v>
      </c>
      <c r="F659" t="s">
        <v>11</v>
      </c>
      <c r="G659" t="s">
        <v>3535</v>
      </c>
      <c r="H659" t="s">
        <v>3535</v>
      </c>
      <c r="I659" t="s">
        <v>3537</v>
      </c>
    </row>
    <row r="660" spans="1:9" x14ac:dyDescent="0.25">
      <c r="A660" t="s">
        <v>1561</v>
      </c>
      <c r="B660">
        <v>2</v>
      </c>
      <c r="C660">
        <v>0.21199999999999999</v>
      </c>
      <c r="D660" t="s">
        <v>1282</v>
      </c>
      <c r="E660" t="s">
        <v>10</v>
      </c>
      <c r="F660" t="s">
        <v>11</v>
      </c>
      <c r="G660">
        <v>9.433962264150944</v>
      </c>
      <c r="H660">
        <v>2.2443161848700699</v>
      </c>
      <c r="I660" t="s">
        <v>3536</v>
      </c>
    </row>
    <row r="661" spans="1:9" x14ac:dyDescent="0.25">
      <c r="A661" t="s">
        <v>1563</v>
      </c>
      <c r="B661">
        <v>2</v>
      </c>
      <c r="C661">
        <v>0.56999999999999995</v>
      </c>
      <c r="D661" t="s">
        <v>254</v>
      </c>
      <c r="E661" t="s">
        <v>1564</v>
      </c>
      <c r="F661" t="s">
        <v>109</v>
      </c>
      <c r="G661">
        <v>3.5087719298245617</v>
      </c>
      <c r="H661">
        <v>1.2552660987134865</v>
      </c>
      <c r="I661" t="s">
        <v>3536</v>
      </c>
    </row>
    <row r="662" spans="1:9" x14ac:dyDescent="0.25">
      <c r="A662" t="s">
        <v>1565</v>
      </c>
      <c r="B662">
        <v>2</v>
      </c>
      <c r="C662">
        <v>0.52700000000000002</v>
      </c>
      <c r="D662" t="s">
        <v>254</v>
      </c>
      <c r="E662" t="s">
        <v>10</v>
      </c>
      <c r="F662" t="s">
        <v>11</v>
      </c>
      <c r="G662">
        <v>3.795066413662239</v>
      </c>
      <c r="H662">
        <v>1.33370191100072</v>
      </c>
      <c r="I662" t="s">
        <v>3536</v>
      </c>
    </row>
    <row r="663" spans="1:9" x14ac:dyDescent="0.25">
      <c r="A663" t="s">
        <v>1567</v>
      </c>
      <c r="B663">
        <v>2</v>
      </c>
      <c r="C663">
        <v>0.64</v>
      </c>
      <c r="D663" t="s">
        <v>159</v>
      </c>
      <c r="E663" t="s">
        <v>10</v>
      </c>
      <c r="F663" t="s">
        <v>11</v>
      </c>
      <c r="G663">
        <v>3.125</v>
      </c>
      <c r="H663">
        <v>1.1394342831883648</v>
      </c>
      <c r="I663" t="s">
        <v>3536</v>
      </c>
    </row>
    <row r="664" spans="1:9" x14ac:dyDescent="0.25">
      <c r="A664" t="s">
        <v>1568</v>
      </c>
      <c r="B664">
        <v>2</v>
      </c>
      <c r="C664">
        <v>0.251</v>
      </c>
      <c r="D664" t="s">
        <v>254</v>
      </c>
      <c r="E664" t="s">
        <v>10</v>
      </c>
      <c r="F664" t="s">
        <v>11</v>
      </c>
      <c r="G664">
        <v>7.9681274900398407</v>
      </c>
      <c r="H664">
        <v>2.0754495204102983</v>
      </c>
      <c r="I664" t="s">
        <v>3536</v>
      </c>
    </row>
    <row r="665" spans="1:9" x14ac:dyDescent="0.25">
      <c r="A665" t="s">
        <v>1570</v>
      </c>
      <c r="B665">
        <v>2</v>
      </c>
      <c r="C665">
        <v>0.315</v>
      </c>
      <c r="D665" t="s">
        <v>254</v>
      </c>
      <c r="E665" t="s">
        <v>10</v>
      </c>
      <c r="F665" t="s">
        <v>11</v>
      </c>
      <c r="G665">
        <v>6.3492063492063489</v>
      </c>
      <c r="H665">
        <v>1.8483298207164491</v>
      </c>
      <c r="I665" t="s">
        <v>3536</v>
      </c>
    </row>
    <row r="666" spans="1:9" x14ac:dyDescent="0.25">
      <c r="A666" t="s">
        <v>1571</v>
      </c>
      <c r="B666">
        <v>2</v>
      </c>
      <c r="C666">
        <v>0.46400000000000002</v>
      </c>
      <c r="D666" t="s">
        <v>1573</v>
      </c>
      <c r="E666" t="s">
        <v>187</v>
      </c>
      <c r="F666" t="s">
        <v>50</v>
      </c>
      <c r="G666">
        <v>4.3103448275862064</v>
      </c>
      <c r="H666">
        <v>1.4610179073158269</v>
      </c>
      <c r="I666" t="s">
        <v>3536</v>
      </c>
    </row>
    <row r="667" spans="1:9" x14ac:dyDescent="0.25">
      <c r="A667" t="s">
        <v>1574</v>
      </c>
      <c r="B667">
        <v>2</v>
      </c>
      <c r="C667">
        <v>0.61699999999999999</v>
      </c>
      <c r="D667" t="s">
        <v>1575</v>
      </c>
      <c r="E667" t="s">
        <v>10</v>
      </c>
      <c r="F667" t="s">
        <v>11</v>
      </c>
      <c r="G667">
        <v>3.2414910858995136</v>
      </c>
      <c r="H667">
        <v>1.1760334356366946</v>
      </c>
      <c r="I667" t="s">
        <v>3536</v>
      </c>
    </row>
    <row r="668" spans="1:9" x14ac:dyDescent="0.25">
      <c r="A668" t="s">
        <v>1576</v>
      </c>
      <c r="B668">
        <v>2</v>
      </c>
      <c r="C668">
        <v>0.19</v>
      </c>
      <c r="D668" t="s">
        <v>1577</v>
      </c>
      <c r="E668" t="s">
        <v>1578</v>
      </c>
      <c r="F668" t="s">
        <v>50</v>
      </c>
      <c r="G668">
        <v>10.526315789473685</v>
      </c>
      <c r="H668">
        <v>2.3538783873815965</v>
      </c>
      <c r="I668" t="s">
        <v>3536</v>
      </c>
    </row>
    <row r="669" spans="1:9" x14ac:dyDescent="0.25">
      <c r="A669" t="s">
        <v>1579</v>
      </c>
      <c r="B669">
        <v>2</v>
      </c>
      <c r="C669">
        <v>0.61599999999999999</v>
      </c>
      <c r="D669" t="s">
        <v>1580</v>
      </c>
      <c r="E669" t="s">
        <v>1035</v>
      </c>
      <c r="F669" t="s">
        <v>21</v>
      </c>
      <c r="G669">
        <v>3.2467532467532467</v>
      </c>
      <c r="H669">
        <v>1.1776554960085626</v>
      </c>
      <c r="I669" t="s">
        <v>3536</v>
      </c>
    </row>
    <row r="670" spans="1:9" x14ac:dyDescent="0.25">
      <c r="A670" t="s">
        <v>1581</v>
      </c>
      <c r="B670">
        <v>2</v>
      </c>
      <c r="C670">
        <v>0.95</v>
      </c>
      <c r="D670" t="s">
        <v>1582</v>
      </c>
      <c r="E670" t="s">
        <v>20</v>
      </c>
      <c r="F670" t="s">
        <v>21</v>
      </c>
      <c r="G670">
        <v>2.1052631578947367</v>
      </c>
      <c r="H670">
        <v>0.74444047494749577</v>
      </c>
      <c r="I670" t="s">
        <v>3536</v>
      </c>
    </row>
    <row r="671" spans="1:9" x14ac:dyDescent="0.25">
      <c r="A671" t="s">
        <v>1583</v>
      </c>
      <c r="B671">
        <v>2</v>
      </c>
      <c r="C671">
        <v>0.503</v>
      </c>
      <c r="D671" t="s">
        <v>1584</v>
      </c>
      <c r="E671" t="s">
        <v>20</v>
      </c>
      <c r="F671" t="s">
        <v>21</v>
      </c>
      <c r="G671">
        <v>3.9761431411530817</v>
      </c>
      <c r="H671">
        <v>1.3803122894423432</v>
      </c>
      <c r="I671" t="s">
        <v>3536</v>
      </c>
    </row>
    <row r="672" spans="1:9" x14ac:dyDescent="0.25">
      <c r="A672" t="s">
        <v>1585</v>
      </c>
      <c r="B672">
        <v>2</v>
      </c>
      <c r="C672">
        <v>4</v>
      </c>
      <c r="D672" t="s">
        <v>161</v>
      </c>
      <c r="E672" t="s">
        <v>10</v>
      </c>
      <c r="F672" t="s">
        <v>11</v>
      </c>
      <c r="G672">
        <v>0.5</v>
      </c>
      <c r="H672">
        <v>-0.69314718055994529</v>
      </c>
      <c r="I672" t="s">
        <v>3536</v>
      </c>
    </row>
    <row r="673" spans="1:9" x14ac:dyDescent="0.25">
      <c r="A673" t="s">
        <v>1586</v>
      </c>
      <c r="B673">
        <v>2</v>
      </c>
      <c r="C673">
        <v>0.26500000000000001</v>
      </c>
      <c r="D673" t="s">
        <v>1588</v>
      </c>
      <c r="E673" t="s">
        <v>1589</v>
      </c>
      <c r="F673" t="s">
        <v>50</v>
      </c>
      <c r="G673">
        <v>7.5471698113207539</v>
      </c>
      <c r="H673">
        <v>2.0211726335558602</v>
      </c>
      <c r="I673" t="s">
        <v>3536</v>
      </c>
    </row>
    <row r="674" spans="1:9" x14ac:dyDescent="0.25">
      <c r="A674" t="s">
        <v>1590</v>
      </c>
      <c r="B674">
        <v>2</v>
      </c>
      <c r="C674">
        <v>0.495</v>
      </c>
      <c r="D674" t="s">
        <v>1591</v>
      </c>
      <c r="E674" t="s">
        <v>10</v>
      </c>
      <c r="F674" t="s">
        <v>11</v>
      </c>
      <c r="G674">
        <v>4.0404040404040407</v>
      </c>
      <c r="H674">
        <v>1.3963446969733921</v>
      </c>
      <c r="I674" t="s">
        <v>3536</v>
      </c>
    </row>
    <row r="675" spans="1:9" x14ac:dyDescent="0.25">
      <c r="A675" t="s">
        <v>1592</v>
      </c>
      <c r="B675">
        <v>2</v>
      </c>
      <c r="C675">
        <v>0.48299999999999998</v>
      </c>
      <c r="D675" t="s">
        <v>506</v>
      </c>
      <c r="E675" t="s">
        <v>49</v>
      </c>
      <c r="F675" t="s">
        <v>50</v>
      </c>
      <c r="G675">
        <v>4.1407867494824018</v>
      </c>
      <c r="H675">
        <v>1.4208858058895097</v>
      </c>
      <c r="I675" t="s">
        <v>3536</v>
      </c>
    </row>
    <row r="676" spans="1:9" x14ac:dyDescent="0.25">
      <c r="A676" t="s">
        <v>1594</v>
      </c>
      <c r="B676">
        <v>2</v>
      </c>
      <c r="C676">
        <v>0.41</v>
      </c>
      <c r="D676" t="s">
        <v>1595</v>
      </c>
      <c r="E676" t="s">
        <v>10</v>
      </c>
      <c r="F676" t="s">
        <v>11</v>
      </c>
      <c r="G676">
        <v>4.8780487804878048</v>
      </c>
      <c r="H676">
        <v>1.5847452998437288</v>
      </c>
      <c r="I676" t="s">
        <v>3536</v>
      </c>
    </row>
    <row r="677" spans="1:9" x14ac:dyDescent="0.25">
      <c r="A677" t="s">
        <v>1596</v>
      </c>
      <c r="B677">
        <v>2</v>
      </c>
      <c r="C677">
        <v>0.224</v>
      </c>
      <c r="D677" t="s">
        <v>1598</v>
      </c>
      <c r="E677" t="s">
        <v>44</v>
      </c>
      <c r="F677" t="s">
        <v>21</v>
      </c>
      <c r="G677">
        <v>8.9285714285714288</v>
      </c>
      <c r="H677">
        <v>2.1892564076870427</v>
      </c>
      <c r="I677" t="s">
        <v>3536</v>
      </c>
    </row>
    <row r="678" spans="1:9" x14ac:dyDescent="0.25">
      <c r="A678" t="s">
        <v>1599</v>
      </c>
      <c r="B678">
        <v>2</v>
      </c>
      <c r="C678">
        <v>0.29299999999999998</v>
      </c>
      <c r="D678" t="s">
        <v>292</v>
      </c>
      <c r="E678" t="s">
        <v>10</v>
      </c>
      <c r="F678" t="s">
        <v>11</v>
      </c>
      <c r="G678">
        <v>6.8259385665529013</v>
      </c>
      <c r="H678">
        <v>1.920729850525015</v>
      </c>
      <c r="I678" t="s">
        <v>3536</v>
      </c>
    </row>
    <row r="679" spans="1:9" x14ac:dyDescent="0.25">
      <c r="A679" t="s">
        <v>1600</v>
      </c>
      <c r="B679">
        <v>2</v>
      </c>
      <c r="C679">
        <v>0.5</v>
      </c>
      <c r="D679" t="s">
        <v>1601</v>
      </c>
      <c r="E679" t="s">
        <v>10</v>
      </c>
      <c r="F679" t="s">
        <v>11</v>
      </c>
      <c r="G679">
        <v>4</v>
      </c>
      <c r="H679">
        <v>1.3862943611198906</v>
      </c>
      <c r="I679" t="s">
        <v>3536</v>
      </c>
    </row>
    <row r="680" spans="1:9" x14ac:dyDescent="0.25">
      <c r="A680" t="s">
        <v>1602</v>
      </c>
      <c r="B680">
        <v>2</v>
      </c>
      <c r="C680">
        <v>0.218</v>
      </c>
      <c r="D680" t="s">
        <v>79</v>
      </c>
      <c r="E680" t="s">
        <v>10</v>
      </c>
      <c r="F680" t="s">
        <v>11</v>
      </c>
      <c r="G680">
        <v>9.1743119266055047</v>
      </c>
      <c r="H680">
        <v>2.2164073967529934</v>
      </c>
      <c r="I680" t="s">
        <v>3536</v>
      </c>
    </row>
    <row r="681" spans="1:9" x14ac:dyDescent="0.25">
      <c r="A681" t="s">
        <v>1604</v>
      </c>
      <c r="B681">
        <v>2</v>
      </c>
      <c r="C681">
        <v>0.434</v>
      </c>
      <c r="D681" t="s">
        <v>1605</v>
      </c>
      <c r="E681" t="s">
        <v>326</v>
      </c>
      <c r="F681" t="s">
        <v>21</v>
      </c>
      <c r="G681">
        <v>4.6082949308755765</v>
      </c>
      <c r="H681">
        <v>1.5278579254416775</v>
      </c>
      <c r="I681" t="s">
        <v>3536</v>
      </c>
    </row>
    <row r="682" spans="1:9" x14ac:dyDescent="0.25">
      <c r="A682" t="s">
        <v>1606</v>
      </c>
      <c r="B682">
        <v>2</v>
      </c>
      <c r="C682">
        <v>0.55200000000000005</v>
      </c>
      <c r="D682" t="s">
        <v>1607</v>
      </c>
      <c r="E682" t="s">
        <v>20</v>
      </c>
      <c r="F682" t="s">
        <v>21</v>
      </c>
      <c r="G682">
        <v>3.6231884057971011</v>
      </c>
      <c r="H682">
        <v>1.287354413264987</v>
      </c>
      <c r="I682" t="s">
        <v>3536</v>
      </c>
    </row>
    <row r="683" spans="1:9" x14ac:dyDescent="0.25">
      <c r="A683" t="s">
        <v>1608</v>
      </c>
      <c r="B683">
        <v>2</v>
      </c>
      <c r="C683">
        <v>0.216</v>
      </c>
      <c r="D683" t="s">
        <v>752</v>
      </c>
      <c r="E683" t="s">
        <v>20</v>
      </c>
      <c r="F683" t="s">
        <v>21</v>
      </c>
      <c r="G683">
        <v>9.2592592592592595</v>
      </c>
      <c r="H683">
        <v>2.2256240518579173</v>
      </c>
      <c r="I683" t="s">
        <v>3536</v>
      </c>
    </row>
    <row r="684" spans="1:9" x14ac:dyDescent="0.25">
      <c r="A684" t="s">
        <v>1610</v>
      </c>
      <c r="B684">
        <v>2</v>
      </c>
      <c r="C684">
        <v>0.93100000000000005</v>
      </c>
      <c r="D684" t="s">
        <v>1612</v>
      </c>
      <c r="E684" t="s">
        <v>10</v>
      </c>
      <c r="F684" t="s">
        <v>11</v>
      </c>
      <c r="G684">
        <v>2.1482277121374866</v>
      </c>
      <c r="H684">
        <v>0.76464318226501538</v>
      </c>
      <c r="I684" t="s">
        <v>3536</v>
      </c>
    </row>
    <row r="685" spans="1:9" x14ac:dyDescent="0.25">
      <c r="A685" t="s">
        <v>1613</v>
      </c>
      <c r="B685">
        <v>2</v>
      </c>
      <c r="C685">
        <v>0.61399999999999999</v>
      </c>
      <c r="D685" t="s">
        <v>254</v>
      </c>
      <c r="E685" t="s">
        <v>20</v>
      </c>
      <c r="F685" t="s">
        <v>21</v>
      </c>
      <c r="G685">
        <v>3.2573289902280131</v>
      </c>
      <c r="H685">
        <v>1.18090753139494</v>
      </c>
      <c r="I685" t="s">
        <v>3536</v>
      </c>
    </row>
    <row r="686" spans="1:9" x14ac:dyDescent="0.25">
      <c r="A686" t="s">
        <v>1614</v>
      </c>
      <c r="B686">
        <v>2</v>
      </c>
      <c r="C686">
        <v>0.373</v>
      </c>
      <c r="D686" t="s">
        <v>66</v>
      </c>
      <c r="E686" t="s">
        <v>10</v>
      </c>
      <c r="F686" t="s">
        <v>11</v>
      </c>
      <c r="G686">
        <v>5.3619302949061662</v>
      </c>
      <c r="H686">
        <v>1.6793240398982667</v>
      </c>
      <c r="I686" t="s">
        <v>3536</v>
      </c>
    </row>
    <row r="687" spans="1:9" x14ac:dyDescent="0.25">
      <c r="A687" t="s">
        <v>1616</v>
      </c>
      <c r="B687">
        <v>2</v>
      </c>
      <c r="C687">
        <v>0.216</v>
      </c>
      <c r="D687" t="s">
        <v>1617</v>
      </c>
      <c r="E687" t="s">
        <v>20</v>
      </c>
      <c r="F687" t="s">
        <v>21</v>
      </c>
      <c r="G687">
        <v>9.2592592592592595</v>
      </c>
      <c r="H687">
        <v>2.2256240518579173</v>
      </c>
      <c r="I687" t="s">
        <v>3536</v>
      </c>
    </row>
    <row r="688" spans="1:9" x14ac:dyDescent="0.25">
      <c r="A688" t="s">
        <v>1618</v>
      </c>
      <c r="B688">
        <v>2</v>
      </c>
      <c r="C688">
        <v>0.111</v>
      </c>
      <c r="D688" t="s">
        <v>1620</v>
      </c>
      <c r="E688" t="s">
        <v>20</v>
      </c>
      <c r="F688" t="s">
        <v>21</v>
      </c>
      <c r="G688">
        <v>18.018018018018019</v>
      </c>
      <c r="H688">
        <v>2.8913722582297483</v>
      </c>
      <c r="I688" t="s">
        <v>3536</v>
      </c>
    </row>
    <row r="689" spans="1:9" x14ac:dyDescent="0.25">
      <c r="A689" t="s">
        <v>1621</v>
      </c>
      <c r="B689">
        <v>2</v>
      </c>
      <c r="C689">
        <v>0</v>
      </c>
      <c r="D689" t="s">
        <v>302</v>
      </c>
      <c r="E689" t="s">
        <v>10</v>
      </c>
      <c r="F689" t="s">
        <v>11</v>
      </c>
      <c r="G689" t="s">
        <v>3535</v>
      </c>
      <c r="H689" t="s">
        <v>3535</v>
      </c>
      <c r="I689" t="s">
        <v>3537</v>
      </c>
    </row>
    <row r="690" spans="1:9" x14ac:dyDescent="0.25">
      <c r="A690" t="s">
        <v>1622</v>
      </c>
      <c r="B690">
        <v>2</v>
      </c>
      <c r="C690">
        <v>0.2</v>
      </c>
      <c r="D690" t="s">
        <v>1623</v>
      </c>
      <c r="E690" t="s">
        <v>20</v>
      </c>
      <c r="F690" t="s">
        <v>21</v>
      </c>
      <c r="G690">
        <v>10</v>
      </c>
      <c r="H690">
        <v>2.3025850929940459</v>
      </c>
      <c r="I690" t="s">
        <v>3536</v>
      </c>
    </row>
    <row r="691" spans="1:9" x14ac:dyDescent="0.25">
      <c r="A691" t="s">
        <v>1624</v>
      </c>
      <c r="B691">
        <v>2</v>
      </c>
      <c r="C691">
        <v>0.35099999999999998</v>
      </c>
      <c r="D691" t="s">
        <v>1496</v>
      </c>
      <c r="E691" t="s">
        <v>384</v>
      </c>
      <c r="F691" t="s">
        <v>21</v>
      </c>
      <c r="G691">
        <v>5.6980056980056988</v>
      </c>
      <c r="H691">
        <v>1.7401162360762168</v>
      </c>
      <c r="I691" t="s">
        <v>3536</v>
      </c>
    </row>
    <row r="692" spans="1:9" x14ac:dyDescent="0.25">
      <c r="A692" t="s">
        <v>1625</v>
      </c>
      <c r="B692">
        <v>2</v>
      </c>
      <c r="C692">
        <v>0.49399999999999999</v>
      </c>
      <c r="D692" t="s">
        <v>1627</v>
      </c>
      <c r="E692" t="s">
        <v>365</v>
      </c>
      <c r="F692" t="s">
        <v>11</v>
      </c>
      <c r="G692">
        <v>4.048582995951417</v>
      </c>
      <c r="H692">
        <v>1.3983669423541598</v>
      </c>
      <c r="I692" t="s">
        <v>3536</v>
      </c>
    </row>
    <row r="693" spans="1:9" x14ac:dyDescent="0.25">
      <c r="A693" t="s">
        <v>1628</v>
      </c>
      <c r="B693">
        <v>2</v>
      </c>
      <c r="C693">
        <v>0.58799999999999997</v>
      </c>
      <c r="D693" t="s">
        <v>1629</v>
      </c>
      <c r="E693" t="s">
        <v>170</v>
      </c>
      <c r="F693" t="s">
        <v>50</v>
      </c>
      <c r="G693">
        <v>3.4013605442176873</v>
      </c>
      <c r="H693">
        <v>1.2241755116434556</v>
      </c>
      <c r="I693" t="s">
        <v>3536</v>
      </c>
    </row>
    <row r="694" spans="1:9" x14ac:dyDescent="0.25">
      <c r="A694" t="s">
        <v>1630</v>
      </c>
      <c r="B694">
        <v>2</v>
      </c>
      <c r="C694">
        <v>0.59</v>
      </c>
      <c r="D694" t="s">
        <v>1632</v>
      </c>
      <c r="E694" t="s">
        <v>49</v>
      </c>
      <c r="F694" t="s">
        <v>50</v>
      </c>
      <c r="G694">
        <v>3.3898305084745766</v>
      </c>
      <c r="H694">
        <v>1.2207799226423173</v>
      </c>
      <c r="I694" t="s">
        <v>3536</v>
      </c>
    </row>
    <row r="695" spans="1:9" x14ac:dyDescent="0.25">
      <c r="A695" t="s">
        <v>1633</v>
      </c>
      <c r="B695">
        <v>2</v>
      </c>
      <c r="C695">
        <v>0.51</v>
      </c>
      <c r="D695" t="s">
        <v>955</v>
      </c>
      <c r="E695" t="s">
        <v>10</v>
      </c>
      <c r="F695" t="s">
        <v>11</v>
      </c>
      <c r="G695">
        <v>3.9215686274509802</v>
      </c>
      <c r="H695">
        <v>1.3664917338237108</v>
      </c>
      <c r="I695" t="s">
        <v>3536</v>
      </c>
    </row>
    <row r="696" spans="1:9" x14ac:dyDescent="0.25">
      <c r="A696" t="s">
        <v>1635</v>
      </c>
      <c r="B696">
        <v>2</v>
      </c>
      <c r="C696">
        <v>0.64200000000000002</v>
      </c>
      <c r="D696" t="s">
        <v>1636</v>
      </c>
      <c r="E696" t="s">
        <v>10</v>
      </c>
      <c r="F696" t="s">
        <v>11</v>
      </c>
      <c r="G696">
        <v>3.1152647975077881</v>
      </c>
      <c r="H696">
        <v>1.1363141558521213</v>
      </c>
      <c r="I696" t="s">
        <v>3536</v>
      </c>
    </row>
    <row r="697" spans="1:9" x14ac:dyDescent="0.25">
      <c r="A697" t="s">
        <v>1637</v>
      </c>
      <c r="B697">
        <v>2</v>
      </c>
      <c r="C697">
        <v>0.39</v>
      </c>
      <c r="D697" t="s">
        <v>1639</v>
      </c>
      <c r="E697" t="s">
        <v>10</v>
      </c>
      <c r="F697" t="s">
        <v>11</v>
      </c>
      <c r="G697">
        <v>5.1282051282051277</v>
      </c>
      <c r="H697">
        <v>1.6347557204183902</v>
      </c>
      <c r="I697" t="s">
        <v>3536</v>
      </c>
    </row>
    <row r="698" spans="1:9" x14ac:dyDescent="0.25">
      <c r="A698" t="s">
        <v>1640</v>
      </c>
      <c r="B698">
        <v>2</v>
      </c>
      <c r="C698">
        <v>0.33900000000000002</v>
      </c>
      <c r="D698" t="s">
        <v>1642</v>
      </c>
      <c r="E698" t="s">
        <v>10</v>
      </c>
      <c r="F698" t="s">
        <v>11</v>
      </c>
      <c r="G698">
        <v>5.8997050147492622</v>
      </c>
      <c r="H698">
        <v>1.7749023521616321</v>
      </c>
      <c r="I698" t="s">
        <v>3536</v>
      </c>
    </row>
    <row r="699" spans="1:9" x14ac:dyDescent="0.25">
      <c r="A699" t="s">
        <v>1643</v>
      </c>
      <c r="B699">
        <v>2</v>
      </c>
      <c r="C699">
        <v>0.216</v>
      </c>
      <c r="D699" t="s">
        <v>1644</v>
      </c>
      <c r="E699" t="s">
        <v>10</v>
      </c>
      <c r="F699" t="s">
        <v>11</v>
      </c>
      <c r="G699">
        <v>9.2592592592592595</v>
      </c>
      <c r="H699">
        <v>2.2256240518579173</v>
      </c>
      <c r="I699" t="s">
        <v>3536</v>
      </c>
    </row>
    <row r="700" spans="1:9" x14ac:dyDescent="0.25">
      <c r="A700" t="s">
        <v>1645</v>
      </c>
      <c r="B700">
        <v>2</v>
      </c>
      <c r="C700">
        <v>0.41799999999999998</v>
      </c>
      <c r="D700" t="s">
        <v>1647</v>
      </c>
      <c r="E700" t="s">
        <v>10</v>
      </c>
      <c r="F700" t="s">
        <v>11</v>
      </c>
      <c r="G700">
        <v>4.7846889952153111</v>
      </c>
      <c r="H700">
        <v>1.5654210270173261</v>
      </c>
      <c r="I700" t="s">
        <v>3536</v>
      </c>
    </row>
    <row r="701" spans="1:9" x14ac:dyDescent="0.25">
      <c r="A701" t="s">
        <v>1648</v>
      </c>
      <c r="B701">
        <v>2</v>
      </c>
      <c r="C701">
        <v>0.48099999999999998</v>
      </c>
      <c r="D701" t="s">
        <v>448</v>
      </c>
      <c r="E701" t="s">
        <v>10</v>
      </c>
      <c r="F701" t="s">
        <v>11</v>
      </c>
      <c r="G701">
        <v>4.1580041580041582</v>
      </c>
      <c r="H701">
        <v>1.4250351894363211</v>
      </c>
      <c r="I701" t="s">
        <v>3536</v>
      </c>
    </row>
    <row r="702" spans="1:9" x14ac:dyDescent="0.25">
      <c r="A702" t="s">
        <v>1649</v>
      </c>
      <c r="B702">
        <v>2</v>
      </c>
      <c r="C702">
        <v>0.161</v>
      </c>
      <c r="D702" t="s">
        <v>1651</v>
      </c>
      <c r="E702" t="s">
        <v>49</v>
      </c>
      <c r="F702" t="s">
        <v>50</v>
      </c>
      <c r="G702">
        <v>12.422360248447205</v>
      </c>
      <c r="H702">
        <v>2.5194980945576195</v>
      </c>
      <c r="I702" t="s">
        <v>3536</v>
      </c>
    </row>
    <row r="703" spans="1:9" x14ac:dyDescent="0.25">
      <c r="A703" t="s">
        <v>1652</v>
      </c>
      <c r="B703">
        <v>2</v>
      </c>
      <c r="C703">
        <v>0.77200000000000002</v>
      </c>
      <c r="D703" t="s">
        <v>177</v>
      </c>
      <c r="E703" t="s">
        <v>1035</v>
      </c>
      <c r="F703" t="s">
        <v>21</v>
      </c>
      <c r="G703">
        <v>2.5906735751295336</v>
      </c>
      <c r="H703">
        <v>0.95191790951730615</v>
      </c>
      <c r="I703" t="s">
        <v>3536</v>
      </c>
    </row>
    <row r="704" spans="1:9" x14ac:dyDescent="0.25">
      <c r="A704" t="s">
        <v>1654</v>
      </c>
      <c r="B704">
        <v>2</v>
      </c>
      <c r="C704">
        <v>0.35199999999999998</v>
      </c>
      <c r="D704" t="s">
        <v>1656</v>
      </c>
      <c r="E704" t="s">
        <v>1657</v>
      </c>
      <c r="F704" t="s">
        <v>50</v>
      </c>
      <c r="G704">
        <v>5.6818181818181825</v>
      </c>
      <c r="H704">
        <v>1.7372712839439854</v>
      </c>
      <c r="I704" t="s">
        <v>3536</v>
      </c>
    </row>
    <row r="705" spans="1:9" x14ac:dyDescent="0.25">
      <c r="A705" t="s">
        <v>1658</v>
      </c>
      <c r="B705">
        <v>2</v>
      </c>
      <c r="C705">
        <v>0.3</v>
      </c>
      <c r="D705" t="s">
        <v>316</v>
      </c>
      <c r="E705" t="s">
        <v>10</v>
      </c>
      <c r="F705" t="s">
        <v>11</v>
      </c>
      <c r="G705">
        <v>6.666666666666667</v>
      </c>
      <c r="H705">
        <v>1.8971199848858813</v>
      </c>
      <c r="I705" t="s">
        <v>3536</v>
      </c>
    </row>
    <row r="706" spans="1:9" x14ac:dyDescent="0.25">
      <c r="A706" t="s">
        <v>1659</v>
      </c>
      <c r="B706">
        <v>2</v>
      </c>
      <c r="C706">
        <v>0.371</v>
      </c>
      <c r="D706" t="s">
        <v>1282</v>
      </c>
      <c r="E706" t="s">
        <v>10</v>
      </c>
      <c r="F706" t="s">
        <v>11</v>
      </c>
      <c r="G706">
        <v>5.3908355795148246</v>
      </c>
      <c r="H706">
        <v>1.6847003969346472</v>
      </c>
      <c r="I706" t="s">
        <v>3536</v>
      </c>
    </row>
    <row r="707" spans="1:9" x14ac:dyDescent="0.25">
      <c r="A707" t="s">
        <v>1660</v>
      </c>
      <c r="B707">
        <v>2</v>
      </c>
      <c r="C707">
        <v>0.315</v>
      </c>
      <c r="D707" t="s">
        <v>1661</v>
      </c>
      <c r="E707" t="s">
        <v>10</v>
      </c>
      <c r="F707" t="s">
        <v>11</v>
      </c>
      <c r="G707">
        <v>6.3492063492063489</v>
      </c>
      <c r="H707">
        <v>1.8483298207164491</v>
      </c>
      <c r="I707" t="s">
        <v>3536</v>
      </c>
    </row>
    <row r="708" spans="1:9" x14ac:dyDescent="0.25">
      <c r="A708" t="s">
        <v>1662</v>
      </c>
      <c r="B708">
        <v>2</v>
      </c>
      <c r="C708">
        <v>0.40500000000000003</v>
      </c>
      <c r="D708" t="s">
        <v>1664</v>
      </c>
      <c r="E708" t="s">
        <v>10</v>
      </c>
      <c r="F708" t="s">
        <v>11</v>
      </c>
      <c r="G708">
        <v>4.9382716049382713</v>
      </c>
      <c r="H708">
        <v>1.5970153924355432</v>
      </c>
      <c r="I708" t="s">
        <v>3536</v>
      </c>
    </row>
    <row r="709" spans="1:9" x14ac:dyDescent="0.25">
      <c r="A709" t="s">
        <v>1665</v>
      </c>
      <c r="B709">
        <v>2</v>
      </c>
      <c r="C709">
        <v>0.161</v>
      </c>
      <c r="D709" t="s">
        <v>1666</v>
      </c>
      <c r="E709" t="s">
        <v>445</v>
      </c>
      <c r="F709" t="s">
        <v>50</v>
      </c>
      <c r="G709">
        <v>12.422360248447205</v>
      </c>
      <c r="H709">
        <v>2.5194980945576195</v>
      </c>
      <c r="I709" t="s">
        <v>3536</v>
      </c>
    </row>
    <row r="710" spans="1:9" x14ac:dyDescent="0.25">
      <c r="A710" t="s">
        <v>1667</v>
      </c>
      <c r="B710">
        <v>2</v>
      </c>
      <c r="C710">
        <v>0.108</v>
      </c>
      <c r="D710" t="s">
        <v>1669</v>
      </c>
      <c r="E710" t="s">
        <v>10</v>
      </c>
      <c r="F710" t="s">
        <v>11</v>
      </c>
      <c r="G710">
        <v>18.518518518518519</v>
      </c>
      <c r="H710">
        <v>2.9187712324178627</v>
      </c>
      <c r="I710" t="s">
        <v>3536</v>
      </c>
    </row>
    <row r="711" spans="1:9" x14ac:dyDescent="0.25">
      <c r="A711" t="s">
        <v>1670</v>
      </c>
      <c r="B711">
        <v>2</v>
      </c>
      <c r="C711">
        <v>1</v>
      </c>
      <c r="D711" t="s">
        <v>1671</v>
      </c>
      <c r="E711" t="s">
        <v>10</v>
      </c>
      <c r="F711" t="s">
        <v>11</v>
      </c>
      <c r="G711">
        <v>2</v>
      </c>
      <c r="H711">
        <v>0.69314718055994529</v>
      </c>
      <c r="I711" t="s">
        <v>3536</v>
      </c>
    </row>
    <row r="712" spans="1:9" x14ac:dyDescent="0.25">
      <c r="A712" t="s">
        <v>1672</v>
      </c>
      <c r="B712">
        <v>2</v>
      </c>
      <c r="C712">
        <v>0.8</v>
      </c>
      <c r="D712" t="s">
        <v>29</v>
      </c>
      <c r="E712" t="s">
        <v>20</v>
      </c>
      <c r="F712" t="s">
        <v>21</v>
      </c>
      <c r="G712">
        <v>2.5</v>
      </c>
      <c r="H712">
        <v>0.91629073187415511</v>
      </c>
      <c r="I712" t="s">
        <v>3536</v>
      </c>
    </row>
    <row r="713" spans="1:9" x14ac:dyDescent="0.25">
      <c r="A713" t="s">
        <v>1673</v>
      </c>
      <c r="B713">
        <v>2</v>
      </c>
      <c r="C713">
        <v>0.42899999999999999</v>
      </c>
      <c r="D713" t="s">
        <v>1675</v>
      </c>
      <c r="E713" t="s">
        <v>10</v>
      </c>
      <c r="F713" t="s">
        <v>11</v>
      </c>
      <c r="G713">
        <v>4.6620046620046622</v>
      </c>
      <c r="H713">
        <v>1.5394455406140655</v>
      </c>
      <c r="I713" t="s">
        <v>3536</v>
      </c>
    </row>
    <row r="714" spans="1:9" x14ac:dyDescent="0.25">
      <c r="A714" t="s">
        <v>1676</v>
      </c>
      <c r="B714">
        <v>2</v>
      </c>
      <c r="C714">
        <v>0.32800000000000001</v>
      </c>
      <c r="D714" t="s">
        <v>1678</v>
      </c>
      <c r="E714" t="s">
        <v>10</v>
      </c>
      <c r="F714" t="s">
        <v>11</v>
      </c>
      <c r="G714">
        <v>6.0975609756097562</v>
      </c>
      <c r="H714">
        <v>1.8078888511579387</v>
      </c>
      <c r="I714" t="s">
        <v>3536</v>
      </c>
    </row>
    <row r="715" spans="1:9" x14ac:dyDescent="0.25">
      <c r="A715" t="s">
        <v>1679</v>
      </c>
      <c r="B715">
        <v>2</v>
      </c>
      <c r="C715">
        <v>0.74099999999999999</v>
      </c>
      <c r="D715" t="s">
        <v>1680</v>
      </c>
      <c r="E715" t="s">
        <v>170</v>
      </c>
      <c r="F715" t="s">
        <v>50</v>
      </c>
      <c r="G715">
        <v>2.6990553306342782</v>
      </c>
      <c r="H715">
        <v>0.99290183424599554</v>
      </c>
      <c r="I715" t="s">
        <v>3536</v>
      </c>
    </row>
    <row r="716" spans="1:9" x14ac:dyDescent="0.25">
      <c r="A716" t="s">
        <v>1681</v>
      </c>
      <c r="B716">
        <v>2</v>
      </c>
      <c r="C716">
        <v>0.73499999999999999</v>
      </c>
      <c r="D716" t="s">
        <v>1683</v>
      </c>
      <c r="E716" t="s">
        <v>10</v>
      </c>
      <c r="F716" t="s">
        <v>11</v>
      </c>
      <c r="G716">
        <v>2.7210884353741496</v>
      </c>
      <c r="H716">
        <v>1.0010319603292457</v>
      </c>
      <c r="I716" t="s">
        <v>3536</v>
      </c>
    </row>
    <row r="717" spans="1:9" x14ac:dyDescent="0.25">
      <c r="A717" t="s">
        <v>1684</v>
      </c>
      <c r="B717">
        <v>2</v>
      </c>
      <c r="C717">
        <v>0.45300000000000001</v>
      </c>
      <c r="D717" t="s">
        <v>955</v>
      </c>
      <c r="E717" t="s">
        <v>10</v>
      </c>
      <c r="F717" t="s">
        <v>11</v>
      </c>
      <c r="G717">
        <v>4.4150110375275933</v>
      </c>
      <c r="H717">
        <v>1.4850103340590481</v>
      </c>
      <c r="I717" t="s">
        <v>3536</v>
      </c>
    </row>
    <row r="718" spans="1:9" x14ac:dyDescent="0.25">
      <c r="A718" t="s">
        <v>1686</v>
      </c>
      <c r="B718">
        <v>2</v>
      </c>
      <c r="C718">
        <v>1</v>
      </c>
      <c r="D718" t="s">
        <v>1687</v>
      </c>
      <c r="E718" t="s">
        <v>10</v>
      </c>
      <c r="F718" t="s">
        <v>11</v>
      </c>
      <c r="G718">
        <v>2</v>
      </c>
      <c r="H718">
        <v>0.69314718055994529</v>
      </c>
      <c r="I718" t="s">
        <v>3536</v>
      </c>
    </row>
    <row r="719" spans="1:9" x14ac:dyDescent="0.25">
      <c r="A719" t="s">
        <v>1688</v>
      </c>
      <c r="B719">
        <v>2</v>
      </c>
      <c r="C719">
        <v>0.50700000000000001</v>
      </c>
      <c r="D719" t="s">
        <v>1689</v>
      </c>
      <c r="E719" t="s">
        <v>10</v>
      </c>
      <c r="F719" t="s">
        <v>11</v>
      </c>
      <c r="G719">
        <v>3.9447731755424065</v>
      </c>
      <c r="H719">
        <v>1.3723914559508992</v>
      </c>
      <c r="I719" t="s">
        <v>3536</v>
      </c>
    </row>
    <row r="720" spans="1:9" x14ac:dyDescent="0.25">
      <c r="A720" t="s">
        <v>1690</v>
      </c>
      <c r="B720">
        <v>2</v>
      </c>
      <c r="C720">
        <v>0.42199999999999999</v>
      </c>
      <c r="D720" t="s">
        <v>1116</v>
      </c>
      <c r="E720" t="s">
        <v>187</v>
      </c>
      <c r="F720" t="s">
        <v>50</v>
      </c>
      <c r="G720">
        <v>4.7393364928909953</v>
      </c>
      <c r="H720">
        <v>1.5558971455060706</v>
      </c>
      <c r="I720" t="s">
        <v>3536</v>
      </c>
    </row>
    <row r="721" spans="1:9" x14ac:dyDescent="0.25">
      <c r="A721" t="s">
        <v>1691</v>
      </c>
      <c r="B721">
        <v>2</v>
      </c>
      <c r="C721">
        <v>0.44700000000000001</v>
      </c>
      <c r="D721" t="s">
        <v>1183</v>
      </c>
      <c r="E721" t="s">
        <v>187</v>
      </c>
      <c r="F721" t="s">
        <v>50</v>
      </c>
      <c r="G721">
        <v>4.4742729306487696</v>
      </c>
      <c r="H721">
        <v>1.4983438649285135</v>
      </c>
      <c r="I721" t="s">
        <v>3536</v>
      </c>
    </row>
    <row r="722" spans="1:9" x14ac:dyDescent="0.25">
      <c r="A722" t="s">
        <v>1692</v>
      </c>
      <c r="B722">
        <v>2</v>
      </c>
      <c r="C722">
        <v>0.65400000000000003</v>
      </c>
      <c r="D722" t="s">
        <v>1693</v>
      </c>
      <c r="E722" t="s">
        <v>10</v>
      </c>
      <c r="F722" t="s">
        <v>11</v>
      </c>
      <c r="G722">
        <v>3.0581039755351682</v>
      </c>
      <c r="H722">
        <v>1.1177951080848836</v>
      </c>
      <c r="I722" t="s">
        <v>3536</v>
      </c>
    </row>
    <row r="723" spans="1:9" x14ac:dyDescent="0.25">
      <c r="A723" t="s">
        <v>1694</v>
      </c>
      <c r="B723">
        <v>2</v>
      </c>
      <c r="C723">
        <v>0.311</v>
      </c>
      <c r="D723" t="s">
        <v>1695</v>
      </c>
      <c r="E723" t="s">
        <v>326</v>
      </c>
      <c r="F723" t="s">
        <v>21</v>
      </c>
      <c r="G723">
        <v>6.430868167202572</v>
      </c>
      <c r="H723">
        <v>1.8611095473628483</v>
      </c>
      <c r="I723" t="s">
        <v>3536</v>
      </c>
    </row>
    <row r="724" spans="1:9" x14ac:dyDescent="0.25">
      <c r="A724" t="s">
        <v>1696</v>
      </c>
      <c r="B724">
        <v>2</v>
      </c>
      <c r="C724">
        <v>0.33300000000000002</v>
      </c>
      <c r="D724" t="s">
        <v>696</v>
      </c>
      <c r="E724" t="s">
        <v>10</v>
      </c>
      <c r="F724" t="s">
        <v>11</v>
      </c>
      <c r="G724">
        <v>6.0060060060060056</v>
      </c>
      <c r="H724">
        <v>1.7927599695616385</v>
      </c>
      <c r="I724" t="s">
        <v>3536</v>
      </c>
    </row>
    <row r="725" spans="1:9" x14ac:dyDescent="0.25">
      <c r="A725" t="s">
        <v>1697</v>
      </c>
      <c r="B725">
        <v>2</v>
      </c>
      <c r="C725">
        <v>0.83799999999999997</v>
      </c>
      <c r="D725" t="s">
        <v>1699</v>
      </c>
      <c r="E725" t="s">
        <v>384</v>
      </c>
      <c r="F725" t="s">
        <v>21</v>
      </c>
      <c r="G725">
        <v>2.3866348448687353</v>
      </c>
      <c r="H725">
        <v>0.86988435905999939</v>
      </c>
      <c r="I725" t="s">
        <v>3536</v>
      </c>
    </row>
    <row r="726" spans="1:9" x14ac:dyDescent="0.25">
      <c r="A726" t="s">
        <v>1700</v>
      </c>
      <c r="B726">
        <v>2</v>
      </c>
      <c r="C726">
        <v>0.81299999999999994</v>
      </c>
      <c r="D726" t="s">
        <v>1701</v>
      </c>
      <c r="E726" t="s">
        <v>20</v>
      </c>
      <c r="F726" t="s">
        <v>21</v>
      </c>
      <c r="G726">
        <v>2.4600246002460024</v>
      </c>
      <c r="H726">
        <v>0.90017134999427173</v>
      </c>
      <c r="I726" t="s">
        <v>3536</v>
      </c>
    </row>
    <row r="727" spans="1:9" x14ac:dyDescent="0.25">
      <c r="A727" t="s">
        <v>1702</v>
      </c>
      <c r="B727">
        <v>2</v>
      </c>
      <c r="C727">
        <v>0.36499999999999999</v>
      </c>
      <c r="D727" t="s">
        <v>254</v>
      </c>
      <c r="E727" t="s">
        <v>10</v>
      </c>
      <c r="F727" t="s">
        <v>11</v>
      </c>
      <c r="G727">
        <v>5.4794520547945202</v>
      </c>
      <c r="H727">
        <v>1.7010051059595908</v>
      </c>
      <c r="I727" t="s">
        <v>3536</v>
      </c>
    </row>
    <row r="728" spans="1:9" x14ac:dyDescent="0.25">
      <c r="A728" t="s">
        <v>1703</v>
      </c>
      <c r="B728">
        <v>2</v>
      </c>
      <c r="C728">
        <v>0.432</v>
      </c>
      <c r="E728" t="s">
        <v>20</v>
      </c>
      <c r="F728" t="s">
        <v>21</v>
      </c>
      <c r="G728">
        <v>4.6296296296296298</v>
      </c>
      <c r="H728">
        <v>1.5324768712979722</v>
      </c>
      <c r="I728" t="s">
        <v>3536</v>
      </c>
    </row>
    <row r="729" spans="1:9" x14ac:dyDescent="0.25">
      <c r="A729" t="s">
        <v>1704</v>
      </c>
      <c r="B729">
        <v>2</v>
      </c>
      <c r="C729">
        <v>0.504</v>
      </c>
      <c r="D729" t="s">
        <v>1706</v>
      </c>
      <c r="E729" t="s">
        <v>20</v>
      </c>
      <c r="F729" t="s">
        <v>21</v>
      </c>
      <c r="G729">
        <v>3.9682539682539684</v>
      </c>
      <c r="H729">
        <v>1.3783261914707137</v>
      </c>
      <c r="I729" t="s">
        <v>3536</v>
      </c>
    </row>
    <row r="730" spans="1:9" x14ac:dyDescent="0.25">
      <c r="A730" t="s">
        <v>1707</v>
      </c>
      <c r="B730">
        <v>2</v>
      </c>
      <c r="C730">
        <v>0.45300000000000001</v>
      </c>
      <c r="D730" t="s">
        <v>1708</v>
      </c>
      <c r="E730" t="s">
        <v>20</v>
      </c>
      <c r="F730" t="s">
        <v>21</v>
      </c>
      <c r="G730">
        <v>4.4150110375275933</v>
      </c>
      <c r="H730">
        <v>1.4850103340590481</v>
      </c>
      <c r="I730" t="s">
        <v>3536</v>
      </c>
    </row>
    <row r="731" spans="1:9" x14ac:dyDescent="0.25">
      <c r="A731" t="s">
        <v>1709</v>
      </c>
      <c r="B731">
        <v>2</v>
      </c>
      <c r="C731">
        <v>0.32600000000000001</v>
      </c>
      <c r="D731" t="s">
        <v>1710</v>
      </c>
      <c r="E731" t="s">
        <v>10</v>
      </c>
      <c r="F731" t="s">
        <v>11</v>
      </c>
      <c r="G731">
        <v>6.1349693251533743</v>
      </c>
      <c r="H731">
        <v>1.8140050781753747</v>
      </c>
      <c r="I731" t="s">
        <v>3536</v>
      </c>
    </row>
    <row r="732" spans="1:9" x14ac:dyDescent="0.25">
      <c r="A732" t="s">
        <v>1711</v>
      </c>
      <c r="B732">
        <v>2</v>
      </c>
      <c r="C732">
        <v>0.60199999999999998</v>
      </c>
      <c r="D732" t="s">
        <v>1712</v>
      </c>
      <c r="E732" t="s">
        <v>10</v>
      </c>
      <c r="F732" t="s">
        <v>11</v>
      </c>
      <c r="G732">
        <v>3.3222591362126246</v>
      </c>
      <c r="H732">
        <v>1.2006450142332614</v>
      </c>
      <c r="I732" t="s">
        <v>3536</v>
      </c>
    </row>
    <row r="733" spans="1:9" x14ac:dyDescent="0.25">
      <c r="A733" t="s">
        <v>1713</v>
      </c>
      <c r="B733">
        <v>2</v>
      </c>
      <c r="C733">
        <v>0.308</v>
      </c>
      <c r="D733" t="s">
        <v>130</v>
      </c>
      <c r="E733" t="s">
        <v>170</v>
      </c>
      <c r="F733" t="s">
        <v>50</v>
      </c>
      <c r="G733">
        <v>6.4935064935064934</v>
      </c>
      <c r="H733">
        <v>1.870802676568508</v>
      </c>
      <c r="I733" t="s">
        <v>3536</v>
      </c>
    </row>
    <row r="734" spans="1:9" x14ac:dyDescent="0.25">
      <c r="A734" t="s">
        <v>1715</v>
      </c>
      <c r="B734">
        <v>2</v>
      </c>
      <c r="C734">
        <v>0.3</v>
      </c>
      <c r="D734" t="s">
        <v>500</v>
      </c>
      <c r="E734" t="s">
        <v>10</v>
      </c>
      <c r="F734" t="s">
        <v>11</v>
      </c>
      <c r="G734">
        <v>6.666666666666667</v>
      </c>
      <c r="H734">
        <v>1.8971199848858813</v>
      </c>
      <c r="I734" t="s">
        <v>3536</v>
      </c>
    </row>
    <row r="735" spans="1:9" x14ac:dyDescent="0.25">
      <c r="A735" t="s">
        <v>1716</v>
      </c>
      <c r="B735">
        <v>2</v>
      </c>
      <c r="C735">
        <v>0.30199999999999999</v>
      </c>
      <c r="D735" t="s">
        <v>1718</v>
      </c>
      <c r="E735" t="s">
        <v>44</v>
      </c>
      <c r="F735" t="s">
        <v>21</v>
      </c>
      <c r="G735">
        <v>6.6225165562913908</v>
      </c>
      <c r="H735">
        <v>1.8904754421672127</v>
      </c>
      <c r="I735" t="s">
        <v>3536</v>
      </c>
    </row>
    <row r="736" spans="1:9" x14ac:dyDescent="0.25">
      <c r="A736" t="s">
        <v>1719</v>
      </c>
      <c r="B736">
        <v>2</v>
      </c>
      <c r="C736">
        <v>0.45</v>
      </c>
      <c r="D736" t="s">
        <v>955</v>
      </c>
      <c r="E736" t="s">
        <v>10</v>
      </c>
      <c r="F736" t="s">
        <v>11</v>
      </c>
      <c r="G736">
        <v>4.4444444444444446</v>
      </c>
      <c r="H736">
        <v>1.4916548767777169</v>
      </c>
      <c r="I736" t="s">
        <v>3536</v>
      </c>
    </row>
    <row r="737" spans="1:9" x14ac:dyDescent="0.25">
      <c r="A737" t="s">
        <v>1720</v>
      </c>
      <c r="B737">
        <v>2</v>
      </c>
      <c r="C737">
        <v>0.32300000000000001</v>
      </c>
      <c r="D737" t="s">
        <v>1722</v>
      </c>
      <c r="E737" t="s">
        <v>10</v>
      </c>
      <c r="F737" t="s">
        <v>11</v>
      </c>
      <c r="G737">
        <v>6.1919504643962844</v>
      </c>
      <c r="H737">
        <v>1.8232501363194258</v>
      </c>
      <c r="I737" t="s">
        <v>3536</v>
      </c>
    </row>
    <row r="738" spans="1:9" x14ac:dyDescent="0.25">
      <c r="A738" t="s">
        <v>1723</v>
      </c>
      <c r="B738">
        <v>2</v>
      </c>
      <c r="C738">
        <v>0.121</v>
      </c>
      <c r="D738" t="s">
        <v>1724</v>
      </c>
      <c r="E738" t="s">
        <v>652</v>
      </c>
      <c r="F738" t="s">
        <v>50</v>
      </c>
      <c r="G738">
        <v>16.528925619834713</v>
      </c>
      <c r="H738">
        <v>2.8051119139453413</v>
      </c>
      <c r="I738" t="s">
        <v>3536</v>
      </c>
    </row>
    <row r="739" spans="1:9" x14ac:dyDescent="0.25">
      <c r="A739" t="s">
        <v>1725</v>
      </c>
      <c r="B739">
        <v>2</v>
      </c>
      <c r="C739">
        <v>0.999</v>
      </c>
      <c r="D739" t="s">
        <v>146</v>
      </c>
      <c r="E739" t="s">
        <v>20</v>
      </c>
      <c r="F739" t="s">
        <v>21</v>
      </c>
      <c r="G739">
        <v>2.0020020020020022</v>
      </c>
      <c r="H739">
        <v>0.69414768089352896</v>
      </c>
      <c r="I739" t="s">
        <v>3536</v>
      </c>
    </row>
    <row r="740" spans="1:9" x14ac:dyDescent="0.25">
      <c r="A740" t="s">
        <v>1727</v>
      </c>
      <c r="B740">
        <v>2</v>
      </c>
      <c r="C740">
        <v>0.81699999999999995</v>
      </c>
      <c r="E740" t="s">
        <v>20</v>
      </c>
      <c r="F740" t="s">
        <v>21</v>
      </c>
      <c r="G740">
        <v>2.4479804161566707</v>
      </c>
      <c r="H740">
        <v>0.89526336468207945</v>
      </c>
      <c r="I740" t="s">
        <v>3536</v>
      </c>
    </row>
    <row r="741" spans="1:9" x14ac:dyDescent="0.25">
      <c r="A741" t="s">
        <v>1729</v>
      </c>
      <c r="B741">
        <v>2</v>
      </c>
      <c r="C741">
        <v>0.67300000000000004</v>
      </c>
      <c r="D741" t="s">
        <v>1731</v>
      </c>
      <c r="E741" t="s">
        <v>294</v>
      </c>
      <c r="F741" t="s">
        <v>21</v>
      </c>
      <c r="G741">
        <v>2.9717682020802374</v>
      </c>
      <c r="H741">
        <v>1.0891571298973544</v>
      </c>
      <c r="I741" t="s">
        <v>3536</v>
      </c>
    </row>
    <row r="742" spans="1:9" x14ac:dyDescent="0.25">
      <c r="A742" t="s">
        <v>1732</v>
      </c>
      <c r="B742">
        <v>2</v>
      </c>
      <c r="C742">
        <v>0.97499999999999998</v>
      </c>
      <c r="D742" t="s">
        <v>454</v>
      </c>
      <c r="E742" t="s">
        <v>1035</v>
      </c>
      <c r="F742" t="s">
        <v>21</v>
      </c>
      <c r="G742">
        <v>2.0512820512820515</v>
      </c>
      <c r="H742">
        <v>0.71846498854423535</v>
      </c>
      <c r="I742" t="s">
        <v>3536</v>
      </c>
    </row>
    <row r="743" spans="1:9" x14ac:dyDescent="0.25">
      <c r="A743" t="s">
        <v>1733</v>
      </c>
      <c r="B743">
        <v>2</v>
      </c>
      <c r="C743">
        <v>9.6000000000000002E-2</v>
      </c>
      <c r="D743" t="s">
        <v>1735</v>
      </c>
      <c r="E743" t="s">
        <v>10</v>
      </c>
      <c r="F743" t="s">
        <v>11</v>
      </c>
      <c r="G743">
        <v>20.833333333333332</v>
      </c>
      <c r="H743">
        <v>3.0365542680742461</v>
      </c>
      <c r="I743" t="s">
        <v>3536</v>
      </c>
    </row>
    <row r="744" spans="1:9" x14ac:dyDescent="0.25">
      <c r="A744" t="s">
        <v>1736</v>
      </c>
      <c r="B744">
        <v>2</v>
      </c>
      <c r="C744">
        <v>0.45</v>
      </c>
      <c r="D744" t="s">
        <v>1737</v>
      </c>
      <c r="E744" t="s">
        <v>10</v>
      </c>
      <c r="F744" t="s">
        <v>11</v>
      </c>
      <c r="G744">
        <v>4.4444444444444446</v>
      </c>
      <c r="H744">
        <v>1.4916548767777169</v>
      </c>
      <c r="I744" t="s">
        <v>3536</v>
      </c>
    </row>
    <row r="745" spans="1:9" x14ac:dyDescent="0.25">
      <c r="A745" t="s">
        <v>1738</v>
      </c>
      <c r="B745">
        <v>2</v>
      </c>
      <c r="C745">
        <v>0.42299999999999999</v>
      </c>
      <c r="D745" t="s">
        <v>1739</v>
      </c>
      <c r="E745" t="s">
        <v>445</v>
      </c>
      <c r="F745" t="s">
        <v>50</v>
      </c>
      <c r="G745">
        <v>4.7281323877068555</v>
      </c>
      <c r="H745">
        <v>1.5535302804958044</v>
      </c>
      <c r="I745" t="s">
        <v>3536</v>
      </c>
    </row>
    <row r="746" spans="1:9" x14ac:dyDescent="0.25">
      <c r="A746" t="s">
        <v>1740</v>
      </c>
      <c r="B746">
        <v>2</v>
      </c>
      <c r="C746">
        <v>0.26400000000000001</v>
      </c>
      <c r="D746" t="s">
        <v>1741</v>
      </c>
      <c r="E746" t="s">
        <v>10</v>
      </c>
      <c r="F746" t="s">
        <v>11</v>
      </c>
      <c r="G746">
        <v>7.5757575757575752</v>
      </c>
      <c r="H746">
        <v>2.0249533563957662</v>
      </c>
      <c r="I746" t="s">
        <v>3536</v>
      </c>
    </row>
    <row r="747" spans="1:9" x14ac:dyDescent="0.25">
      <c r="A747" t="s">
        <v>1742</v>
      </c>
      <c r="B747">
        <v>2</v>
      </c>
      <c r="C747">
        <v>0.253</v>
      </c>
      <c r="D747" t="s">
        <v>1744</v>
      </c>
      <c r="E747" t="s">
        <v>20</v>
      </c>
      <c r="F747" t="s">
        <v>21</v>
      </c>
      <c r="G747">
        <v>7.9051383399209483</v>
      </c>
      <c r="H747">
        <v>2.0675129708145619</v>
      </c>
      <c r="I747" t="s">
        <v>3536</v>
      </c>
    </row>
    <row r="748" spans="1:9" x14ac:dyDescent="0.25">
      <c r="A748" t="s">
        <v>1745</v>
      </c>
      <c r="B748">
        <v>2</v>
      </c>
      <c r="C748">
        <v>0.21</v>
      </c>
      <c r="E748" t="s">
        <v>49</v>
      </c>
      <c r="F748" t="s">
        <v>50</v>
      </c>
      <c r="G748">
        <v>9.5238095238095237</v>
      </c>
      <c r="H748">
        <v>2.2537949288246137</v>
      </c>
      <c r="I748" t="s">
        <v>3536</v>
      </c>
    </row>
    <row r="749" spans="1:9" x14ac:dyDescent="0.25">
      <c r="A749" t="s">
        <v>1746</v>
      </c>
      <c r="B749">
        <v>2</v>
      </c>
      <c r="C749">
        <v>0.51900000000000002</v>
      </c>
      <c r="D749" t="s">
        <v>1748</v>
      </c>
      <c r="E749" t="s">
        <v>10</v>
      </c>
      <c r="F749" t="s">
        <v>11</v>
      </c>
      <c r="G749">
        <v>3.8535645472061657</v>
      </c>
      <c r="H749">
        <v>1.3489985763761938</v>
      </c>
      <c r="I749" t="s">
        <v>3536</v>
      </c>
    </row>
    <row r="750" spans="1:9" x14ac:dyDescent="0.25">
      <c r="A750" t="s">
        <v>1749</v>
      </c>
      <c r="B750">
        <v>2</v>
      </c>
      <c r="C750">
        <v>0.51400000000000001</v>
      </c>
      <c r="D750" t="s">
        <v>1750</v>
      </c>
      <c r="E750" t="s">
        <v>10</v>
      </c>
      <c r="F750" t="s">
        <v>11</v>
      </c>
      <c r="G750">
        <v>3.8910505836575875</v>
      </c>
      <c r="H750">
        <v>1.3586791940869172</v>
      </c>
      <c r="I750" t="s">
        <v>3536</v>
      </c>
    </row>
    <row r="751" spans="1:9" x14ac:dyDescent="0.25">
      <c r="A751" t="s">
        <v>1751</v>
      </c>
      <c r="B751">
        <v>2</v>
      </c>
      <c r="C751">
        <v>8.1000000000000003E-2</v>
      </c>
      <c r="D751" t="s">
        <v>1753</v>
      </c>
      <c r="E751" t="s">
        <v>108</v>
      </c>
      <c r="F751" t="s">
        <v>109</v>
      </c>
      <c r="G751">
        <v>24.691358024691358</v>
      </c>
      <c r="H751">
        <v>3.2064533048696435</v>
      </c>
      <c r="I751" t="s">
        <v>3536</v>
      </c>
    </row>
    <row r="752" spans="1:9" x14ac:dyDescent="0.25">
      <c r="A752" t="s">
        <v>1754</v>
      </c>
      <c r="B752">
        <v>2</v>
      </c>
      <c r="C752">
        <v>0.35</v>
      </c>
      <c r="E752" t="s">
        <v>10</v>
      </c>
      <c r="F752" t="s">
        <v>11</v>
      </c>
      <c r="G752">
        <v>5.7142857142857144</v>
      </c>
      <c r="H752">
        <v>1.742969305058623</v>
      </c>
      <c r="I752" t="s">
        <v>3536</v>
      </c>
    </row>
    <row r="753" spans="1:9" x14ac:dyDescent="0.25">
      <c r="A753" t="s">
        <v>1755</v>
      </c>
      <c r="B753">
        <v>2</v>
      </c>
      <c r="C753">
        <v>0.30499999999999999</v>
      </c>
      <c r="D753" t="s">
        <v>1757</v>
      </c>
      <c r="E753" t="s">
        <v>350</v>
      </c>
      <c r="F753" t="s">
        <v>21</v>
      </c>
      <c r="G753">
        <v>6.557377049180328</v>
      </c>
      <c r="H753">
        <v>1.8805906829346708</v>
      </c>
      <c r="I753" t="s">
        <v>3536</v>
      </c>
    </row>
    <row r="754" spans="1:9" x14ac:dyDescent="0.25">
      <c r="A754" t="s">
        <v>1758</v>
      </c>
      <c r="B754">
        <v>2</v>
      </c>
      <c r="C754">
        <v>0.374</v>
      </c>
      <c r="D754" t="s">
        <v>1760</v>
      </c>
      <c r="E754" t="s">
        <v>10</v>
      </c>
      <c r="F754" t="s">
        <v>11</v>
      </c>
      <c r="G754">
        <v>5.3475935828877006</v>
      </c>
      <c r="H754">
        <v>1.6766466621275504</v>
      </c>
      <c r="I754" t="s">
        <v>3536</v>
      </c>
    </row>
    <row r="755" spans="1:9" x14ac:dyDescent="0.25">
      <c r="A755" t="s">
        <v>1761</v>
      </c>
      <c r="B755">
        <v>2</v>
      </c>
      <c r="C755">
        <v>0.19700000000000001</v>
      </c>
      <c r="D755" t="s">
        <v>1102</v>
      </c>
      <c r="E755" t="s">
        <v>10</v>
      </c>
      <c r="F755" t="s">
        <v>11</v>
      </c>
      <c r="G755">
        <v>10.152284263959391</v>
      </c>
      <c r="H755">
        <v>2.3176987308040937</v>
      </c>
      <c r="I755" t="s">
        <v>3536</v>
      </c>
    </row>
    <row r="756" spans="1:9" x14ac:dyDescent="0.25">
      <c r="A756" t="s">
        <v>1763</v>
      </c>
      <c r="B756">
        <v>2</v>
      </c>
      <c r="C756">
        <v>0.26</v>
      </c>
      <c r="D756" t="s">
        <v>254</v>
      </c>
      <c r="E756" t="s">
        <v>10</v>
      </c>
      <c r="F756" t="s">
        <v>11</v>
      </c>
      <c r="G756">
        <v>7.6923076923076916</v>
      </c>
      <c r="H756">
        <v>2.0402208285265546</v>
      </c>
      <c r="I756" t="s">
        <v>3536</v>
      </c>
    </row>
    <row r="757" spans="1:9" x14ac:dyDescent="0.25">
      <c r="A757" t="s">
        <v>1764</v>
      </c>
      <c r="B757">
        <v>2</v>
      </c>
      <c r="C757">
        <v>0.73099999999999998</v>
      </c>
      <c r="D757" t="s">
        <v>1318</v>
      </c>
      <c r="E757" t="s">
        <v>1035</v>
      </c>
      <c r="F757" t="s">
        <v>21</v>
      </c>
      <c r="G757">
        <v>2.7359781121751028</v>
      </c>
      <c r="H757">
        <v>1.0064889997923039</v>
      </c>
      <c r="I757" t="s">
        <v>3536</v>
      </c>
    </row>
    <row r="758" spans="1:9" x14ac:dyDescent="0.25">
      <c r="A758" t="s">
        <v>1765</v>
      </c>
      <c r="B758">
        <v>2</v>
      </c>
      <c r="C758">
        <v>0.26600000000000001</v>
      </c>
      <c r="D758" t="s">
        <v>1373</v>
      </c>
      <c r="E758" t="s">
        <v>10</v>
      </c>
      <c r="F758" t="s">
        <v>11</v>
      </c>
      <c r="G758">
        <v>7.518796992481203</v>
      </c>
      <c r="H758">
        <v>2.0174061507603831</v>
      </c>
      <c r="I758" t="s">
        <v>3536</v>
      </c>
    </row>
    <row r="759" spans="1:9" x14ac:dyDescent="0.25">
      <c r="A759" t="s">
        <v>1766</v>
      </c>
      <c r="B759">
        <v>2</v>
      </c>
      <c r="C759">
        <v>0.71499999999999997</v>
      </c>
      <c r="D759" t="s">
        <v>130</v>
      </c>
      <c r="E759" t="s">
        <v>44</v>
      </c>
      <c r="F759" t="s">
        <v>21</v>
      </c>
      <c r="G759">
        <v>2.7972027972027975</v>
      </c>
      <c r="H759">
        <v>1.0286199168480747</v>
      </c>
      <c r="I759" t="s">
        <v>3536</v>
      </c>
    </row>
    <row r="760" spans="1:9" x14ac:dyDescent="0.25">
      <c r="A760" t="s">
        <v>1767</v>
      </c>
      <c r="B760">
        <v>2</v>
      </c>
      <c r="C760">
        <v>0.63200000000000001</v>
      </c>
      <c r="D760" t="s">
        <v>159</v>
      </c>
      <c r="E760" t="s">
        <v>10</v>
      </c>
      <c r="F760" t="s">
        <v>11</v>
      </c>
      <c r="G760">
        <v>3.1645569620253164</v>
      </c>
      <c r="H760">
        <v>1.152013065395225</v>
      </c>
      <c r="I760" t="s">
        <v>3536</v>
      </c>
    </row>
    <row r="761" spans="1:9" x14ac:dyDescent="0.25">
      <c r="A761" t="s">
        <v>1769</v>
      </c>
      <c r="B761">
        <v>2</v>
      </c>
      <c r="C761">
        <v>2</v>
      </c>
      <c r="D761" t="s">
        <v>1770</v>
      </c>
      <c r="E761" t="s">
        <v>20</v>
      </c>
      <c r="F761" t="s">
        <v>21</v>
      </c>
      <c r="G761">
        <v>1</v>
      </c>
      <c r="H761">
        <v>0</v>
      </c>
      <c r="I761" t="s">
        <v>3536</v>
      </c>
    </row>
    <row r="762" spans="1:9" x14ac:dyDescent="0.25">
      <c r="A762" t="s">
        <v>1771</v>
      </c>
      <c r="B762">
        <v>2</v>
      </c>
      <c r="C762">
        <v>2</v>
      </c>
      <c r="D762" t="s">
        <v>1772</v>
      </c>
      <c r="E762" t="s">
        <v>44</v>
      </c>
      <c r="F762" t="s">
        <v>21</v>
      </c>
      <c r="G762">
        <v>1</v>
      </c>
      <c r="H762">
        <v>0</v>
      </c>
      <c r="I762" t="s">
        <v>3536</v>
      </c>
    </row>
    <row r="763" spans="1:9" x14ac:dyDescent="0.25">
      <c r="A763" t="s">
        <v>1773</v>
      </c>
      <c r="B763">
        <v>2</v>
      </c>
      <c r="C763">
        <v>0.32500000000000001</v>
      </c>
      <c r="D763" t="s">
        <v>79</v>
      </c>
      <c r="E763" t="s">
        <v>210</v>
      </c>
      <c r="F763" t="s">
        <v>50</v>
      </c>
      <c r="G763">
        <v>6.1538461538461533</v>
      </c>
      <c r="H763">
        <v>1.8170772772123447</v>
      </c>
      <c r="I763" t="s">
        <v>3536</v>
      </c>
    </row>
    <row r="764" spans="1:9" x14ac:dyDescent="0.25">
      <c r="A764" t="s">
        <v>1775</v>
      </c>
      <c r="B764">
        <v>2</v>
      </c>
      <c r="C764">
        <v>0.26600000000000001</v>
      </c>
      <c r="D764" t="s">
        <v>1282</v>
      </c>
      <c r="E764" t="s">
        <v>210</v>
      </c>
      <c r="F764" t="s">
        <v>50</v>
      </c>
      <c r="G764">
        <v>7.518796992481203</v>
      </c>
      <c r="H764">
        <v>2.0174061507603831</v>
      </c>
      <c r="I764" t="s">
        <v>3536</v>
      </c>
    </row>
    <row r="765" spans="1:9" x14ac:dyDescent="0.25">
      <c r="A765" t="s">
        <v>1776</v>
      </c>
      <c r="B765">
        <v>2</v>
      </c>
      <c r="C765">
        <v>0.68600000000000005</v>
      </c>
      <c r="D765" t="s">
        <v>409</v>
      </c>
      <c r="E765" t="s">
        <v>10</v>
      </c>
      <c r="F765" t="s">
        <v>11</v>
      </c>
      <c r="G765">
        <v>2.9154518950437316</v>
      </c>
      <c r="H765">
        <v>1.0700248318161971</v>
      </c>
      <c r="I765" t="s">
        <v>3536</v>
      </c>
    </row>
    <row r="766" spans="1:9" x14ac:dyDescent="0.25">
      <c r="A766" t="s">
        <v>1778</v>
      </c>
      <c r="B766">
        <v>2</v>
      </c>
      <c r="C766">
        <v>0.20200000000000001</v>
      </c>
      <c r="D766" t="s">
        <v>1779</v>
      </c>
      <c r="E766" t="s">
        <v>10</v>
      </c>
      <c r="F766" t="s">
        <v>11</v>
      </c>
      <c r="G766">
        <v>9.9009900990099009</v>
      </c>
      <c r="H766">
        <v>2.2926347621408776</v>
      </c>
      <c r="I766" t="s">
        <v>3536</v>
      </c>
    </row>
    <row r="767" spans="1:9" x14ac:dyDescent="0.25">
      <c r="A767" t="s">
        <v>1780</v>
      </c>
      <c r="B767">
        <v>2</v>
      </c>
      <c r="C767">
        <v>0.253</v>
      </c>
      <c r="D767" t="s">
        <v>316</v>
      </c>
      <c r="E767" t="s">
        <v>10</v>
      </c>
      <c r="F767" t="s">
        <v>11</v>
      </c>
      <c r="G767">
        <v>7.9051383399209483</v>
      </c>
      <c r="H767">
        <v>2.0675129708145619</v>
      </c>
      <c r="I767" t="s">
        <v>3536</v>
      </c>
    </row>
    <row r="768" spans="1:9" x14ac:dyDescent="0.25">
      <c r="A768" t="s">
        <v>1781</v>
      </c>
      <c r="B768">
        <v>2</v>
      </c>
      <c r="C768">
        <v>0.46700000000000003</v>
      </c>
      <c r="D768" t="s">
        <v>1782</v>
      </c>
      <c r="E768" t="s">
        <v>10</v>
      </c>
      <c r="F768" t="s">
        <v>11</v>
      </c>
      <c r="G768">
        <v>4.2826552462526761</v>
      </c>
      <c r="H768">
        <v>1.454573201873185</v>
      </c>
      <c r="I768" t="s">
        <v>3536</v>
      </c>
    </row>
    <row r="769" spans="1:9" x14ac:dyDescent="0.25">
      <c r="A769" t="s">
        <v>1783</v>
      </c>
      <c r="B769">
        <v>2</v>
      </c>
      <c r="C769">
        <v>0.20599999999999999</v>
      </c>
      <c r="D769" t="s">
        <v>1785</v>
      </c>
      <c r="E769" t="s">
        <v>10</v>
      </c>
      <c r="F769" t="s">
        <v>11</v>
      </c>
      <c r="G769">
        <v>9.7087378640776709</v>
      </c>
      <c r="H769">
        <v>2.2730262907525014</v>
      </c>
      <c r="I769" t="s">
        <v>3536</v>
      </c>
    </row>
    <row r="770" spans="1:9" x14ac:dyDescent="0.25">
      <c r="A770" t="s">
        <v>1786</v>
      </c>
      <c r="B770">
        <v>2</v>
      </c>
      <c r="C770">
        <v>0.2</v>
      </c>
      <c r="D770" t="s">
        <v>1053</v>
      </c>
      <c r="E770" t="s">
        <v>44</v>
      </c>
      <c r="F770" t="s">
        <v>21</v>
      </c>
      <c r="G770">
        <v>10</v>
      </c>
      <c r="H770">
        <v>2.3025850929940459</v>
      </c>
      <c r="I770" t="s">
        <v>3536</v>
      </c>
    </row>
    <row r="771" spans="1:9" x14ac:dyDescent="0.25">
      <c r="A771" t="s">
        <v>1787</v>
      </c>
      <c r="B771">
        <v>2</v>
      </c>
      <c r="C771">
        <v>0.54700000000000004</v>
      </c>
      <c r="D771" t="s">
        <v>955</v>
      </c>
      <c r="E771" t="s">
        <v>787</v>
      </c>
      <c r="F771" t="s">
        <v>50</v>
      </c>
      <c r="G771">
        <v>3.6563071297989027</v>
      </c>
      <c r="H771">
        <v>1.2964536571201011</v>
      </c>
      <c r="I771" t="s">
        <v>3536</v>
      </c>
    </row>
    <row r="772" spans="1:9" x14ac:dyDescent="0.25">
      <c r="A772" t="s">
        <v>1789</v>
      </c>
      <c r="B772">
        <v>2</v>
      </c>
      <c r="C772">
        <v>0.47399999999999998</v>
      </c>
      <c r="D772" t="s">
        <v>641</v>
      </c>
      <c r="E772" t="s">
        <v>365</v>
      </c>
      <c r="F772" t="s">
        <v>11</v>
      </c>
      <c r="G772">
        <v>4.2194092827004219</v>
      </c>
      <c r="H772">
        <v>1.4396951378470058</v>
      </c>
      <c r="I772" t="s">
        <v>3536</v>
      </c>
    </row>
    <row r="773" spans="1:9" x14ac:dyDescent="0.25">
      <c r="A773" t="s">
        <v>1790</v>
      </c>
      <c r="B773">
        <v>2</v>
      </c>
      <c r="C773">
        <v>0.63800000000000001</v>
      </c>
      <c r="D773" t="s">
        <v>1792</v>
      </c>
      <c r="E773" t="s">
        <v>1172</v>
      </c>
      <c r="F773" t="s">
        <v>21</v>
      </c>
      <c r="G773">
        <v>3.134796238244514</v>
      </c>
      <c r="H773">
        <v>1.1425641761972924</v>
      </c>
      <c r="I773" t="s">
        <v>3536</v>
      </c>
    </row>
    <row r="774" spans="1:9" x14ac:dyDescent="0.25">
      <c r="A774" t="s">
        <v>1793</v>
      </c>
      <c r="B774">
        <v>2</v>
      </c>
      <c r="C774">
        <v>0.35</v>
      </c>
      <c r="D774" t="s">
        <v>1794</v>
      </c>
      <c r="E774" t="s">
        <v>10</v>
      </c>
      <c r="F774" t="s">
        <v>11</v>
      </c>
      <c r="G774">
        <v>5.7142857142857144</v>
      </c>
      <c r="H774">
        <v>1.742969305058623</v>
      </c>
      <c r="I774" t="s">
        <v>3536</v>
      </c>
    </row>
    <row r="775" spans="1:9" x14ac:dyDescent="0.25">
      <c r="A775" t="s">
        <v>1795</v>
      </c>
      <c r="B775">
        <v>2</v>
      </c>
      <c r="C775">
        <v>0.251</v>
      </c>
      <c r="D775" t="s">
        <v>1796</v>
      </c>
      <c r="E775" t="s">
        <v>10</v>
      </c>
      <c r="F775" t="s">
        <v>11</v>
      </c>
      <c r="G775">
        <v>7.9681274900398407</v>
      </c>
      <c r="H775">
        <v>2.0754495204102983</v>
      </c>
      <c r="I775" t="s">
        <v>3536</v>
      </c>
    </row>
    <row r="776" spans="1:9" x14ac:dyDescent="0.25">
      <c r="A776" t="s">
        <v>1797</v>
      </c>
      <c r="B776">
        <v>2</v>
      </c>
      <c r="C776">
        <v>0.372</v>
      </c>
      <c r="D776" t="s">
        <v>254</v>
      </c>
      <c r="E776" t="s">
        <v>49</v>
      </c>
      <c r="F776" t="s">
        <v>50</v>
      </c>
      <c r="G776">
        <v>5.376344086021505</v>
      </c>
      <c r="H776">
        <v>1.6820086052689358</v>
      </c>
      <c r="I776" t="s">
        <v>3536</v>
      </c>
    </row>
    <row r="777" spans="1:9" x14ac:dyDescent="0.25">
      <c r="A777" t="s">
        <v>1799</v>
      </c>
      <c r="B777">
        <v>2</v>
      </c>
      <c r="C777">
        <v>0.29299999999999998</v>
      </c>
      <c r="D777" t="s">
        <v>1800</v>
      </c>
      <c r="E777" t="s">
        <v>648</v>
      </c>
      <c r="F777" t="s">
        <v>50</v>
      </c>
      <c r="G777">
        <v>6.8259385665529013</v>
      </c>
      <c r="H777">
        <v>1.920729850525015</v>
      </c>
      <c r="I777" t="s">
        <v>3536</v>
      </c>
    </row>
    <row r="778" spans="1:9" x14ac:dyDescent="0.25">
      <c r="A778" t="s">
        <v>1801</v>
      </c>
      <c r="B778">
        <v>2</v>
      </c>
      <c r="C778">
        <v>0.26200000000000001</v>
      </c>
      <c r="D778" t="s">
        <v>1803</v>
      </c>
      <c r="E778" t="s">
        <v>10</v>
      </c>
      <c r="F778" t="s">
        <v>11</v>
      </c>
      <c r="G778">
        <v>7.6335877862595414</v>
      </c>
      <c r="H778">
        <v>2.0325579557809856</v>
      </c>
      <c r="I778" t="s">
        <v>3536</v>
      </c>
    </row>
    <row r="779" spans="1:9" x14ac:dyDescent="0.25">
      <c r="A779" t="s">
        <v>1804</v>
      </c>
      <c r="B779">
        <v>2</v>
      </c>
      <c r="C779">
        <v>0.55300000000000005</v>
      </c>
      <c r="D779" t="s">
        <v>1806</v>
      </c>
      <c r="E779" t="s">
        <v>170</v>
      </c>
      <c r="F779" t="s">
        <v>50</v>
      </c>
      <c r="G779">
        <v>3.6166365280289328</v>
      </c>
      <c r="H779">
        <v>1.2855444580197475</v>
      </c>
      <c r="I779" t="s">
        <v>3536</v>
      </c>
    </row>
    <row r="780" spans="1:9" x14ac:dyDescent="0.25">
      <c r="A780" t="s">
        <v>1807</v>
      </c>
      <c r="B780">
        <v>2</v>
      </c>
      <c r="C780">
        <v>0.39</v>
      </c>
      <c r="D780" t="s">
        <v>55</v>
      </c>
      <c r="E780" t="s">
        <v>1035</v>
      </c>
      <c r="F780" t="s">
        <v>21</v>
      </c>
      <c r="G780">
        <v>5.1282051282051277</v>
      </c>
      <c r="H780">
        <v>1.6347557204183902</v>
      </c>
      <c r="I780" t="s">
        <v>3536</v>
      </c>
    </row>
    <row r="781" spans="1:9" x14ac:dyDescent="0.25">
      <c r="A781" t="s">
        <v>1808</v>
      </c>
      <c r="B781">
        <v>2</v>
      </c>
      <c r="C781">
        <v>0.315</v>
      </c>
      <c r="D781" t="s">
        <v>1535</v>
      </c>
      <c r="E781" t="s">
        <v>10</v>
      </c>
      <c r="F781" t="s">
        <v>11</v>
      </c>
      <c r="G781">
        <v>6.3492063492063489</v>
      </c>
      <c r="H781">
        <v>1.8483298207164491</v>
      </c>
      <c r="I781" t="s">
        <v>3536</v>
      </c>
    </row>
    <row r="782" spans="1:9" x14ac:dyDescent="0.25">
      <c r="A782" t="s">
        <v>1809</v>
      </c>
      <c r="B782">
        <v>2</v>
      </c>
      <c r="C782">
        <v>0.34200000000000003</v>
      </c>
      <c r="D782" t="s">
        <v>254</v>
      </c>
      <c r="E782" t="s">
        <v>10</v>
      </c>
      <c r="F782" t="s">
        <v>11</v>
      </c>
      <c r="G782">
        <v>5.8479532163742682</v>
      </c>
      <c r="H782">
        <v>1.766091722479477</v>
      </c>
      <c r="I782" t="s">
        <v>3536</v>
      </c>
    </row>
    <row r="783" spans="1:9" x14ac:dyDescent="0.25">
      <c r="A783" t="s">
        <v>1810</v>
      </c>
      <c r="B783">
        <v>2</v>
      </c>
      <c r="C783">
        <v>0.251</v>
      </c>
      <c r="D783" t="s">
        <v>1811</v>
      </c>
      <c r="E783" t="s">
        <v>10</v>
      </c>
      <c r="F783" t="s">
        <v>11</v>
      </c>
      <c r="G783">
        <v>7.9681274900398407</v>
      </c>
      <c r="H783">
        <v>2.0754495204102983</v>
      </c>
      <c r="I783" t="s">
        <v>3536</v>
      </c>
    </row>
    <row r="784" spans="1:9" x14ac:dyDescent="0.25">
      <c r="A784" t="s">
        <v>1812</v>
      </c>
      <c r="B784">
        <v>2</v>
      </c>
      <c r="C784">
        <v>0.27700000000000002</v>
      </c>
      <c r="D784" t="s">
        <v>1813</v>
      </c>
      <c r="E784" t="s">
        <v>10</v>
      </c>
      <c r="F784" t="s">
        <v>11</v>
      </c>
      <c r="G784">
        <v>7.2202166064981945</v>
      </c>
      <c r="H784">
        <v>1.9768849533547439</v>
      </c>
      <c r="I784" t="s">
        <v>3536</v>
      </c>
    </row>
    <row r="785" spans="1:9" x14ac:dyDescent="0.25">
      <c r="A785" t="s">
        <v>1814</v>
      </c>
      <c r="B785">
        <v>2</v>
      </c>
      <c r="C785">
        <v>0.35299999999999998</v>
      </c>
      <c r="D785" t="s">
        <v>254</v>
      </c>
      <c r="E785" t="s">
        <v>10</v>
      </c>
      <c r="F785" t="s">
        <v>11</v>
      </c>
      <c r="G785">
        <v>5.6657223796034</v>
      </c>
      <c r="H785">
        <v>1.7344344026087857</v>
      </c>
      <c r="I785" t="s">
        <v>3536</v>
      </c>
    </row>
    <row r="786" spans="1:9" x14ac:dyDescent="0.25">
      <c r="A786" t="s">
        <v>1816</v>
      </c>
      <c r="B786">
        <v>2</v>
      </c>
      <c r="C786">
        <v>0.73299999999999998</v>
      </c>
      <c r="D786" t="s">
        <v>1818</v>
      </c>
      <c r="E786" t="s">
        <v>10</v>
      </c>
      <c r="F786" t="s">
        <v>11</v>
      </c>
      <c r="G786">
        <v>2.7285129604365621</v>
      </c>
      <c r="H786">
        <v>1.0037567576554309</v>
      </c>
      <c r="I786" t="s">
        <v>3536</v>
      </c>
    </row>
    <row r="787" spans="1:9" x14ac:dyDescent="0.25">
      <c r="A787" t="s">
        <v>1819</v>
      </c>
      <c r="B787">
        <v>2</v>
      </c>
      <c r="C787">
        <v>0.88500000000000001</v>
      </c>
      <c r="D787" t="s">
        <v>1601</v>
      </c>
      <c r="E787" t="s">
        <v>10</v>
      </c>
      <c r="F787" t="s">
        <v>11</v>
      </c>
      <c r="G787">
        <v>2.2598870056497176</v>
      </c>
      <c r="H787">
        <v>0.81531481453415289</v>
      </c>
      <c r="I787" t="s">
        <v>3536</v>
      </c>
    </row>
    <row r="788" spans="1:9" x14ac:dyDescent="0.25">
      <c r="A788" t="s">
        <v>1821</v>
      </c>
      <c r="B788">
        <v>2</v>
      </c>
      <c r="C788">
        <v>0.23699999999999999</v>
      </c>
      <c r="D788" t="s">
        <v>1823</v>
      </c>
      <c r="E788" t="s">
        <v>10</v>
      </c>
      <c r="F788" t="s">
        <v>11</v>
      </c>
      <c r="G788">
        <v>8.4388185654008439</v>
      </c>
      <c r="H788">
        <v>2.1328423184069512</v>
      </c>
      <c r="I788" t="s">
        <v>3536</v>
      </c>
    </row>
    <row r="789" spans="1:9" x14ac:dyDescent="0.25">
      <c r="A789" t="s">
        <v>1824</v>
      </c>
      <c r="B789">
        <v>2</v>
      </c>
      <c r="C789">
        <v>2</v>
      </c>
      <c r="D789" t="s">
        <v>1825</v>
      </c>
      <c r="E789" t="s">
        <v>10</v>
      </c>
      <c r="F789" t="s">
        <v>11</v>
      </c>
      <c r="G789">
        <v>1</v>
      </c>
      <c r="H789">
        <v>0</v>
      </c>
      <c r="I789" t="s">
        <v>3536</v>
      </c>
    </row>
    <row r="790" spans="1:9" x14ac:dyDescent="0.25">
      <c r="A790" t="s">
        <v>1826</v>
      </c>
      <c r="B790">
        <v>2</v>
      </c>
      <c r="C790">
        <v>0.57699999999999996</v>
      </c>
      <c r="D790" t="s">
        <v>1828</v>
      </c>
      <c r="E790" t="s">
        <v>1829</v>
      </c>
      <c r="F790" t="s">
        <v>21</v>
      </c>
      <c r="G790">
        <v>3.4662045060658579</v>
      </c>
      <c r="H790">
        <v>1.2430601930339829</v>
      </c>
      <c r="I790" t="s">
        <v>3536</v>
      </c>
    </row>
    <row r="791" spans="1:9" x14ac:dyDescent="0.25">
      <c r="A791" t="s">
        <v>1830</v>
      </c>
      <c r="B791">
        <v>2</v>
      </c>
      <c r="C791">
        <v>0.378</v>
      </c>
      <c r="D791" t="s">
        <v>1232</v>
      </c>
      <c r="E791" t="s">
        <v>44</v>
      </c>
      <c r="F791" t="s">
        <v>21</v>
      </c>
      <c r="G791">
        <v>5.2910052910052912</v>
      </c>
      <c r="H791">
        <v>1.6660082639224947</v>
      </c>
      <c r="I791" t="s">
        <v>3536</v>
      </c>
    </row>
    <row r="792" spans="1:9" x14ac:dyDescent="0.25">
      <c r="A792" t="s">
        <v>1832</v>
      </c>
      <c r="B792">
        <v>2</v>
      </c>
      <c r="C792">
        <v>0.432</v>
      </c>
      <c r="D792" t="s">
        <v>413</v>
      </c>
      <c r="E792" t="s">
        <v>10</v>
      </c>
      <c r="F792" t="s">
        <v>11</v>
      </c>
      <c r="G792">
        <v>4.6296296296296298</v>
      </c>
      <c r="H792">
        <v>1.5324768712979722</v>
      </c>
      <c r="I792" t="s">
        <v>3536</v>
      </c>
    </row>
    <row r="793" spans="1:9" x14ac:dyDescent="0.25">
      <c r="A793" t="s">
        <v>1833</v>
      </c>
      <c r="B793">
        <v>2</v>
      </c>
      <c r="C793">
        <v>0.29899999999999999</v>
      </c>
      <c r="D793" t="s">
        <v>1834</v>
      </c>
      <c r="E793" t="s">
        <v>10</v>
      </c>
      <c r="F793" t="s">
        <v>11</v>
      </c>
      <c r="G793">
        <v>6.6889632107023411</v>
      </c>
      <c r="H793">
        <v>1.900458886151396</v>
      </c>
      <c r="I793" t="s">
        <v>3536</v>
      </c>
    </row>
    <row r="794" spans="1:9" x14ac:dyDescent="0.25">
      <c r="A794" t="s">
        <v>1835</v>
      </c>
      <c r="B794">
        <v>2</v>
      </c>
      <c r="C794">
        <v>0.315</v>
      </c>
      <c r="D794" t="s">
        <v>1836</v>
      </c>
      <c r="E794" t="s">
        <v>10</v>
      </c>
      <c r="F794" t="s">
        <v>11</v>
      </c>
      <c r="G794">
        <v>6.3492063492063489</v>
      </c>
      <c r="H794">
        <v>1.8483298207164491</v>
      </c>
      <c r="I794" t="s">
        <v>3536</v>
      </c>
    </row>
    <row r="795" spans="1:9" x14ac:dyDescent="0.25">
      <c r="A795" t="s">
        <v>1837</v>
      </c>
      <c r="B795">
        <v>2</v>
      </c>
      <c r="C795">
        <v>0.17899999999999999</v>
      </c>
      <c r="D795" t="s">
        <v>611</v>
      </c>
      <c r="E795" t="s">
        <v>10</v>
      </c>
      <c r="F795" t="s">
        <v>11</v>
      </c>
      <c r="G795">
        <v>11.173184357541899</v>
      </c>
      <c r="H795">
        <v>2.4135166537013273</v>
      </c>
      <c r="I795" t="s">
        <v>3536</v>
      </c>
    </row>
    <row r="796" spans="1:9" x14ac:dyDescent="0.25">
      <c r="A796" t="s">
        <v>1839</v>
      </c>
      <c r="B796">
        <v>2</v>
      </c>
      <c r="C796">
        <v>0.30399999999999999</v>
      </c>
      <c r="D796" t="s">
        <v>1722</v>
      </c>
      <c r="E796" t="s">
        <v>10</v>
      </c>
      <c r="F796" t="s">
        <v>11</v>
      </c>
      <c r="G796">
        <v>6.5789473684210531</v>
      </c>
      <c r="H796">
        <v>1.8838747581358608</v>
      </c>
      <c r="I796" t="s">
        <v>3536</v>
      </c>
    </row>
    <row r="797" spans="1:9" x14ac:dyDescent="0.25">
      <c r="A797" t="s">
        <v>1841</v>
      </c>
      <c r="B797">
        <v>2</v>
      </c>
      <c r="C797">
        <v>0.41699999999999998</v>
      </c>
      <c r="D797" t="s">
        <v>1843</v>
      </c>
      <c r="E797" t="s">
        <v>10</v>
      </c>
      <c r="F797" t="s">
        <v>11</v>
      </c>
      <c r="G797">
        <v>4.7961630695443649</v>
      </c>
      <c r="H797">
        <v>1.5678162377432809</v>
      </c>
      <c r="I797" t="s">
        <v>3536</v>
      </c>
    </row>
    <row r="798" spans="1:9" x14ac:dyDescent="0.25">
      <c r="A798" t="s">
        <v>1844</v>
      </c>
      <c r="B798">
        <v>2</v>
      </c>
      <c r="C798">
        <v>0.35499999999999998</v>
      </c>
      <c r="D798" t="s">
        <v>1846</v>
      </c>
      <c r="E798" t="s">
        <v>170</v>
      </c>
      <c r="F798" t="s">
        <v>50</v>
      </c>
      <c r="G798">
        <v>5.6338028169014089</v>
      </c>
      <c r="H798">
        <v>1.7287846700666667</v>
      </c>
      <c r="I798" t="s">
        <v>3536</v>
      </c>
    </row>
    <row r="799" spans="1:9" x14ac:dyDescent="0.25">
      <c r="A799" t="s">
        <v>1847</v>
      </c>
      <c r="B799">
        <v>2</v>
      </c>
      <c r="C799">
        <v>0.41899999999999998</v>
      </c>
      <c r="D799" t="s">
        <v>1849</v>
      </c>
      <c r="E799" t="s">
        <v>49</v>
      </c>
      <c r="F799" t="s">
        <v>50</v>
      </c>
      <c r="G799">
        <v>4.7732696897374707</v>
      </c>
      <c r="H799">
        <v>1.5630315396199448</v>
      </c>
      <c r="I799" t="s">
        <v>3536</v>
      </c>
    </row>
    <row r="800" spans="1:9" x14ac:dyDescent="0.25">
      <c r="A800" t="s">
        <v>1850</v>
      </c>
      <c r="B800">
        <v>2</v>
      </c>
      <c r="C800">
        <v>0.20399999999999999</v>
      </c>
      <c r="D800" t="s">
        <v>1852</v>
      </c>
      <c r="E800" t="s">
        <v>10</v>
      </c>
      <c r="F800" t="s">
        <v>11</v>
      </c>
      <c r="G800">
        <v>9.8039215686274517</v>
      </c>
      <c r="H800">
        <v>2.2827824656978661</v>
      </c>
      <c r="I800" t="s">
        <v>3536</v>
      </c>
    </row>
    <row r="801" spans="1:9" x14ac:dyDescent="0.25">
      <c r="A801" t="s">
        <v>1853</v>
      </c>
      <c r="B801">
        <v>2</v>
      </c>
      <c r="C801">
        <v>0</v>
      </c>
      <c r="E801" t="s">
        <v>365</v>
      </c>
      <c r="F801" t="s">
        <v>11</v>
      </c>
      <c r="G801" t="s">
        <v>3535</v>
      </c>
      <c r="H801" t="s">
        <v>3535</v>
      </c>
      <c r="I801" t="s">
        <v>3537</v>
      </c>
    </row>
    <row r="802" spans="1:9" x14ac:dyDescent="0.25">
      <c r="A802" t="s">
        <v>1854</v>
      </c>
      <c r="B802">
        <v>2</v>
      </c>
      <c r="C802">
        <v>0.315</v>
      </c>
      <c r="D802" t="s">
        <v>469</v>
      </c>
      <c r="E802" t="s">
        <v>10</v>
      </c>
      <c r="F802" t="s">
        <v>11</v>
      </c>
      <c r="G802">
        <v>6.3492063492063489</v>
      </c>
      <c r="H802">
        <v>1.8483298207164491</v>
      </c>
      <c r="I802" t="s">
        <v>3536</v>
      </c>
    </row>
    <row r="803" spans="1:9" x14ac:dyDescent="0.25">
      <c r="A803" t="s">
        <v>1855</v>
      </c>
      <c r="B803">
        <v>2</v>
      </c>
      <c r="C803">
        <v>0.57799999999999996</v>
      </c>
      <c r="D803" t="s">
        <v>1856</v>
      </c>
      <c r="E803" t="s">
        <v>273</v>
      </c>
      <c r="F803" t="s">
        <v>21</v>
      </c>
      <c r="G803">
        <v>3.4602076124567476</v>
      </c>
      <c r="H803">
        <v>1.2413285908697049</v>
      </c>
      <c r="I803" t="s">
        <v>3536</v>
      </c>
    </row>
    <row r="804" spans="1:9" x14ac:dyDescent="0.25">
      <c r="A804" t="s">
        <v>1857</v>
      </c>
      <c r="B804">
        <v>2</v>
      </c>
      <c r="C804">
        <v>0.21</v>
      </c>
      <c r="D804" t="s">
        <v>1361</v>
      </c>
      <c r="E804" t="s">
        <v>1858</v>
      </c>
      <c r="F804" t="s">
        <v>109</v>
      </c>
      <c r="G804">
        <v>9.5238095238095237</v>
      </c>
      <c r="H804">
        <v>2.2537949288246137</v>
      </c>
      <c r="I804" t="s">
        <v>3536</v>
      </c>
    </row>
    <row r="805" spans="1:9" x14ac:dyDescent="0.25">
      <c r="A805" t="s">
        <v>1859</v>
      </c>
      <c r="B805">
        <v>2</v>
      </c>
      <c r="C805">
        <v>0.25</v>
      </c>
      <c r="D805" t="s">
        <v>1860</v>
      </c>
      <c r="E805" t="s">
        <v>10</v>
      </c>
      <c r="F805" t="s">
        <v>11</v>
      </c>
      <c r="G805">
        <v>8</v>
      </c>
      <c r="H805">
        <v>2.0794415416798357</v>
      </c>
      <c r="I805" t="s">
        <v>3536</v>
      </c>
    </row>
    <row r="806" spans="1:9" x14ac:dyDescent="0.25">
      <c r="A806" t="s">
        <v>1861</v>
      </c>
      <c r="B806">
        <v>2</v>
      </c>
      <c r="C806">
        <v>0.64300000000000002</v>
      </c>
      <c r="D806" t="s">
        <v>1862</v>
      </c>
      <c r="E806" t="s">
        <v>187</v>
      </c>
      <c r="F806" t="s">
        <v>50</v>
      </c>
      <c r="G806">
        <v>3.1104199066874028</v>
      </c>
      <c r="H806">
        <v>1.1347577353044629</v>
      </c>
      <c r="I806" t="s">
        <v>3536</v>
      </c>
    </row>
    <row r="807" spans="1:9" x14ac:dyDescent="0.25">
      <c r="A807" t="s">
        <v>1863</v>
      </c>
      <c r="B807">
        <v>2</v>
      </c>
      <c r="C807">
        <v>0.73199999999999998</v>
      </c>
      <c r="D807" t="s">
        <v>1865</v>
      </c>
      <c r="E807" t="s">
        <v>10</v>
      </c>
      <c r="F807" t="s">
        <v>11</v>
      </c>
      <c r="G807">
        <v>2.7322404371584699</v>
      </c>
      <c r="H807">
        <v>1.0051219455807707</v>
      </c>
      <c r="I807" t="s">
        <v>3536</v>
      </c>
    </row>
    <row r="808" spans="1:9" x14ac:dyDescent="0.25">
      <c r="A808" t="s">
        <v>1866</v>
      </c>
      <c r="B808">
        <v>2</v>
      </c>
      <c r="C808">
        <v>0.746</v>
      </c>
      <c r="D808" t="s">
        <v>1867</v>
      </c>
      <c r="E808" t="s">
        <v>20</v>
      </c>
      <c r="F808" t="s">
        <v>21</v>
      </c>
      <c r="G808">
        <v>2.6809651474530831</v>
      </c>
      <c r="H808">
        <v>0.98617685933832155</v>
      </c>
      <c r="I808" t="s">
        <v>3536</v>
      </c>
    </row>
    <row r="809" spans="1:9" x14ac:dyDescent="0.25">
      <c r="A809" t="s">
        <v>1868</v>
      </c>
      <c r="B809">
        <v>2</v>
      </c>
      <c r="C809">
        <v>0.29399999999999998</v>
      </c>
      <c r="D809" t="s">
        <v>1869</v>
      </c>
      <c r="E809" t="s">
        <v>62</v>
      </c>
      <c r="F809" t="s">
        <v>63</v>
      </c>
      <c r="G809">
        <v>6.8027210884353746</v>
      </c>
      <c r="H809">
        <v>1.9173226922034008</v>
      </c>
      <c r="I809" t="s">
        <v>3536</v>
      </c>
    </row>
    <row r="810" spans="1:9" x14ac:dyDescent="0.25">
      <c r="A810" t="s">
        <v>1870</v>
      </c>
      <c r="B810">
        <v>2</v>
      </c>
      <c r="C810">
        <v>0.53</v>
      </c>
      <c r="D810" t="s">
        <v>1605</v>
      </c>
      <c r="E810" t="s">
        <v>1172</v>
      </c>
      <c r="F810" t="s">
        <v>21</v>
      </c>
      <c r="G810">
        <v>3.773584905660377</v>
      </c>
      <c r="H810">
        <v>1.3280254529959148</v>
      </c>
      <c r="I810" t="s">
        <v>3536</v>
      </c>
    </row>
    <row r="811" spans="1:9" x14ac:dyDescent="0.25">
      <c r="A811" t="s">
        <v>1871</v>
      </c>
      <c r="B811">
        <v>2</v>
      </c>
      <c r="C811">
        <v>0.17799999999999999</v>
      </c>
      <c r="D811" t="s">
        <v>1873</v>
      </c>
      <c r="E811" t="s">
        <v>10</v>
      </c>
      <c r="F811" t="s">
        <v>11</v>
      </c>
      <c r="G811">
        <v>11.235955056179776</v>
      </c>
      <c r="H811">
        <v>2.4191189092499972</v>
      </c>
      <c r="I811" t="s">
        <v>3536</v>
      </c>
    </row>
    <row r="812" spans="1:9" x14ac:dyDescent="0.25">
      <c r="A812" t="s">
        <v>1874</v>
      </c>
      <c r="B812">
        <v>2</v>
      </c>
      <c r="C812">
        <v>0.1</v>
      </c>
      <c r="D812" t="s">
        <v>1876</v>
      </c>
      <c r="E812" t="s">
        <v>10</v>
      </c>
      <c r="F812" t="s">
        <v>11</v>
      </c>
      <c r="G812">
        <v>20</v>
      </c>
      <c r="H812">
        <v>2.9957322735539909</v>
      </c>
      <c r="I812" t="s">
        <v>3536</v>
      </c>
    </row>
    <row r="813" spans="1:9" x14ac:dyDescent="0.25">
      <c r="A813" t="s">
        <v>1877</v>
      </c>
      <c r="B813">
        <v>2</v>
      </c>
      <c r="C813">
        <v>0.17899999999999999</v>
      </c>
      <c r="D813" t="s">
        <v>1878</v>
      </c>
      <c r="E813" t="s">
        <v>10</v>
      </c>
      <c r="F813" t="s">
        <v>11</v>
      </c>
      <c r="G813">
        <v>11.173184357541899</v>
      </c>
      <c r="H813">
        <v>2.4135166537013273</v>
      </c>
      <c r="I813" t="s">
        <v>3536</v>
      </c>
    </row>
    <row r="814" spans="1:9" x14ac:dyDescent="0.25">
      <c r="A814" t="s">
        <v>1879</v>
      </c>
      <c r="B814">
        <v>2</v>
      </c>
      <c r="C814">
        <v>0.29099999999999998</v>
      </c>
      <c r="D814" t="s">
        <v>1881</v>
      </c>
      <c r="E814" t="s">
        <v>10</v>
      </c>
      <c r="F814" t="s">
        <v>11</v>
      </c>
      <c r="G814">
        <v>6.8728522336769764</v>
      </c>
      <c r="H814">
        <v>1.9275791923705898</v>
      </c>
      <c r="I814" t="s">
        <v>3536</v>
      </c>
    </row>
    <row r="815" spans="1:9" x14ac:dyDescent="0.25">
      <c r="A815" t="s">
        <v>1882</v>
      </c>
      <c r="B815">
        <v>2</v>
      </c>
      <c r="C815">
        <v>0.92100000000000004</v>
      </c>
      <c r="D815" t="s">
        <v>1884</v>
      </c>
      <c r="E815" t="s">
        <v>10</v>
      </c>
      <c r="F815" t="s">
        <v>11</v>
      </c>
      <c r="G815">
        <v>2.1715526601520088</v>
      </c>
      <c r="H815">
        <v>0.7754424232867756</v>
      </c>
      <c r="I815" t="s">
        <v>3536</v>
      </c>
    </row>
    <row r="816" spans="1:9" x14ac:dyDescent="0.25">
      <c r="A816" t="s">
        <v>1885</v>
      </c>
      <c r="B816">
        <v>2</v>
      </c>
      <c r="C816">
        <v>0.44500000000000001</v>
      </c>
      <c r="D816" t="s">
        <v>1886</v>
      </c>
      <c r="E816" t="s">
        <v>20</v>
      </c>
      <c r="F816" t="s">
        <v>21</v>
      </c>
      <c r="G816">
        <v>4.4943820224719104</v>
      </c>
      <c r="H816">
        <v>1.5028281773758423</v>
      </c>
      <c r="I816" t="s">
        <v>3536</v>
      </c>
    </row>
    <row r="817" spans="1:9" x14ac:dyDescent="0.25">
      <c r="A817" t="s">
        <v>1887</v>
      </c>
      <c r="B817">
        <v>2</v>
      </c>
      <c r="C817">
        <v>0.33800000000000002</v>
      </c>
      <c r="D817" t="s">
        <v>1889</v>
      </c>
      <c r="E817" t="s">
        <v>10</v>
      </c>
      <c r="F817" t="s">
        <v>11</v>
      </c>
      <c r="G817">
        <v>5.9171597633136095</v>
      </c>
      <c r="H817">
        <v>1.7778565640590636</v>
      </c>
      <c r="I817" t="s">
        <v>3536</v>
      </c>
    </row>
    <row r="818" spans="1:9" x14ac:dyDescent="0.25">
      <c r="A818" t="s">
        <v>1890</v>
      </c>
      <c r="B818">
        <v>2</v>
      </c>
      <c r="C818">
        <v>0.23599999999999999</v>
      </c>
      <c r="D818" t="s">
        <v>1892</v>
      </c>
      <c r="E818" t="s">
        <v>787</v>
      </c>
      <c r="F818" t="s">
        <v>50</v>
      </c>
      <c r="G818">
        <v>8.4745762711864412</v>
      </c>
      <c r="H818">
        <v>2.1370706545164722</v>
      </c>
      <c r="I818" t="s">
        <v>3536</v>
      </c>
    </row>
    <row r="819" spans="1:9" x14ac:dyDescent="0.25">
      <c r="A819" t="s">
        <v>1893</v>
      </c>
      <c r="B819">
        <v>2</v>
      </c>
      <c r="C819">
        <v>0.32</v>
      </c>
      <c r="D819" t="s">
        <v>254</v>
      </c>
      <c r="E819" t="s">
        <v>10</v>
      </c>
      <c r="F819" t="s">
        <v>11</v>
      </c>
      <c r="G819">
        <v>6.25</v>
      </c>
      <c r="H819">
        <v>1.8325814637483102</v>
      </c>
      <c r="I819" t="s">
        <v>3536</v>
      </c>
    </row>
    <row r="820" spans="1:9" x14ac:dyDescent="0.25">
      <c r="A820" t="s">
        <v>1895</v>
      </c>
      <c r="B820">
        <v>2</v>
      </c>
      <c r="C820">
        <v>0.19500000000000001</v>
      </c>
      <c r="D820" t="s">
        <v>696</v>
      </c>
      <c r="E820" t="s">
        <v>10</v>
      </c>
      <c r="F820" t="s">
        <v>11</v>
      </c>
      <c r="G820">
        <v>10.256410256410255</v>
      </c>
      <c r="H820">
        <v>2.3279029009783354</v>
      </c>
      <c r="I820" t="s">
        <v>3536</v>
      </c>
    </row>
    <row r="821" spans="1:9" x14ac:dyDescent="0.25">
      <c r="A821" t="s">
        <v>1897</v>
      </c>
      <c r="B821">
        <v>2</v>
      </c>
      <c r="C821">
        <v>0.27600000000000002</v>
      </c>
      <c r="D821" t="s">
        <v>1899</v>
      </c>
      <c r="E821" t="s">
        <v>10</v>
      </c>
      <c r="F821" t="s">
        <v>11</v>
      </c>
      <c r="G821">
        <v>7.2463768115942022</v>
      </c>
      <c r="H821">
        <v>1.9805015938249322</v>
      </c>
      <c r="I821" t="s">
        <v>3536</v>
      </c>
    </row>
    <row r="822" spans="1:9" x14ac:dyDescent="0.25">
      <c r="A822" t="s">
        <v>1900</v>
      </c>
      <c r="B822">
        <v>2</v>
      </c>
      <c r="C822">
        <v>0.12</v>
      </c>
      <c r="E822" t="s">
        <v>1902</v>
      </c>
      <c r="F822" t="s">
        <v>11</v>
      </c>
      <c r="G822">
        <v>16.666666666666668</v>
      </c>
      <c r="H822">
        <v>2.8134107167600364</v>
      </c>
      <c r="I822" t="s">
        <v>3536</v>
      </c>
    </row>
    <row r="823" spans="1:9" x14ac:dyDescent="0.25">
      <c r="A823" t="s">
        <v>1903</v>
      </c>
      <c r="B823">
        <v>2</v>
      </c>
      <c r="C823">
        <v>0.38</v>
      </c>
      <c r="D823" t="s">
        <v>1905</v>
      </c>
      <c r="E823" t="s">
        <v>10</v>
      </c>
      <c r="F823" t="s">
        <v>11</v>
      </c>
      <c r="G823">
        <v>5.2631578947368425</v>
      </c>
      <c r="H823">
        <v>1.6607312068216509</v>
      </c>
      <c r="I823" t="s">
        <v>3536</v>
      </c>
    </row>
    <row r="824" spans="1:9" x14ac:dyDescent="0.25">
      <c r="A824" t="s">
        <v>1906</v>
      </c>
      <c r="B824">
        <v>2</v>
      </c>
      <c r="C824">
        <v>0.30299999999999999</v>
      </c>
      <c r="D824" t="s">
        <v>137</v>
      </c>
      <c r="E824" t="s">
        <v>10</v>
      </c>
      <c r="F824" t="s">
        <v>11</v>
      </c>
      <c r="G824">
        <v>6.6006600660066006</v>
      </c>
      <c r="H824">
        <v>1.8871696540327132</v>
      </c>
      <c r="I824" t="s">
        <v>3536</v>
      </c>
    </row>
    <row r="825" spans="1:9" x14ac:dyDescent="0.25">
      <c r="A825" t="s">
        <v>1907</v>
      </c>
      <c r="B825">
        <v>2</v>
      </c>
      <c r="C825">
        <v>0.627</v>
      </c>
      <c r="D825" t="s">
        <v>1909</v>
      </c>
      <c r="E825" t="s">
        <v>44</v>
      </c>
      <c r="F825" t="s">
        <v>21</v>
      </c>
      <c r="G825">
        <v>3.1897926634768741</v>
      </c>
      <c r="H825">
        <v>1.1599559189091617</v>
      </c>
      <c r="I825" t="s">
        <v>3536</v>
      </c>
    </row>
    <row r="826" spans="1:9" x14ac:dyDescent="0.25">
      <c r="A826" t="s">
        <v>1910</v>
      </c>
      <c r="B826">
        <v>2</v>
      </c>
      <c r="C826">
        <v>0.23599999999999999</v>
      </c>
      <c r="D826" t="s">
        <v>1911</v>
      </c>
      <c r="E826" t="s">
        <v>10</v>
      </c>
      <c r="F826" t="s">
        <v>11</v>
      </c>
      <c r="G826">
        <v>8.4745762711864412</v>
      </c>
      <c r="H826">
        <v>2.1370706545164722</v>
      </c>
      <c r="I826" t="s">
        <v>3536</v>
      </c>
    </row>
    <row r="827" spans="1:9" x14ac:dyDescent="0.25">
      <c r="A827" t="s">
        <v>1912</v>
      </c>
      <c r="B827">
        <v>2</v>
      </c>
      <c r="C827">
        <v>0.17</v>
      </c>
      <c r="D827" t="s">
        <v>1913</v>
      </c>
      <c r="E827" t="s">
        <v>10</v>
      </c>
      <c r="F827" t="s">
        <v>11</v>
      </c>
      <c r="G827">
        <v>11.76470588235294</v>
      </c>
      <c r="H827">
        <v>2.4651040224918206</v>
      </c>
      <c r="I827" t="s">
        <v>3536</v>
      </c>
    </row>
    <row r="828" spans="1:9" x14ac:dyDescent="0.25">
      <c r="A828" t="s">
        <v>1914</v>
      </c>
      <c r="B828">
        <v>2</v>
      </c>
      <c r="C828">
        <v>0.16300000000000001</v>
      </c>
      <c r="D828" t="s">
        <v>1507</v>
      </c>
      <c r="E828" t="s">
        <v>10</v>
      </c>
      <c r="F828" t="s">
        <v>11</v>
      </c>
      <c r="G828">
        <v>12.269938650306749</v>
      </c>
      <c r="H828">
        <v>2.5071522587353199</v>
      </c>
      <c r="I828" t="s">
        <v>3536</v>
      </c>
    </row>
    <row r="829" spans="1:9" x14ac:dyDescent="0.25">
      <c r="A829" t="s">
        <v>1916</v>
      </c>
      <c r="B829">
        <v>2</v>
      </c>
      <c r="C829">
        <v>0.11700000000000001</v>
      </c>
      <c r="D829" t="s">
        <v>159</v>
      </c>
      <c r="E829" t="s">
        <v>44</v>
      </c>
      <c r="F829" t="s">
        <v>21</v>
      </c>
      <c r="G829">
        <v>17.094017094017094</v>
      </c>
      <c r="H829">
        <v>2.8387285247443264</v>
      </c>
      <c r="I829" t="s">
        <v>3536</v>
      </c>
    </row>
    <row r="830" spans="1:9" x14ac:dyDescent="0.25">
      <c r="A830" t="s">
        <v>1918</v>
      </c>
      <c r="B830">
        <v>2</v>
      </c>
      <c r="C830">
        <v>0.251</v>
      </c>
      <c r="D830" t="s">
        <v>1042</v>
      </c>
      <c r="E830" t="s">
        <v>10</v>
      </c>
      <c r="F830" t="s">
        <v>11</v>
      </c>
      <c r="G830">
        <v>7.9681274900398407</v>
      </c>
      <c r="H830">
        <v>2.0754495204102983</v>
      </c>
      <c r="I830" t="s">
        <v>3536</v>
      </c>
    </row>
    <row r="831" spans="1:9" x14ac:dyDescent="0.25">
      <c r="A831" t="s">
        <v>1919</v>
      </c>
      <c r="B831">
        <v>2</v>
      </c>
      <c r="C831">
        <v>0.41499999999999998</v>
      </c>
      <c r="D831" t="s">
        <v>689</v>
      </c>
      <c r="E831" t="s">
        <v>10</v>
      </c>
      <c r="F831" t="s">
        <v>11</v>
      </c>
      <c r="G831">
        <v>4.8192771084337354</v>
      </c>
      <c r="H831">
        <v>1.5726239393113841</v>
      </c>
      <c r="I831" t="s">
        <v>3536</v>
      </c>
    </row>
    <row r="832" spans="1:9" x14ac:dyDescent="0.25">
      <c r="A832" t="s">
        <v>1920</v>
      </c>
      <c r="B832">
        <v>2</v>
      </c>
      <c r="C832">
        <v>0.78400000000000003</v>
      </c>
      <c r="D832" t="s">
        <v>1922</v>
      </c>
      <c r="E832" t="s">
        <v>10</v>
      </c>
      <c r="F832" t="s">
        <v>11</v>
      </c>
      <c r="G832">
        <v>2.5510204081632653</v>
      </c>
      <c r="H832">
        <v>0.93649343919167449</v>
      </c>
      <c r="I832" t="s">
        <v>3536</v>
      </c>
    </row>
    <row r="833" spans="1:9" x14ac:dyDescent="0.25">
      <c r="A833" t="s">
        <v>1923</v>
      </c>
      <c r="B833">
        <v>2</v>
      </c>
      <c r="C833">
        <v>0.38</v>
      </c>
      <c r="D833" t="s">
        <v>1671</v>
      </c>
      <c r="E833" t="s">
        <v>10</v>
      </c>
      <c r="F833" t="s">
        <v>11</v>
      </c>
      <c r="G833">
        <v>5.2631578947368425</v>
      </c>
      <c r="H833">
        <v>1.6607312068216509</v>
      </c>
      <c r="I833" t="s">
        <v>3536</v>
      </c>
    </row>
    <row r="834" spans="1:9" x14ac:dyDescent="0.25">
      <c r="A834" t="s">
        <v>1924</v>
      </c>
      <c r="B834">
        <v>2</v>
      </c>
      <c r="C834">
        <v>0.433</v>
      </c>
      <c r="D834" t="s">
        <v>221</v>
      </c>
      <c r="E834" t="s">
        <v>10</v>
      </c>
      <c r="F834" t="s">
        <v>11</v>
      </c>
      <c r="G834">
        <v>4.6189376443418011</v>
      </c>
      <c r="H834">
        <v>1.5301647315395925</v>
      </c>
      <c r="I834" t="s">
        <v>3536</v>
      </c>
    </row>
    <row r="835" spans="1:9" x14ac:dyDescent="0.25">
      <c r="A835" t="s">
        <v>1925</v>
      </c>
      <c r="B835">
        <v>2</v>
      </c>
      <c r="C835">
        <v>0.27300000000000002</v>
      </c>
      <c r="D835" t="s">
        <v>1927</v>
      </c>
      <c r="E835" t="s">
        <v>10</v>
      </c>
      <c r="F835" t="s">
        <v>11</v>
      </c>
      <c r="G835">
        <v>7.3260073260073257</v>
      </c>
      <c r="H835">
        <v>1.9914306643571227</v>
      </c>
      <c r="I835" t="s">
        <v>3536</v>
      </c>
    </row>
    <row r="836" spans="1:9" x14ac:dyDescent="0.25">
      <c r="A836" t="s">
        <v>1928</v>
      </c>
      <c r="B836">
        <v>2</v>
      </c>
      <c r="C836">
        <v>0.94899999999999995</v>
      </c>
      <c r="D836" t="s">
        <v>1930</v>
      </c>
      <c r="E836" t="s">
        <v>294</v>
      </c>
      <c r="F836" t="s">
        <v>21</v>
      </c>
      <c r="G836">
        <v>2.1074815595363541</v>
      </c>
      <c r="H836">
        <v>0.74549366093215452</v>
      </c>
      <c r="I836" t="s">
        <v>3536</v>
      </c>
    </row>
    <row r="837" spans="1:9" x14ac:dyDescent="0.25">
      <c r="A837" t="s">
        <v>1931</v>
      </c>
      <c r="B837">
        <v>2</v>
      </c>
      <c r="C837">
        <v>0.42099999999999999</v>
      </c>
      <c r="D837" t="s">
        <v>254</v>
      </c>
      <c r="E837" t="s">
        <v>10</v>
      </c>
      <c r="F837" t="s">
        <v>11</v>
      </c>
      <c r="G837">
        <v>4.7505938242280283</v>
      </c>
      <c r="H837">
        <v>1.5582696258597009</v>
      </c>
      <c r="I837" t="s">
        <v>3536</v>
      </c>
    </row>
    <row r="838" spans="1:9" x14ac:dyDescent="0.25">
      <c r="A838" t="s">
        <v>1933</v>
      </c>
      <c r="B838">
        <v>2</v>
      </c>
      <c r="C838">
        <v>0.65600000000000003</v>
      </c>
      <c r="D838" t="s">
        <v>1934</v>
      </c>
      <c r="E838" t="s">
        <v>20</v>
      </c>
      <c r="F838" t="s">
        <v>21</v>
      </c>
      <c r="G838">
        <v>3.0487804878048781</v>
      </c>
      <c r="H838">
        <v>1.1147416705979933</v>
      </c>
      <c r="I838" t="s">
        <v>3536</v>
      </c>
    </row>
    <row r="839" spans="1:9" x14ac:dyDescent="0.25">
      <c r="A839" t="s">
        <v>1935</v>
      </c>
      <c r="B839">
        <v>2</v>
      </c>
      <c r="C839">
        <v>0.44700000000000001</v>
      </c>
      <c r="D839" t="s">
        <v>409</v>
      </c>
      <c r="E839" t="s">
        <v>10</v>
      </c>
      <c r="F839" t="s">
        <v>11</v>
      </c>
      <c r="G839">
        <v>4.4742729306487696</v>
      </c>
      <c r="H839">
        <v>1.4983438649285135</v>
      </c>
      <c r="I839" t="s">
        <v>3536</v>
      </c>
    </row>
    <row r="840" spans="1:9" x14ac:dyDescent="0.25">
      <c r="A840" t="s">
        <v>1936</v>
      </c>
      <c r="B840">
        <v>2</v>
      </c>
      <c r="C840">
        <v>0.308</v>
      </c>
      <c r="D840" t="s">
        <v>1937</v>
      </c>
      <c r="E840" t="s">
        <v>20</v>
      </c>
      <c r="F840" t="s">
        <v>21</v>
      </c>
      <c r="G840">
        <v>6.4935064935064934</v>
      </c>
      <c r="H840">
        <v>1.870802676568508</v>
      </c>
      <c r="I840" t="s">
        <v>3536</v>
      </c>
    </row>
    <row r="841" spans="1:9" x14ac:dyDescent="0.25">
      <c r="A841" t="s">
        <v>1938</v>
      </c>
      <c r="B841">
        <v>2</v>
      </c>
      <c r="C841">
        <v>0.66300000000000003</v>
      </c>
      <c r="D841" t="s">
        <v>1940</v>
      </c>
      <c r="E841" t="s">
        <v>10</v>
      </c>
      <c r="F841" t="s">
        <v>11</v>
      </c>
      <c r="G841">
        <v>3.0165912518853695</v>
      </c>
      <c r="H841">
        <v>1.1041274693562197</v>
      </c>
      <c r="I841" t="s">
        <v>3536</v>
      </c>
    </row>
    <row r="842" spans="1:9" x14ac:dyDescent="0.25">
      <c r="A842" t="s">
        <v>1941</v>
      </c>
      <c r="B842">
        <v>2</v>
      </c>
      <c r="C842">
        <v>0.79200000000000004</v>
      </c>
      <c r="D842" t="s">
        <v>1943</v>
      </c>
      <c r="E842" t="s">
        <v>20</v>
      </c>
      <c r="F842" t="s">
        <v>21</v>
      </c>
      <c r="G842">
        <v>2.5252525252525251</v>
      </c>
      <c r="H842">
        <v>0.92634106772765645</v>
      </c>
      <c r="I842" t="s">
        <v>3536</v>
      </c>
    </row>
    <row r="843" spans="1:9" x14ac:dyDescent="0.25">
      <c r="A843" t="s">
        <v>1944</v>
      </c>
      <c r="B843">
        <v>2</v>
      </c>
      <c r="C843">
        <v>0.41799999999999998</v>
      </c>
      <c r="D843" t="s">
        <v>1945</v>
      </c>
      <c r="E843" t="s">
        <v>20</v>
      </c>
      <c r="F843" t="s">
        <v>21</v>
      </c>
      <c r="G843">
        <v>4.7846889952153111</v>
      </c>
      <c r="H843">
        <v>1.5654210270173261</v>
      </c>
      <c r="I843" t="s">
        <v>3536</v>
      </c>
    </row>
    <row r="844" spans="1:9" x14ac:dyDescent="0.25">
      <c r="A844" t="s">
        <v>1946</v>
      </c>
      <c r="B844">
        <v>2</v>
      </c>
      <c r="C844">
        <v>1.4E-2</v>
      </c>
      <c r="D844" t="s">
        <v>1620</v>
      </c>
      <c r="E844" t="s">
        <v>20</v>
      </c>
      <c r="F844" t="s">
        <v>21</v>
      </c>
      <c r="G844">
        <v>142.85714285714286</v>
      </c>
      <c r="H844">
        <v>4.9618451299268234</v>
      </c>
      <c r="I844" t="s">
        <v>3536</v>
      </c>
    </row>
    <row r="845" spans="1:9" x14ac:dyDescent="0.25">
      <c r="A845" t="s">
        <v>1948</v>
      </c>
      <c r="B845">
        <v>2</v>
      </c>
      <c r="C845">
        <v>9.2999999999999999E-2</v>
      </c>
      <c r="E845" t="s">
        <v>20</v>
      </c>
      <c r="F845" t="s">
        <v>21</v>
      </c>
      <c r="G845">
        <v>21.50537634408602</v>
      </c>
      <c r="H845">
        <v>3.0683029663888264</v>
      </c>
      <c r="I845" t="s">
        <v>3536</v>
      </c>
    </row>
    <row r="846" spans="1:9" x14ac:dyDescent="0.25">
      <c r="A846" t="s">
        <v>1949</v>
      </c>
      <c r="B846">
        <v>2</v>
      </c>
      <c r="C846">
        <v>0.113</v>
      </c>
      <c r="D846" t="s">
        <v>1951</v>
      </c>
      <c r="E846" t="s">
        <v>365</v>
      </c>
      <c r="F846" t="s">
        <v>11</v>
      </c>
      <c r="G846">
        <v>17.699115044247787</v>
      </c>
      <c r="H846">
        <v>2.8735146408297418</v>
      </c>
      <c r="I846" t="s">
        <v>3536</v>
      </c>
    </row>
    <row r="847" spans="1:9" x14ac:dyDescent="0.25">
      <c r="A847" t="s">
        <v>1952</v>
      </c>
      <c r="B847">
        <v>2</v>
      </c>
      <c r="C847">
        <v>0.20399999999999999</v>
      </c>
      <c r="D847" t="s">
        <v>1953</v>
      </c>
      <c r="E847" t="s">
        <v>20</v>
      </c>
      <c r="F847" t="s">
        <v>21</v>
      </c>
      <c r="G847">
        <v>9.8039215686274517</v>
      </c>
      <c r="H847">
        <v>2.2827824656978661</v>
      </c>
      <c r="I847" t="s">
        <v>3536</v>
      </c>
    </row>
    <row r="848" spans="1:9" x14ac:dyDescent="0.25">
      <c r="A848" t="s">
        <v>1954</v>
      </c>
      <c r="B848">
        <v>2</v>
      </c>
      <c r="C848">
        <v>0.32200000000000001</v>
      </c>
      <c r="D848" t="s">
        <v>1956</v>
      </c>
      <c r="E848" t="s">
        <v>384</v>
      </c>
      <c r="F848" t="s">
        <v>21</v>
      </c>
      <c r="G848">
        <v>6.2111801242236027</v>
      </c>
      <c r="H848">
        <v>1.8263509139976741</v>
      </c>
      <c r="I848" t="s">
        <v>3536</v>
      </c>
    </row>
    <row r="849" spans="1:9" x14ac:dyDescent="0.25">
      <c r="A849" t="s">
        <v>1957</v>
      </c>
      <c r="B849">
        <v>2</v>
      </c>
      <c r="C849">
        <v>0</v>
      </c>
      <c r="D849" t="s">
        <v>1958</v>
      </c>
      <c r="E849" t="s">
        <v>10</v>
      </c>
      <c r="F849" t="s">
        <v>11</v>
      </c>
      <c r="G849" t="s">
        <v>3535</v>
      </c>
      <c r="H849" t="s">
        <v>3535</v>
      </c>
      <c r="I849" t="s">
        <v>3537</v>
      </c>
    </row>
    <row r="850" spans="1:9" x14ac:dyDescent="0.25">
      <c r="A850" t="s">
        <v>1959</v>
      </c>
      <c r="B850">
        <v>2</v>
      </c>
      <c r="C850">
        <v>0.21299999999999999</v>
      </c>
      <c r="D850" t="s">
        <v>1961</v>
      </c>
      <c r="E850" t="s">
        <v>10</v>
      </c>
      <c r="F850" t="s">
        <v>11</v>
      </c>
      <c r="G850">
        <v>9.3896713615023479</v>
      </c>
      <c r="H850">
        <v>2.2396102938326572</v>
      </c>
      <c r="I850" t="s">
        <v>3536</v>
      </c>
    </row>
    <row r="851" spans="1:9" x14ac:dyDescent="0.25">
      <c r="A851" t="s">
        <v>1962</v>
      </c>
      <c r="B851">
        <v>2</v>
      </c>
      <c r="C851">
        <v>0.80400000000000005</v>
      </c>
      <c r="D851" t="s">
        <v>254</v>
      </c>
      <c r="E851" t="s">
        <v>242</v>
      </c>
      <c r="F851" t="s">
        <v>21</v>
      </c>
      <c r="G851">
        <v>2.4875621890547261</v>
      </c>
      <c r="H851">
        <v>0.91130319036311591</v>
      </c>
      <c r="I851" t="s">
        <v>3536</v>
      </c>
    </row>
    <row r="852" spans="1:9" x14ac:dyDescent="0.25">
      <c r="A852" t="s">
        <v>1964</v>
      </c>
      <c r="B852">
        <v>2</v>
      </c>
      <c r="C852">
        <v>1</v>
      </c>
      <c r="D852" t="s">
        <v>1965</v>
      </c>
      <c r="E852" t="s">
        <v>20</v>
      </c>
      <c r="F852" t="s">
        <v>21</v>
      </c>
      <c r="G852">
        <v>2</v>
      </c>
      <c r="H852">
        <v>0.69314718055994529</v>
      </c>
      <c r="I852" t="s">
        <v>3536</v>
      </c>
    </row>
    <row r="853" spans="1:9" x14ac:dyDescent="0.25">
      <c r="A853" t="s">
        <v>1966</v>
      </c>
      <c r="B853">
        <v>2</v>
      </c>
      <c r="C853">
        <v>0</v>
      </c>
      <c r="D853" t="s">
        <v>1620</v>
      </c>
      <c r="E853" t="s">
        <v>20</v>
      </c>
      <c r="F853" t="s">
        <v>21</v>
      </c>
      <c r="G853" t="s">
        <v>3535</v>
      </c>
      <c r="H853" t="s">
        <v>3535</v>
      </c>
      <c r="I853" t="s">
        <v>3537</v>
      </c>
    </row>
    <row r="854" spans="1:9" x14ac:dyDescent="0.25">
      <c r="A854" t="s">
        <v>1967</v>
      </c>
      <c r="B854">
        <v>2</v>
      </c>
      <c r="C854">
        <v>0.13800000000000001</v>
      </c>
      <c r="D854" t="s">
        <v>1969</v>
      </c>
      <c r="E854" t="s">
        <v>1035</v>
      </c>
      <c r="F854" t="s">
        <v>21</v>
      </c>
      <c r="G854">
        <v>14.492753623188404</v>
      </c>
      <c r="H854">
        <v>2.6736487743848776</v>
      </c>
      <c r="I854" t="s">
        <v>3536</v>
      </c>
    </row>
    <row r="855" spans="1:9" x14ac:dyDescent="0.25">
      <c r="A855" t="s">
        <v>1970</v>
      </c>
      <c r="B855">
        <v>2</v>
      </c>
      <c r="C855">
        <v>9.0999999999999998E-2</v>
      </c>
      <c r="D855" t="s">
        <v>731</v>
      </c>
      <c r="E855" t="s">
        <v>20</v>
      </c>
      <c r="F855" t="s">
        <v>21</v>
      </c>
      <c r="G855">
        <v>21.978021978021978</v>
      </c>
      <c r="H855">
        <v>3.0900429530252325</v>
      </c>
      <c r="I855" t="s">
        <v>3536</v>
      </c>
    </row>
    <row r="856" spans="1:9" x14ac:dyDescent="0.25">
      <c r="A856" t="s">
        <v>1972</v>
      </c>
      <c r="B856">
        <v>2</v>
      </c>
      <c r="C856">
        <v>0.27900000000000003</v>
      </c>
      <c r="E856" t="s">
        <v>20</v>
      </c>
      <c r="F856" t="s">
        <v>21</v>
      </c>
      <c r="G856">
        <v>7.1684587813620064</v>
      </c>
      <c r="H856">
        <v>1.9696906777207166</v>
      </c>
      <c r="I856" t="s">
        <v>3536</v>
      </c>
    </row>
    <row r="857" spans="1:9" x14ac:dyDescent="0.25">
      <c r="A857" t="s">
        <v>1974</v>
      </c>
      <c r="B857">
        <v>2</v>
      </c>
      <c r="C857">
        <v>0.30599999999999999</v>
      </c>
      <c r="E857" t="s">
        <v>20</v>
      </c>
      <c r="F857" t="s">
        <v>21</v>
      </c>
      <c r="G857">
        <v>6.5359477124183005</v>
      </c>
      <c r="H857">
        <v>1.8773173575897015</v>
      </c>
      <c r="I857" t="s">
        <v>3536</v>
      </c>
    </row>
    <row r="858" spans="1:9" x14ac:dyDescent="0.25">
      <c r="A858" t="s">
        <v>1976</v>
      </c>
      <c r="B858">
        <v>2</v>
      </c>
      <c r="C858">
        <v>0.22500000000000001</v>
      </c>
      <c r="D858" t="s">
        <v>641</v>
      </c>
      <c r="E858" t="s">
        <v>360</v>
      </c>
      <c r="F858" t="s">
        <v>50</v>
      </c>
      <c r="G858">
        <v>8.8888888888888893</v>
      </c>
      <c r="H858">
        <v>2.1848020573376621</v>
      </c>
      <c r="I858" t="s">
        <v>3536</v>
      </c>
    </row>
    <row r="859" spans="1:9" x14ac:dyDescent="0.25">
      <c r="A859" t="s">
        <v>1977</v>
      </c>
      <c r="B859">
        <v>2</v>
      </c>
      <c r="C859">
        <v>0.34200000000000003</v>
      </c>
      <c r="D859" t="s">
        <v>1813</v>
      </c>
      <c r="E859" t="s">
        <v>10</v>
      </c>
      <c r="F859" t="s">
        <v>11</v>
      </c>
      <c r="G859">
        <v>5.8479532163742682</v>
      </c>
      <c r="H859">
        <v>1.766091722479477</v>
      </c>
      <c r="I859" t="s">
        <v>3536</v>
      </c>
    </row>
    <row r="860" spans="1:9" x14ac:dyDescent="0.25">
      <c r="A860" t="s">
        <v>1978</v>
      </c>
      <c r="B860">
        <v>2</v>
      </c>
      <c r="C860">
        <v>0.32500000000000001</v>
      </c>
      <c r="D860" t="s">
        <v>254</v>
      </c>
      <c r="E860" t="s">
        <v>10</v>
      </c>
      <c r="F860" t="s">
        <v>11</v>
      </c>
      <c r="G860">
        <v>6.1538461538461533</v>
      </c>
      <c r="H860">
        <v>1.8170772772123447</v>
      </c>
      <c r="I860" t="s">
        <v>3536</v>
      </c>
    </row>
    <row r="861" spans="1:9" x14ac:dyDescent="0.25">
      <c r="A861" t="s">
        <v>1979</v>
      </c>
      <c r="B861">
        <v>2</v>
      </c>
      <c r="C861">
        <v>0.27</v>
      </c>
      <c r="D861" t="s">
        <v>1981</v>
      </c>
      <c r="E861" t="s">
        <v>10</v>
      </c>
      <c r="F861" t="s">
        <v>11</v>
      </c>
      <c r="G861">
        <v>7.4074074074074066</v>
      </c>
      <c r="H861">
        <v>2.0024805005437076</v>
      </c>
      <c r="I861" t="s">
        <v>3536</v>
      </c>
    </row>
    <row r="862" spans="1:9" x14ac:dyDescent="0.25">
      <c r="A862" t="s">
        <v>1982</v>
      </c>
      <c r="B862">
        <v>2</v>
      </c>
      <c r="C862">
        <v>0.34499999999999997</v>
      </c>
      <c r="D862" t="s">
        <v>1983</v>
      </c>
      <c r="E862" t="s">
        <v>1488</v>
      </c>
      <c r="F862" t="s">
        <v>21</v>
      </c>
      <c r="G862">
        <v>5.7971014492753632</v>
      </c>
      <c r="H862">
        <v>1.7573580425107227</v>
      </c>
      <c r="I862" t="s">
        <v>3536</v>
      </c>
    </row>
    <row r="863" spans="1:9" x14ac:dyDescent="0.25">
      <c r="A863" t="s">
        <v>1984</v>
      </c>
      <c r="B863">
        <v>2</v>
      </c>
      <c r="C863">
        <v>0.43</v>
      </c>
      <c r="D863" t="s">
        <v>1282</v>
      </c>
      <c r="E863" t="s">
        <v>10</v>
      </c>
      <c r="F863" t="s">
        <v>11</v>
      </c>
      <c r="G863">
        <v>4.6511627906976747</v>
      </c>
      <c r="H863">
        <v>1.5371172508544744</v>
      </c>
      <c r="I863" t="s">
        <v>3536</v>
      </c>
    </row>
    <row r="864" spans="1:9" x14ac:dyDescent="0.25">
      <c r="A864" t="s">
        <v>1986</v>
      </c>
      <c r="B864">
        <v>2</v>
      </c>
      <c r="C864">
        <v>0.56699999999999995</v>
      </c>
      <c r="D864" t="s">
        <v>1988</v>
      </c>
      <c r="E864" t="s">
        <v>1035</v>
      </c>
      <c r="F864" t="s">
        <v>21</v>
      </c>
      <c r="G864">
        <v>3.5273368606701943</v>
      </c>
      <c r="H864">
        <v>1.2605431558143303</v>
      </c>
      <c r="I864" t="s">
        <v>3536</v>
      </c>
    </row>
    <row r="865" spans="1:9" x14ac:dyDescent="0.25">
      <c r="A865" t="s">
        <v>1989</v>
      </c>
      <c r="B865">
        <v>2</v>
      </c>
      <c r="C865">
        <v>0.26200000000000001</v>
      </c>
      <c r="D865" t="s">
        <v>689</v>
      </c>
      <c r="E865" t="s">
        <v>10</v>
      </c>
      <c r="F865" t="s">
        <v>11</v>
      </c>
      <c r="G865">
        <v>7.6335877862595414</v>
      </c>
      <c r="H865">
        <v>2.0325579557809856</v>
      </c>
      <c r="I865" t="s">
        <v>3536</v>
      </c>
    </row>
    <row r="866" spans="1:9" x14ac:dyDescent="0.25">
      <c r="A866" t="s">
        <v>1990</v>
      </c>
      <c r="B866">
        <v>2</v>
      </c>
      <c r="C866">
        <v>0.62</v>
      </c>
      <c r="D866" t="s">
        <v>1992</v>
      </c>
      <c r="E866" t="s">
        <v>10</v>
      </c>
      <c r="F866" t="s">
        <v>11</v>
      </c>
      <c r="G866">
        <v>3.2258064516129035</v>
      </c>
      <c r="H866">
        <v>1.1711829815029453</v>
      </c>
      <c r="I866" t="s">
        <v>3536</v>
      </c>
    </row>
    <row r="867" spans="1:9" x14ac:dyDescent="0.25">
      <c r="A867" t="s">
        <v>1993</v>
      </c>
      <c r="B867">
        <v>2</v>
      </c>
      <c r="C867">
        <v>0.184</v>
      </c>
      <c r="D867" t="s">
        <v>611</v>
      </c>
      <c r="E867" t="s">
        <v>10</v>
      </c>
      <c r="F867" t="s">
        <v>11</v>
      </c>
      <c r="G867">
        <v>10.869565217391305</v>
      </c>
      <c r="H867">
        <v>2.3859667019330968</v>
      </c>
      <c r="I867" t="s">
        <v>3536</v>
      </c>
    </row>
    <row r="868" spans="1:9" x14ac:dyDescent="0.25">
      <c r="A868" t="s">
        <v>1995</v>
      </c>
      <c r="B868">
        <v>2</v>
      </c>
      <c r="C868">
        <v>1.4999999999999999E-2</v>
      </c>
      <c r="E868" t="s">
        <v>10</v>
      </c>
      <c r="F868" t="s">
        <v>11</v>
      </c>
      <c r="G868">
        <v>133.33333333333334</v>
      </c>
      <c r="H868">
        <v>4.8928522584398726</v>
      </c>
      <c r="I868" t="s">
        <v>3536</v>
      </c>
    </row>
    <row r="869" spans="1:9" x14ac:dyDescent="0.25">
      <c r="A869" t="s">
        <v>1997</v>
      </c>
      <c r="B869">
        <v>2</v>
      </c>
      <c r="C869">
        <v>0.254</v>
      </c>
      <c r="D869" t="s">
        <v>1998</v>
      </c>
      <c r="E869" t="s">
        <v>275</v>
      </c>
      <c r="F869" t="s">
        <v>21</v>
      </c>
      <c r="G869">
        <v>7.8740157480314963</v>
      </c>
      <c r="H869">
        <v>2.0635681925235456</v>
      </c>
      <c r="I869" t="s">
        <v>3536</v>
      </c>
    </row>
    <row r="870" spans="1:9" x14ac:dyDescent="0.25">
      <c r="A870" t="s">
        <v>1999</v>
      </c>
      <c r="B870">
        <v>2</v>
      </c>
      <c r="C870">
        <v>0.23300000000000001</v>
      </c>
      <c r="D870" t="s">
        <v>496</v>
      </c>
      <c r="E870" t="s">
        <v>10</v>
      </c>
      <c r="F870" t="s">
        <v>11</v>
      </c>
      <c r="G870">
        <v>8.5836909871244629</v>
      </c>
      <c r="H870">
        <v>2.1498640059763816</v>
      </c>
      <c r="I870" t="s">
        <v>3536</v>
      </c>
    </row>
    <row r="871" spans="1:9" x14ac:dyDescent="0.25">
      <c r="A871" t="s">
        <v>2001</v>
      </c>
      <c r="B871">
        <v>2</v>
      </c>
      <c r="C871">
        <v>0.311</v>
      </c>
      <c r="D871" t="s">
        <v>1927</v>
      </c>
      <c r="E871" t="s">
        <v>10</v>
      </c>
      <c r="F871" t="s">
        <v>11</v>
      </c>
      <c r="G871">
        <v>6.430868167202572</v>
      </c>
      <c r="H871">
        <v>1.8611095473628483</v>
      </c>
      <c r="I871" t="s">
        <v>3536</v>
      </c>
    </row>
    <row r="872" spans="1:9" x14ac:dyDescent="0.25">
      <c r="A872" t="s">
        <v>2002</v>
      </c>
      <c r="B872">
        <v>2</v>
      </c>
      <c r="C872">
        <v>0.19500000000000001</v>
      </c>
      <c r="D872" t="s">
        <v>2003</v>
      </c>
      <c r="E872" t="s">
        <v>10</v>
      </c>
      <c r="F872" t="s">
        <v>11</v>
      </c>
      <c r="G872">
        <v>10.256410256410255</v>
      </c>
      <c r="H872">
        <v>2.3279029009783354</v>
      </c>
      <c r="I872" t="s">
        <v>3536</v>
      </c>
    </row>
    <row r="873" spans="1:9" x14ac:dyDescent="0.25">
      <c r="A873" t="s">
        <v>2004</v>
      </c>
      <c r="B873">
        <v>2</v>
      </c>
      <c r="C873">
        <v>0.17499999999999999</v>
      </c>
      <c r="D873" t="s">
        <v>876</v>
      </c>
      <c r="E873" t="s">
        <v>10</v>
      </c>
      <c r="F873" t="s">
        <v>11</v>
      </c>
      <c r="G873">
        <v>11.428571428571429</v>
      </c>
      <c r="H873">
        <v>2.4361164856185682</v>
      </c>
      <c r="I873" t="s">
        <v>3536</v>
      </c>
    </row>
    <row r="874" spans="1:9" x14ac:dyDescent="0.25">
      <c r="A874" t="s">
        <v>2006</v>
      </c>
      <c r="B874">
        <v>2</v>
      </c>
      <c r="C874">
        <v>8.8999999999999996E-2</v>
      </c>
      <c r="D874" t="s">
        <v>1647</v>
      </c>
      <c r="E874" t="s">
        <v>10</v>
      </c>
      <c r="F874" t="s">
        <v>11</v>
      </c>
      <c r="G874">
        <v>22.471910112359552</v>
      </c>
      <c r="H874">
        <v>3.1122660898099426</v>
      </c>
      <c r="I874" t="s">
        <v>3536</v>
      </c>
    </row>
    <row r="875" spans="1:9" x14ac:dyDescent="0.25">
      <c r="A875" t="s">
        <v>2008</v>
      </c>
      <c r="B875">
        <v>2</v>
      </c>
      <c r="C875">
        <v>0.432</v>
      </c>
      <c r="D875" t="s">
        <v>1437</v>
      </c>
      <c r="E875" t="s">
        <v>44</v>
      </c>
      <c r="F875" t="s">
        <v>21</v>
      </c>
      <c r="G875">
        <v>4.6296296296296298</v>
      </c>
      <c r="H875">
        <v>1.5324768712979722</v>
      </c>
      <c r="I875" t="s">
        <v>3536</v>
      </c>
    </row>
    <row r="876" spans="1:9" x14ac:dyDescent="0.25">
      <c r="A876" t="s">
        <v>2009</v>
      </c>
      <c r="B876">
        <v>2</v>
      </c>
      <c r="C876">
        <v>0.38100000000000001</v>
      </c>
      <c r="D876" t="s">
        <v>254</v>
      </c>
      <c r="E876" t="s">
        <v>10</v>
      </c>
      <c r="F876" t="s">
        <v>11</v>
      </c>
      <c r="G876">
        <v>5.2493438320209975</v>
      </c>
      <c r="H876">
        <v>1.6581030844153815</v>
      </c>
      <c r="I876" t="s">
        <v>3536</v>
      </c>
    </row>
    <row r="877" spans="1:9" x14ac:dyDescent="0.25">
      <c r="A877" t="s">
        <v>2011</v>
      </c>
      <c r="B877">
        <v>2</v>
      </c>
      <c r="C877">
        <v>0.18099999999999999</v>
      </c>
      <c r="D877" t="s">
        <v>636</v>
      </c>
      <c r="E877" t="s">
        <v>10</v>
      </c>
      <c r="F877" t="s">
        <v>11</v>
      </c>
      <c r="G877">
        <v>11.049723756906078</v>
      </c>
      <c r="H877">
        <v>2.4024054282762566</v>
      </c>
      <c r="I877" t="s">
        <v>3536</v>
      </c>
    </row>
    <row r="878" spans="1:9" x14ac:dyDescent="0.25">
      <c r="A878" t="s">
        <v>2013</v>
      </c>
      <c r="B878">
        <v>2</v>
      </c>
      <c r="C878">
        <v>0.11899999999999999</v>
      </c>
      <c r="D878" t="s">
        <v>2014</v>
      </c>
      <c r="E878" t="s">
        <v>10</v>
      </c>
      <c r="F878" t="s">
        <v>11</v>
      </c>
      <c r="G878">
        <v>16.806722689075631</v>
      </c>
      <c r="H878">
        <v>2.821778966430553</v>
      </c>
      <c r="I878" t="s">
        <v>3536</v>
      </c>
    </row>
    <row r="879" spans="1:9" x14ac:dyDescent="0.25">
      <c r="A879" t="s">
        <v>2015</v>
      </c>
      <c r="B879">
        <v>2</v>
      </c>
      <c r="C879">
        <v>0.29899999999999999</v>
      </c>
      <c r="D879" t="s">
        <v>1542</v>
      </c>
      <c r="E879" t="s">
        <v>10</v>
      </c>
      <c r="F879" t="s">
        <v>11</v>
      </c>
      <c r="G879">
        <v>6.6889632107023411</v>
      </c>
      <c r="H879">
        <v>1.900458886151396</v>
      </c>
      <c r="I879" t="s">
        <v>3536</v>
      </c>
    </row>
    <row r="880" spans="1:9" x14ac:dyDescent="0.25">
      <c r="A880" t="s">
        <v>2016</v>
      </c>
      <c r="B880">
        <v>2</v>
      </c>
      <c r="C880">
        <v>0.17699999999999999</v>
      </c>
      <c r="D880" t="s">
        <v>2018</v>
      </c>
      <c r="E880" t="s">
        <v>319</v>
      </c>
      <c r="F880" t="s">
        <v>50</v>
      </c>
      <c r="G880">
        <v>11.299435028248588</v>
      </c>
      <c r="H880">
        <v>2.4247527269682534</v>
      </c>
      <c r="I880" t="s">
        <v>3536</v>
      </c>
    </row>
    <row r="881" spans="1:9" x14ac:dyDescent="0.25">
      <c r="A881" t="s">
        <v>2019</v>
      </c>
      <c r="B881">
        <v>2</v>
      </c>
      <c r="C881">
        <v>0.28999999999999998</v>
      </c>
      <c r="D881" t="s">
        <v>2021</v>
      </c>
      <c r="E881" t="s">
        <v>49</v>
      </c>
      <c r="F881" t="s">
        <v>50</v>
      </c>
      <c r="G881">
        <v>6.8965517241379315</v>
      </c>
      <c r="H881">
        <v>1.9310215365615626</v>
      </c>
      <c r="I881" t="s">
        <v>3536</v>
      </c>
    </row>
    <row r="882" spans="1:9" x14ac:dyDescent="0.25">
      <c r="A882" t="s">
        <v>2022</v>
      </c>
      <c r="B882">
        <v>2</v>
      </c>
      <c r="C882">
        <v>0.115</v>
      </c>
      <c r="D882" t="s">
        <v>2024</v>
      </c>
      <c r="E882" t="s">
        <v>10</v>
      </c>
      <c r="F882" t="s">
        <v>11</v>
      </c>
      <c r="G882">
        <v>17.391304347826086</v>
      </c>
      <c r="H882">
        <v>2.855970331178832</v>
      </c>
      <c r="I882" t="s">
        <v>3536</v>
      </c>
    </row>
    <row r="883" spans="1:9" x14ac:dyDescent="0.25">
      <c r="A883" t="s">
        <v>2025</v>
      </c>
      <c r="B883">
        <v>2</v>
      </c>
      <c r="C883">
        <v>0.32</v>
      </c>
      <c r="D883" t="s">
        <v>389</v>
      </c>
      <c r="E883" t="s">
        <v>554</v>
      </c>
      <c r="F883" t="s">
        <v>526</v>
      </c>
      <c r="G883">
        <v>6.25</v>
      </c>
      <c r="H883">
        <v>1.8325814637483102</v>
      </c>
      <c r="I883" t="s">
        <v>3536</v>
      </c>
    </row>
    <row r="884" spans="1:9" x14ac:dyDescent="0.25">
      <c r="A884" t="s">
        <v>2026</v>
      </c>
      <c r="B884">
        <v>2</v>
      </c>
      <c r="C884">
        <v>0.80200000000000005</v>
      </c>
      <c r="D884" t="s">
        <v>2027</v>
      </c>
      <c r="E884" t="s">
        <v>10</v>
      </c>
      <c r="F884" t="s">
        <v>11</v>
      </c>
      <c r="G884">
        <v>2.4937655860349124</v>
      </c>
      <c r="H884">
        <v>0.9137938516755677</v>
      </c>
      <c r="I884" t="s">
        <v>3536</v>
      </c>
    </row>
    <row r="885" spans="1:9" x14ac:dyDescent="0.25">
      <c r="A885" t="s">
        <v>2028</v>
      </c>
      <c r="B885">
        <v>2</v>
      </c>
      <c r="C885">
        <v>0.72499999999999998</v>
      </c>
      <c r="D885" t="s">
        <v>2029</v>
      </c>
      <c r="E885" t="s">
        <v>10</v>
      </c>
      <c r="F885" t="s">
        <v>11</v>
      </c>
      <c r="G885">
        <v>2.7586206896551726</v>
      </c>
      <c r="H885">
        <v>1.0147308046874077</v>
      </c>
      <c r="I885" t="s">
        <v>3536</v>
      </c>
    </row>
    <row r="886" spans="1:9" x14ac:dyDescent="0.25">
      <c r="A886" t="s">
        <v>2030</v>
      </c>
      <c r="B886">
        <v>2</v>
      </c>
      <c r="C886">
        <v>0.34</v>
      </c>
      <c r="D886" t="s">
        <v>2032</v>
      </c>
      <c r="E886" t="s">
        <v>652</v>
      </c>
      <c r="F886" t="s">
        <v>50</v>
      </c>
      <c r="G886">
        <v>5.8823529411764701</v>
      </c>
      <c r="H886">
        <v>1.7719568419318752</v>
      </c>
      <c r="I886" t="s">
        <v>3536</v>
      </c>
    </row>
    <row r="887" spans="1:9" x14ac:dyDescent="0.25">
      <c r="A887" t="s">
        <v>2033</v>
      </c>
      <c r="B887">
        <v>2</v>
      </c>
      <c r="C887">
        <v>0.245</v>
      </c>
      <c r="D887" t="s">
        <v>2035</v>
      </c>
      <c r="E887" t="s">
        <v>10</v>
      </c>
      <c r="F887" t="s">
        <v>11</v>
      </c>
      <c r="G887">
        <v>8.1632653061224492</v>
      </c>
      <c r="H887">
        <v>2.0996442489973552</v>
      </c>
      <c r="I887" t="s">
        <v>3536</v>
      </c>
    </row>
    <row r="888" spans="1:9" x14ac:dyDescent="0.25">
      <c r="A888" t="s">
        <v>2036</v>
      </c>
      <c r="B888">
        <v>2</v>
      </c>
      <c r="C888">
        <v>0.33100000000000002</v>
      </c>
      <c r="D888" t="s">
        <v>955</v>
      </c>
      <c r="E888" t="s">
        <v>10</v>
      </c>
      <c r="F888" t="s">
        <v>11</v>
      </c>
      <c r="G888">
        <v>6.0422960725075523</v>
      </c>
      <c r="H888">
        <v>1.7987840841650193</v>
      </c>
      <c r="I888" t="s">
        <v>3536</v>
      </c>
    </row>
    <row r="889" spans="1:9" x14ac:dyDescent="0.25">
      <c r="A889" t="s">
        <v>2038</v>
      </c>
      <c r="B889">
        <v>2</v>
      </c>
      <c r="C889">
        <v>0.313</v>
      </c>
      <c r="D889" t="s">
        <v>932</v>
      </c>
      <c r="E889" t="s">
        <v>10</v>
      </c>
      <c r="F889" t="s">
        <v>11</v>
      </c>
      <c r="G889">
        <v>6.3897763578274764</v>
      </c>
      <c r="H889">
        <v>1.8546992690019293</v>
      </c>
      <c r="I889" t="s">
        <v>3536</v>
      </c>
    </row>
    <row r="890" spans="1:9" x14ac:dyDescent="0.25">
      <c r="A890" t="s">
        <v>2040</v>
      </c>
      <c r="B890">
        <v>2</v>
      </c>
      <c r="C890">
        <v>0.183</v>
      </c>
      <c r="D890" t="s">
        <v>496</v>
      </c>
      <c r="E890" t="s">
        <v>10</v>
      </c>
      <c r="F890" t="s">
        <v>11</v>
      </c>
      <c r="G890">
        <v>10.928961748633879</v>
      </c>
      <c r="H890">
        <v>2.3914163067006613</v>
      </c>
      <c r="I890" t="s">
        <v>3536</v>
      </c>
    </row>
    <row r="891" spans="1:9" x14ac:dyDescent="0.25">
      <c r="A891" t="s">
        <v>2041</v>
      </c>
      <c r="B891">
        <v>2</v>
      </c>
      <c r="C891">
        <v>0.20300000000000001</v>
      </c>
      <c r="D891" t="s">
        <v>1526</v>
      </c>
      <c r="E891" t="s">
        <v>350</v>
      </c>
      <c r="F891" t="s">
        <v>21</v>
      </c>
      <c r="G891">
        <v>9.8522167487684715</v>
      </c>
      <c r="H891">
        <v>2.2876964805002951</v>
      </c>
      <c r="I891" t="s">
        <v>3536</v>
      </c>
    </row>
    <row r="892" spans="1:9" x14ac:dyDescent="0.25">
      <c r="A892" t="s">
        <v>2043</v>
      </c>
      <c r="B892">
        <v>2</v>
      </c>
      <c r="C892">
        <v>0.11700000000000001</v>
      </c>
      <c r="D892" t="s">
        <v>79</v>
      </c>
      <c r="E892" t="s">
        <v>10</v>
      </c>
      <c r="F892" t="s">
        <v>11</v>
      </c>
      <c r="G892">
        <v>17.094017094017094</v>
      </c>
      <c r="H892">
        <v>2.8387285247443264</v>
      </c>
      <c r="I892" t="s">
        <v>3536</v>
      </c>
    </row>
    <row r="893" spans="1:9" x14ac:dyDescent="0.25">
      <c r="A893" t="s">
        <v>2044</v>
      </c>
      <c r="B893">
        <v>2</v>
      </c>
      <c r="C893">
        <v>0.28499999999999998</v>
      </c>
      <c r="D893" t="s">
        <v>2046</v>
      </c>
      <c r="E893" t="s">
        <v>20</v>
      </c>
      <c r="F893" t="s">
        <v>21</v>
      </c>
      <c r="G893">
        <v>7.0175438596491233</v>
      </c>
      <c r="H893">
        <v>1.9484132792734319</v>
      </c>
      <c r="I893" t="s">
        <v>3536</v>
      </c>
    </row>
    <row r="894" spans="1:9" x14ac:dyDescent="0.25">
      <c r="A894" t="s">
        <v>2047</v>
      </c>
      <c r="B894">
        <v>2</v>
      </c>
      <c r="C894">
        <v>0.21199999999999999</v>
      </c>
      <c r="D894" t="s">
        <v>545</v>
      </c>
      <c r="E894" t="s">
        <v>44</v>
      </c>
      <c r="F894" t="s">
        <v>21</v>
      </c>
      <c r="G894">
        <v>9.433962264150944</v>
      </c>
      <c r="H894">
        <v>2.2443161848700699</v>
      </c>
      <c r="I894" t="s">
        <v>3536</v>
      </c>
    </row>
    <row r="895" spans="1:9" x14ac:dyDescent="0.25">
      <c r="A895" t="s">
        <v>2048</v>
      </c>
      <c r="B895">
        <v>2</v>
      </c>
      <c r="C895">
        <v>0.36099999999999999</v>
      </c>
      <c r="D895" t="s">
        <v>120</v>
      </c>
      <c r="E895" t="s">
        <v>10</v>
      </c>
      <c r="F895" t="s">
        <v>11</v>
      </c>
      <c r="G895">
        <v>5.54016620498615</v>
      </c>
      <c r="H895">
        <v>1.7120245012092015</v>
      </c>
      <c r="I895" t="s">
        <v>3536</v>
      </c>
    </row>
    <row r="896" spans="1:9" x14ac:dyDescent="0.25">
      <c r="A896" t="s">
        <v>2050</v>
      </c>
      <c r="B896">
        <v>2</v>
      </c>
      <c r="C896">
        <v>0.184</v>
      </c>
      <c r="D896" t="s">
        <v>2051</v>
      </c>
      <c r="E896" t="s">
        <v>350</v>
      </c>
      <c r="F896" t="s">
        <v>21</v>
      </c>
      <c r="G896">
        <v>10.869565217391305</v>
      </c>
      <c r="H896">
        <v>2.3859667019330968</v>
      </c>
      <c r="I896" t="s">
        <v>3536</v>
      </c>
    </row>
    <row r="897" spans="1:9" x14ac:dyDescent="0.25">
      <c r="A897" t="s">
        <v>2052</v>
      </c>
      <c r="B897">
        <v>2</v>
      </c>
      <c r="C897">
        <v>0.755</v>
      </c>
      <c r="D897" t="s">
        <v>2053</v>
      </c>
      <c r="E897" t="s">
        <v>20</v>
      </c>
      <c r="F897" t="s">
        <v>21</v>
      </c>
      <c r="G897">
        <v>2.6490066225165565</v>
      </c>
      <c r="H897">
        <v>0.97418471029305775</v>
      </c>
      <c r="I897" t="s">
        <v>3536</v>
      </c>
    </row>
    <row r="898" spans="1:9" x14ac:dyDescent="0.25">
      <c r="A898" t="s">
        <v>2054</v>
      </c>
      <c r="B898">
        <v>2</v>
      </c>
      <c r="C898">
        <v>0.433</v>
      </c>
      <c r="D898" t="s">
        <v>2055</v>
      </c>
      <c r="E898" t="s">
        <v>2056</v>
      </c>
      <c r="F898" t="s">
        <v>526</v>
      </c>
      <c r="G898">
        <v>4.6189376443418011</v>
      </c>
      <c r="H898">
        <v>1.5301647315395925</v>
      </c>
      <c r="I898" t="s">
        <v>3536</v>
      </c>
    </row>
    <row r="899" spans="1:9" x14ac:dyDescent="0.25">
      <c r="A899" t="s">
        <v>2057</v>
      </c>
      <c r="B899">
        <v>2</v>
      </c>
      <c r="C899">
        <v>0.253</v>
      </c>
      <c r="D899" t="s">
        <v>66</v>
      </c>
      <c r="E899" t="s">
        <v>10</v>
      </c>
      <c r="F899" t="s">
        <v>11</v>
      </c>
      <c r="G899">
        <v>7.9051383399209483</v>
      </c>
      <c r="H899">
        <v>2.0675129708145619</v>
      </c>
      <c r="I899" t="s">
        <v>3536</v>
      </c>
    </row>
    <row r="900" spans="1:9" x14ac:dyDescent="0.25">
      <c r="A900" t="s">
        <v>2058</v>
      </c>
      <c r="B900">
        <v>2</v>
      </c>
      <c r="C900">
        <v>1.4999999999999999E-4</v>
      </c>
      <c r="D900" t="s">
        <v>2060</v>
      </c>
      <c r="E900" t="s">
        <v>10</v>
      </c>
      <c r="F900" t="s">
        <v>11</v>
      </c>
      <c r="G900">
        <v>13333.333333333334</v>
      </c>
      <c r="H900">
        <v>9.4980224444279635</v>
      </c>
      <c r="I900" t="s">
        <v>3536</v>
      </c>
    </row>
    <row r="901" spans="1:9" x14ac:dyDescent="0.25">
      <c r="A901" t="s">
        <v>2061</v>
      </c>
      <c r="B901">
        <v>2</v>
      </c>
      <c r="C901">
        <v>0.25700000000000001</v>
      </c>
      <c r="D901" t="s">
        <v>2063</v>
      </c>
      <c r="E901" t="s">
        <v>62</v>
      </c>
      <c r="F901" t="s">
        <v>63</v>
      </c>
      <c r="G901">
        <v>7.782101167315175</v>
      </c>
      <c r="H901">
        <v>2.0518263746468626</v>
      </c>
      <c r="I901" t="s">
        <v>3536</v>
      </c>
    </row>
    <row r="902" spans="1:9" x14ac:dyDescent="0.25">
      <c r="A902" t="s">
        <v>2064</v>
      </c>
      <c r="B902">
        <v>2</v>
      </c>
      <c r="C902">
        <v>0.43099999999999999</v>
      </c>
      <c r="D902" t="s">
        <v>209</v>
      </c>
      <c r="E902" t="s">
        <v>10</v>
      </c>
      <c r="F902" t="s">
        <v>11</v>
      </c>
      <c r="G902">
        <v>4.6403712296983759</v>
      </c>
      <c r="H902">
        <v>1.5347943694383346</v>
      </c>
      <c r="I902" t="s">
        <v>3536</v>
      </c>
    </row>
    <row r="903" spans="1:9" x14ac:dyDescent="0.25">
      <c r="A903" t="s">
        <v>2065</v>
      </c>
      <c r="B903">
        <v>2</v>
      </c>
      <c r="C903">
        <v>0.59299999999999997</v>
      </c>
      <c r="D903" t="s">
        <v>578</v>
      </c>
      <c r="E903" t="s">
        <v>20</v>
      </c>
      <c r="F903" t="s">
        <v>21</v>
      </c>
      <c r="G903">
        <v>3.3726812816188874</v>
      </c>
      <c r="H903">
        <v>1.2157080605443571</v>
      </c>
      <c r="I903" t="s">
        <v>3536</v>
      </c>
    </row>
    <row r="904" spans="1:9" x14ac:dyDescent="0.25">
      <c r="A904" t="s">
        <v>2066</v>
      </c>
      <c r="B904">
        <v>2</v>
      </c>
      <c r="C904">
        <v>0</v>
      </c>
      <c r="D904" t="s">
        <v>2067</v>
      </c>
      <c r="E904" t="s">
        <v>10</v>
      </c>
      <c r="F904" t="s">
        <v>11</v>
      </c>
      <c r="G904" t="s">
        <v>3535</v>
      </c>
      <c r="H904" t="s">
        <v>3535</v>
      </c>
      <c r="I904" t="s">
        <v>3537</v>
      </c>
    </row>
    <row r="905" spans="1:9" x14ac:dyDescent="0.25">
      <c r="A905" t="s">
        <v>2068</v>
      </c>
      <c r="B905">
        <v>2</v>
      </c>
      <c r="C905">
        <v>0.26700000000000002</v>
      </c>
      <c r="D905" t="s">
        <v>2070</v>
      </c>
      <c r="E905" t="s">
        <v>20</v>
      </c>
      <c r="F905" t="s">
        <v>21</v>
      </c>
      <c r="G905">
        <v>7.4906367041198498</v>
      </c>
      <c r="H905">
        <v>2.0136538011418326</v>
      </c>
      <c r="I905" t="s">
        <v>3536</v>
      </c>
    </row>
    <row r="906" spans="1:9" x14ac:dyDescent="0.25">
      <c r="A906" t="s">
        <v>2071</v>
      </c>
      <c r="B906">
        <v>2</v>
      </c>
      <c r="C906">
        <v>0.29399999999999998</v>
      </c>
      <c r="D906" t="s">
        <v>254</v>
      </c>
      <c r="E906" t="s">
        <v>10</v>
      </c>
      <c r="F906" t="s">
        <v>11</v>
      </c>
      <c r="G906">
        <v>6.8027210884353746</v>
      </c>
      <c r="H906">
        <v>1.9173226922034008</v>
      </c>
      <c r="I906" t="s">
        <v>3536</v>
      </c>
    </row>
    <row r="907" spans="1:9" x14ac:dyDescent="0.25">
      <c r="A907" t="s">
        <v>2072</v>
      </c>
      <c r="B907">
        <v>2</v>
      </c>
      <c r="C907">
        <v>0.36799999999999999</v>
      </c>
      <c r="D907" t="s">
        <v>576</v>
      </c>
      <c r="E907" t="s">
        <v>20</v>
      </c>
      <c r="F907" t="s">
        <v>21</v>
      </c>
      <c r="G907">
        <v>5.4347826086956523</v>
      </c>
      <c r="H907">
        <v>1.6928195213731514</v>
      </c>
      <c r="I907" t="s">
        <v>3536</v>
      </c>
    </row>
    <row r="908" spans="1:9" x14ac:dyDescent="0.25">
      <c r="A908" t="s">
        <v>2073</v>
      </c>
      <c r="B908">
        <v>2</v>
      </c>
      <c r="C908">
        <v>0.55300000000000005</v>
      </c>
      <c r="D908" t="s">
        <v>1228</v>
      </c>
      <c r="E908" t="s">
        <v>44</v>
      </c>
      <c r="F908" t="s">
        <v>21</v>
      </c>
      <c r="G908">
        <v>3.6166365280289328</v>
      </c>
      <c r="H908">
        <v>1.2855444580197475</v>
      </c>
      <c r="I908" t="s">
        <v>3536</v>
      </c>
    </row>
    <row r="909" spans="1:9" x14ac:dyDescent="0.25">
      <c r="A909" t="s">
        <v>2074</v>
      </c>
      <c r="B909">
        <v>2</v>
      </c>
      <c r="C909">
        <v>0.54</v>
      </c>
      <c r="D909" t="s">
        <v>2076</v>
      </c>
      <c r="E909" t="s">
        <v>10</v>
      </c>
      <c r="F909" t="s">
        <v>11</v>
      </c>
      <c r="G909">
        <v>3.7037037037037033</v>
      </c>
      <c r="H909">
        <v>1.3093333199837622</v>
      </c>
      <c r="I909" t="s">
        <v>3536</v>
      </c>
    </row>
    <row r="910" spans="1:9" x14ac:dyDescent="0.25">
      <c r="A910" t="s">
        <v>2077</v>
      </c>
      <c r="B910">
        <v>2</v>
      </c>
      <c r="C910">
        <v>7.3999999999999996E-2</v>
      </c>
      <c r="D910" t="s">
        <v>409</v>
      </c>
      <c r="E910" t="s">
        <v>10</v>
      </c>
      <c r="F910" t="s">
        <v>11</v>
      </c>
      <c r="G910">
        <v>27.027027027027028</v>
      </c>
      <c r="H910">
        <v>3.2968373663379125</v>
      </c>
      <c r="I910" t="s">
        <v>3536</v>
      </c>
    </row>
    <row r="911" spans="1:9" x14ac:dyDescent="0.25">
      <c r="A911" t="s">
        <v>2079</v>
      </c>
      <c r="B911">
        <v>2</v>
      </c>
      <c r="C911">
        <v>0.19</v>
      </c>
      <c r="D911" t="s">
        <v>177</v>
      </c>
      <c r="E911" t="s">
        <v>10</v>
      </c>
      <c r="F911" t="s">
        <v>11</v>
      </c>
      <c r="G911">
        <v>10.526315789473685</v>
      </c>
      <c r="H911">
        <v>2.3538783873815965</v>
      </c>
      <c r="I911" t="s">
        <v>3536</v>
      </c>
    </row>
    <row r="912" spans="1:9" x14ac:dyDescent="0.25">
      <c r="A912" t="s">
        <v>2080</v>
      </c>
      <c r="B912">
        <v>2</v>
      </c>
      <c r="C912">
        <v>0.28000000000000003</v>
      </c>
      <c r="D912" t="s">
        <v>2082</v>
      </c>
      <c r="E912" t="s">
        <v>554</v>
      </c>
      <c r="F912" t="s">
        <v>526</v>
      </c>
      <c r="G912">
        <v>7.1428571428571423</v>
      </c>
      <c r="H912">
        <v>1.9661128563728327</v>
      </c>
      <c r="I912" t="s">
        <v>3536</v>
      </c>
    </row>
    <row r="913" spans="1:9" x14ac:dyDescent="0.25">
      <c r="A913" t="s">
        <v>2083</v>
      </c>
      <c r="B913">
        <v>2</v>
      </c>
      <c r="C913">
        <v>0.29599999999999999</v>
      </c>
      <c r="D913" t="s">
        <v>2085</v>
      </c>
      <c r="E913" t="s">
        <v>350</v>
      </c>
      <c r="F913" t="s">
        <v>21</v>
      </c>
      <c r="G913">
        <v>6.756756756756757</v>
      </c>
      <c r="H913">
        <v>1.9105430052180221</v>
      </c>
      <c r="I913" t="s">
        <v>3536</v>
      </c>
    </row>
    <row r="914" spans="1:9" x14ac:dyDescent="0.25">
      <c r="A914" t="s">
        <v>2086</v>
      </c>
      <c r="B914">
        <v>2</v>
      </c>
      <c r="C914">
        <v>0.121</v>
      </c>
      <c r="D914" t="s">
        <v>2087</v>
      </c>
      <c r="E914" t="s">
        <v>49</v>
      </c>
      <c r="F914" t="s">
        <v>50</v>
      </c>
      <c r="G914">
        <v>16.528925619834713</v>
      </c>
      <c r="H914">
        <v>2.8051119139453413</v>
      </c>
      <c r="I914" t="s">
        <v>3536</v>
      </c>
    </row>
    <row r="915" spans="1:9" x14ac:dyDescent="0.25">
      <c r="A915" t="s">
        <v>2088</v>
      </c>
      <c r="B915">
        <v>2</v>
      </c>
      <c r="C915">
        <v>0.28999999999999998</v>
      </c>
      <c r="D915" t="s">
        <v>984</v>
      </c>
      <c r="E915" t="s">
        <v>49</v>
      </c>
      <c r="F915" t="s">
        <v>50</v>
      </c>
      <c r="G915">
        <v>6.8965517241379315</v>
      </c>
      <c r="H915">
        <v>1.9310215365615626</v>
      </c>
      <c r="I915" t="s">
        <v>3536</v>
      </c>
    </row>
    <row r="916" spans="1:9" x14ac:dyDescent="0.25">
      <c r="A916" t="s">
        <v>2089</v>
      </c>
      <c r="B916">
        <v>2</v>
      </c>
      <c r="C916">
        <v>0.13100000000000001</v>
      </c>
      <c r="D916" t="s">
        <v>496</v>
      </c>
      <c r="E916" t="s">
        <v>365</v>
      </c>
      <c r="F916" t="s">
        <v>11</v>
      </c>
      <c r="G916">
        <v>15.267175572519083</v>
      </c>
      <c r="H916">
        <v>2.7257051363409306</v>
      </c>
      <c r="I916" t="s">
        <v>3536</v>
      </c>
    </row>
    <row r="917" spans="1:9" x14ac:dyDescent="0.25">
      <c r="A917" t="s">
        <v>2091</v>
      </c>
      <c r="B917">
        <v>2</v>
      </c>
      <c r="C917">
        <v>1</v>
      </c>
      <c r="D917" t="s">
        <v>2092</v>
      </c>
      <c r="E917" t="s">
        <v>10</v>
      </c>
      <c r="F917" t="s">
        <v>11</v>
      </c>
      <c r="G917">
        <v>2</v>
      </c>
      <c r="H917">
        <v>0.69314718055994529</v>
      </c>
      <c r="I917" t="s">
        <v>3536</v>
      </c>
    </row>
    <row r="918" spans="1:9" x14ac:dyDescent="0.25">
      <c r="A918" t="s">
        <v>2093</v>
      </c>
      <c r="B918">
        <v>2</v>
      </c>
      <c r="C918">
        <v>0.435</v>
      </c>
      <c r="D918" t="s">
        <v>2095</v>
      </c>
      <c r="E918" t="s">
        <v>20</v>
      </c>
      <c r="F918" t="s">
        <v>21</v>
      </c>
      <c r="G918">
        <v>4.5977011494252871</v>
      </c>
      <c r="H918">
        <v>1.5255564284533982</v>
      </c>
      <c r="I918" t="s">
        <v>3536</v>
      </c>
    </row>
    <row r="919" spans="1:9" x14ac:dyDescent="0.25">
      <c r="A919" t="s">
        <v>2096</v>
      </c>
      <c r="B919">
        <v>2</v>
      </c>
      <c r="C919">
        <v>0.14199999999999999</v>
      </c>
      <c r="D919" t="s">
        <v>2098</v>
      </c>
      <c r="E919" t="s">
        <v>10</v>
      </c>
      <c r="F919" t="s">
        <v>11</v>
      </c>
      <c r="G919">
        <v>14.084507042253522</v>
      </c>
      <c r="H919">
        <v>2.6450754019408218</v>
      </c>
      <c r="I919" t="s">
        <v>3536</v>
      </c>
    </row>
    <row r="920" spans="1:9" x14ac:dyDescent="0.25">
      <c r="A920" t="s">
        <v>2099</v>
      </c>
      <c r="B920">
        <v>2</v>
      </c>
      <c r="C920">
        <v>0.622</v>
      </c>
      <c r="D920" t="s">
        <v>2101</v>
      </c>
      <c r="E920" t="s">
        <v>10</v>
      </c>
      <c r="F920" t="s">
        <v>11</v>
      </c>
      <c r="G920">
        <v>3.215434083601286</v>
      </c>
      <c r="H920">
        <v>1.1679623668029029</v>
      </c>
      <c r="I920" t="s">
        <v>3536</v>
      </c>
    </row>
    <row r="921" spans="1:9" x14ac:dyDescent="0.25">
      <c r="A921" t="s">
        <v>2102</v>
      </c>
      <c r="B921">
        <v>2</v>
      </c>
      <c r="C921">
        <v>0.39300000000000002</v>
      </c>
      <c r="D921" t="s">
        <v>2104</v>
      </c>
      <c r="E921" t="s">
        <v>10</v>
      </c>
      <c r="F921" t="s">
        <v>11</v>
      </c>
      <c r="G921">
        <v>5.0890585241730282</v>
      </c>
      <c r="H921">
        <v>1.6270928476728213</v>
      </c>
      <c r="I921" t="s">
        <v>3536</v>
      </c>
    </row>
    <row r="922" spans="1:9" x14ac:dyDescent="0.25">
      <c r="A922" t="s">
        <v>2105</v>
      </c>
      <c r="B922">
        <v>2</v>
      </c>
      <c r="C922">
        <v>0.64700000000000002</v>
      </c>
      <c r="D922" t="s">
        <v>2106</v>
      </c>
      <c r="E922" t="s">
        <v>10</v>
      </c>
      <c r="F922" t="s">
        <v>11</v>
      </c>
      <c r="G922">
        <v>3.0911901081916535</v>
      </c>
      <c r="H922">
        <v>1.1285561650411817</v>
      </c>
      <c r="I922" t="s">
        <v>3536</v>
      </c>
    </row>
    <row r="923" spans="1:9" x14ac:dyDescent="0.25">
      <c r="A923" t="s">
        <v>2107</v>
      </c>
      <c r="B923">
        <v>2</v>
      </c>
      <c r="C923">
        <v>0.40500000000000003</v>
      </c>
      <c r="D923" t="s">
        <v>2108</v>
      </c>
      <c r="E923" t="s">
        <v>10</v>
      </c>
      <c r="F923" t="s">
        <v>11</v>
      </c>
      <c r="G923">
        <v>4.9382716049382713</v>
      </c>
      <c r="H923">
        <v>1.5970153924355432</v>
      </c>
      <c r="I923" t="s">
        <v>3536</v>
      </c>
    </row>
    <row r="924" spans="1:9" x14ac:dyDescent="0.25">
      <c r="A924" t="s">
        <v>2109</v>
      </c>
      <c r="B924">
        <v>2</v>
      </c>
      <c r="C924">
        <v>0.307</v>
      </c>
      <c r="D924" t="s">
        <v>66</v>
      </c>
      <c r="E924" t="s">
        <v>44</v>
      </c>
      <c r="F924" t="s">
        <v>21</v>
      </c>
      <c r="G924">
        <v>6.5146579804560263</v>
      </c>
      <c r="H924">
        <v>1.8740547119548852</v>
      </c>
      <c r="I924" t="s">
        <v>3536</v>
      </c>
    </row>
    <row r="925" spans="1:9" x14ac:dyDescent="0.25">
      <c r="A925" t="s">
        <v>2110</v>
      </c>
      <c r="B925">
        <v>2</v>
      </c>
      <c r="C925">
        <v>0.26800000000000002</v>
      </c>
      <c r="D925" t="s">
        <v>2111</v>
      </c>
      <c r="E925" t="s">
        <v>10</v>
      </c>
      <c r="F925" t="s">
        <v>11</v>
      </c>
      <c r="G925">
        <v>7.4626865671641784</v>
      </c>
      <c r="H925">
        <v>2.0099154790312257</v>
      </c>
      <c r="I925" t="s">
        <v>3536</v>
      </c>
    </row>
    <row r="926" spans="1:9" x14ac:dyDescent="0.25">
      <c r="A926" t="s">
        <v>2112</v>
      </c>
      <c r="B926">
        <v>2</v>
      </c>
      <c r="C926">
        <v>0.19400000000000001</v>
      </c>
      <c r="D926" t="s">
        <v>2113</v>
      </c>
      <c r="E926" t="s">
        <v>2114</v>
      </c>
      <c r="F926" t="s">
        <v>526</v>
      </c>
      <c r="G926">
        <v>10.309278350515463</v>
      </c>
      <c r="H926">
        <v>2.333044300478754</v>
      </c>
      <c r="I926" t="s">
        <v>3536</v>
      </c>
    </row>
    <row r="927" spans="1:9" x14ac:dyDescent="0.25">
      <c r="A927" t="s">
        <v>2115</v>
      </c>
      <c r="B927">
        <v>2</v>
      </c>
      <c r="C927">
        <v>0.23499999999999999</v>
      </c>
      <c r="D927" t="s">
        <v>2116</v>
      </c>
      <c r="E927" t="s">
        <v>44</v>
      </c>
      <c r="F927" t="s">
        <v>21</v>
      </c>
      <c r="G927">
        <v>8.5106382978723403</v>
      </c>
      <c r="H927">
        <v>2.1413169453979233</v>
      </c>
      <c r="I927" t="s">
        <v>3536</v>
      </c>
    </row>
    <row r="928" spans="1:9" x14ac:dyDescent="0.25">
      <c r="A928" t="s">
        <v>2117</v>
      </c>
      <c r="B928">
        <v>2</v>
      </c>
      <c r="C928">
        <v>6.5000000000000002E-2</v>
      </c>
      <c r="D928" t="s">
        <v>469</v>
      </c>
      <c r="E928" t="s">
        <v>10</v>
      </c>
      <c r="F928" t="s">
        <v>11</v>
      </c>
      <c r="G928">
        <v>30.769230769230766</v>
      </c>
      <c r="H928">
        <v>3.426515189646445</v>
      </c>
      <c r="I928" t="s">
        <v>3536</v>
      </c>
    </row>
    <row r="929" spans="1:9" x14ac:dyDescent="0.25">
      <c r="A929" t="s">
        <v>2119</v>
      </c>
      <c r="B929">
        <v>2</v>
      </c>
      <c r="C929">
        <v>0</v>
      </c>
      <c r="E929" t="s">
        <v>10</v>
      </c>
      <c r="F929" t="s">
        <v>11</v>
      </c>
      <c r="G929" t="s">
        <v>3535</v>
      </c>
      <c r="H929" t="s">
        <v>3535</v>
      </c>
      <c r="I929" t="s">
        <v>3537</v>
      </c>
    </row>
    <row r="930" spans="1:9" x14ac:dyDescent="0.25">
      <c r="A930" t="s">
        <v>2120</v>
      </c>
      <c r="B930">
        <v>2</v>
      </c>
      <c r="C930">
        <v>0.30299999999999999</v>
      </c>
      <c r="D930" t="s">
        <v>1779</v>
      </c>
      <c r="E930" t="s">
        <v>10</v>
      </c>
      <c r="F930" t="s">
        <v>11</v>
      </c>
      <c r="G930">
        <v>6.6006600660066006</v>
      </c>
      <c r="H930">
        <v>1.8871696540327132</v>
      </c>
      <c r="I930" t="s">
        <v>3536</v>
      </c>
    </row>
    <row r="931" spans="1:9" x14ac:dyDescent="0.25">
      <c r="A931" t="s">
        <v>2121</v>
      </c>
      <c r="B931">
        <v>2</v>
      </c>
      <c r="C931">
        <v>0.18</v>
      </c>
      <c r="D931" t="s">
        <v>2122</v>
      </c>
      <c r="E931" t="s">
        <v>10</v>
      </c>
      <c r="F931" t="s">
        <v>11</v>
      </c>
      <c r="G931">
        <v>11.111111111111111</v>
      </c>
      <c r="H931">
        <v>2.4079456086518718</v>
      </c>
      <c r="I931" t="s">
        <v>3536</v>
      </c>
    </row>
    <row r="932" spans="1:9" x14ac:dyDescent="0.25">
      <c r="A932" t="s">
        <v>2123</v>
      </c>
      <c r="B932">
        <v>2</v>
      </c>
      <c r="C932">
        <v>0.25700000000000001</v>
      </c>
      <c r="D932" t="s">
        <v>2104</v>
      </c>
      <c r="E932" t="s">
        <v>10</v>
      </c>
      <c r="F932" t="s">
        <v>11</v>
      </c>
      <c r="G932">
        <v>7.782101167315175</v>
      </c>
      <c r="H932">
        <v>2.0518263746468626</v>
      </c>
      <c r="I932" t="s">
        <v>3536</v>
      </c>
    </row>
    <row r="933" spans="1:9" x14ac:dyDescent="0.25">
      <c r="A933" t="s">
        <v>2124</v>
      </c>
      <c r="B933">
        <v>1</v>
      </c>
      <c r="C933">
        <v>0.83</v>
      </c>
      <c r="D933" t="s">
        <v>2125</v>
      </c>
      <c r="E933" t="s">
        <v>170</v>
      </c>
      <c r="F933" t="s">
        <v>50</v>
      </c>
      <c r="G933">
        <v>1.2048192771084338</v>
      </c>
      <c r="H933">
        <v>0.18632957819149354</v>
      </c>
      <c r="I933" t="s">
        <v>3536</v>
      </c>
    </row>
    <row r="934" spans="1:9" x14ac:dyDescent="0.25">
      <c r="A934" t="s">
        <v>2126</v>
      </c>
      <c r="B934">
        <v>1</v>
      </c>
      <c r="C934">
        <v>0.38900000000000001</v>
      </c>
      <c r="D934" t="s">
        <v>2127</v>
      </c>
      <c r="E934" t="s">
        <v>365</v>
      </c>
      <c r="F934" t="s">
        <v>11</v>
      </c>
      <c r="G934">
        <v>2.5706940874035991</v>
      </c>
      <c r="H934">
        <v>0.94417593536369082</v>
      </c>
      <c r="I934" t="s">
        <v>3536</v>
      </c>
    </row>
    <row r="935" spans="1:9" x14ac:dyDescent="0.25">
      <c r="A935" t="s">
        <v>2128</v>
      </c>
      <c r="B935">
        <v>1</v>
      </c>
      <c r="C935">
        <v>0.106</v>
      </c>
      <c r="D935" t="s">
        <v>2130</v>
      </c>
      <c r="E935" t="s">
        <v>20</v>
      </c>
      <c r="F935" t="s">
        <v>21</v>
      </c>
      <c r="G935">
        <v>9.433962264150944</v>
      </c>
      <c r="H935">
        <v>2.2443161848700699</v>
      </c>
      <c r="I935" t="s">
        <v>3536</v>
      </c>
    </row>
    <row r="936" spans="1:9" x14ac:dyDescent="0.25">
      <c r="A936" t="s">
        <v>2131</v>
      </c>
      <c r="B936">
        <v>1</v>
      </c>
      <c r="C936">
        <v>0.28599999999999998</v>
      </c>
      <c r="D936" t="s">
        <v>29</v>
      </c>
      <c r="E936" t="s">
        <v>20</v>
      </c>
      <c r="F936" t="s">
        <v>21</v>
      </c>
      <c r="G936">
        <v>3.4965034965034967</v>
      </c>
      <c r="H936">
        <v>1.2517634681622845</v>
      </c>
      <c r="I936" t="s">
        <v>3536</v>
      </c>
    </row>
    <row r="937" spans="1:9" x14ac:dyDescent="0.25">
      <c r="A937" t="s">
        <v>2132</v>
      </c>
      <c r="B937">
        <v>1</v>
      </c>
      <c r="C937">
        <v>0.65500000000000003</v>
      </c>
      <c r="D937" t="s">
        <v>2134</v>
      </c>
      <c r="E937" t="s">
        <v>20</v>
      </c>
      <c r="F937" t="s">
        <v>21</v>
      </c>
      <c r="G937">
        <v>1.5267175572519083</v>
      </c>
      <c r="H937">
        <v>0.42312004334688508</v>
      </c>
      <c r="I937" t="s">
        <v>3536</v>
      </c>
    </row>
    <row r="938" spans="1:9" x14ac:dyDescent="0.25">
      <c r="A938" t="s">
        <v>2135</v>
      </c>
      <c r="B938">
        <v>1</v>
      </c>
      <c r="C938">
        <v>0.19900000000000001</v>
      </c>
      <c r="D938" t="s">
        <v>2136</v>
      </c>
      <c r="E938" t="s">
        <v>20</v>
      </c>
      <c r="F938" t="s">
        <v>21</v>
      </c>
      <c r="G938">
        <v>5.0251256281407031</v>
      </c>
      <c r="H938">
        <v>1.6144504542576446</v>
      </c>
      <c r="I938" t="s">
        <v>3536</v>
      </c>
    </row>
    <row r="939" spans="1:9" x14ac:dyDescent="0.25">
      <c r="A939" t="s">
        <v>2137</v>
      </c>
      <c r="B939">
        <v>1</v>
      </c>
      <c r="C939">
        <v>0.17699999999999999</v>
      </c>
      <c r="E939" t="s">
        <v>20</v>
      </c>
      <c r="F939" t="s">
        <v>21</v>
      </c>
      <c r="G939">
        <v>5.6497175141242941</v>
      </c>
      <c r="H939">
        <v>1.731605546408308</v>
      </c>
      <c r="I939" t="s">
        <v>3536</v>
      </c>
    </row>
    <row r="940" spans="1:9" x14ac:dyDescent="0.25">
      <c r="A940" t="s">
        <v>2138</v>
      </c>
      <c r="B940">
        <v>1</v>
      </c>
      <c r="C940">
        <v>0.629</v>
      </c>
      <c r="D940" t="s">
        <v>2140</v>
      </c>
      <c r="E940" t="s">
        <v>20</v>
      </c>
      <c r="F940" t="s">
        <v>21</v>
      </c>
      <c r="G940">
        <v>1.589825119236884</v>
      </c>
      <c r="H940">
        <v>0.46362402228169652</v>
      </c>
      <c r="I940" t="s">
        <v>3536</v>
      </c>
    </row>
    <row r="941" spans="1:9" x14ac:dyDescent="0.25">
      <c r="A941" t="s">
        <v>2141</v>
      </c>
      <c r="B941">
        <v>1</v>
      </c>
      <c r="C941">
        <v>0.17</v>
      </c>
      <c r="D941" t="s">
        <v>531</v>
      </c>
      <c r="E941" t="s">
        <v>10</v>
      </c>
      <c r="F941" t="s">
        <v>11</v>
      </c>
      <c r="G941">
        <v>5.8823529411764701</v>
      </c>
      <c r="H941">
        <v>1.7719568419318752</v>
      </c>
      <c r="I941" t="s">
        <v>3536</v>
      </c>
    </row>
    <row r="942" spans="1:9" x14ac:dyDescent="0.25">
      <c r="A942" t="s">
        <v>2142</v>
      </c>
      <c r="B942">
        <v>1</v>
      </c>
      <c r="C942">
        <v>0.99299999999999999</v>
      </c>
      <c r="D942" t="s">
        <v>2144</v>
      </c>
      <c r="E942" t="s">
        <v>1195</v>
      </c>
      <c r="F942" t="s">
        <v>50</v>
      </c>
      <c r="G942">
        <v>1.0070493454179255</v>
      </c>
      <c r="H942">
        <v>7.0246149369644385E-3</v>
      </c>
      <c r="I942" t="s">
        <v>3536</v>
      </c>
    </row>
    <row r="943" spans="1:9" x14ac:dyDescent="0.25">
      <c r="A943" t="s">
        <v>2145</v>
      </c>
      <c r="B943">
        <v>1</v>
      </c>
      <c r="C943">
        <v>0.33</v>
      </c>
      <c r="D943" t="s">
        <v>2146</v>
      </c>
      <c r="E943" t="s">
        <v>20</v>
      </c>
      <c r="F943" t="s">
        <v>21</v>
      </c>
      <c r="G943">
        <v>3.0303030303030303</v>
      </c>
      <c r="H943">
        <v>1.1086626245216111</v>
      </c>
      <c r="I943" t="s">
        <v>3536</v>
      </c>
    </row>
    <row r="944" spans="1:9" x14ac:dyDescent="0.25">
      <c r="A944" t="s">
        <v>2147</v>
      </c>
      <c r="B944">
        <v>1</v>
      </c>
      <c r="C944">
        <v>0.46800000000000003</v>
      </c>
      <c r="E944" t="s">
        <v>20</v>
      </c>
      <c r="F944" t="s">
        <v>21</v>
      </c>
      <c r="G944">
        <v>2.1367521367521367</v>
      </c>
      <c r="H944">
        <v>0.75928698306449027</v>
      </c>
      <c r="I944" t="s">
        <v>3536</v>
      </c>
    </row>
    <row r="945" spans="1:9" x14ac:dyDescent="0.25">
      <c r="A945" t="s">
        <v>2148</v>
      </c>
      <c r="B945">
        <v>1</v>
      </c>
      <c r="C945">
        <v>0.35099999999999998</v>
      </c>
      <c r="D945" t="s">
        <v>2149</v>
      </c>
      <c r="E945" t="s">
        <v>20</v>
      </c>
      <c r="F945" t="s">
        <v>21</v>
      </c>
      <c r="G945">
        <v>2.8490028490028494</v>
      </c>
      <c r="H945">
        <v>1.0469690555162714</v>
      </c>
      <c r="I945" t="s">
        <v>3536</v>
      </c>
    </row>
    <row r="946" spans="1:9" x14ac:dyDescent="0.25">
      <c r="A946" t="s">
        <v>2150</v>
      </c>
      <c r="B946">
        <v>1</v>
      </c>
      <c r="C946">
        <v>0.45900000000000002</v>
      </c>
      <c r="D946" t="s">
        <v>2151</v>
      </c>
      <c r="E946" t="s">
        <v>3541</v>
      </c>
      <c r="F946" t="s">
        <v>50</v>
      </c>
      <c r="G946">
        <v>2.1786492374727668</v>
      </c>
      <c r="H946">
        <v>0.77870506892159186</v>
      </c>
      <c r="I946" t="s">
        <v>3536</v>
      </c>
    </row>
    <row r="947" spans="1:9" x14ac:dyDescent="0.25">
      <c r="A947" t="s">
        <v>2152</v>
      </c>
      <c r="B947">
        <v>1</v>
      </c>
      <c r="C947">
        <v>0.36399999999999999</v>
      </c>
      <c r="D947" t="s">
        <v>496</v>
      </c>
      <c r="E947" t="s">
        <v>187</v>
      </c>
      <c r="F947" t="s">
        <v>50</v>
      </c>
      <c r="G947">
        <v>2.7472527472527473</v>
      </c>
      <c r="H947">
        <v>1.0106014113453965</v>
      </c>
      <c r="I947" t="s">
        <v>3536</v>
      </c>
    </row>
    <row r="948" spans="1:9" x14ac:dyDescent="0.25">
      <c r="A948" t="s">
        <v>2154</v>
      </c>
      <c r="B948">
        <v>1</v>
      </c>
      <c r="C948">
        <v>0.16500000000000001</v>
      </c>
      <c r="D948" t="s">
        <v>2156</v>
      </c>
      <c r="E948" t="s">
        <v>20</v>
      </c>
      <c r="F948" t="s">
        <v>21</v>
      </c>
      <c r="G948">
        <v>6.0606060606060606</v>
      </c>
      <c r="H948">
        <v>1.8018098050815565</v>
      </c>
      <c r="I948" t="s">
        <v>3536</v>
      </c>
    </row>
    <row r="949" spans="1:9" x14ac:dyDescent="0.25">
      <c r="A949" t="s">
        <v>2157</v>
      </c>
      <c r="B949">
        <v>1</v>
      </c>
      <c r="C949">
        <v>0.41099999999999998</v>
      </c>
      <c r="D949" t="s">
        <v>2159</v>
      </c>
      <c r="E949" t="s">
        <v>20</v>
      </c>
      <c r="F949" t="s">
        <v>21</v>
      </c>
      <c r="G949">
        <v>2.4330900243309004</v>
      </c>
      <c r="H949">
        <v>0.88916206448590251</v>
      </c>
      <c r="I949" t="s">
        <v>3536</v>
      </c>
    </row>
    <row r="950" spans="1:9" x14ac:dyDescent="0.25">
      <c r="A950" t="s">
        <v>2160</v>
      </c>
      <c r="B950">
        <v>1</v>
      </c>
      <c r="C950">
        <v>0.47399999999999998</v>
      </c>
      <c r="D950" t="s">
        <v>2161</v>
      </c>
      <c r="E950" t="s">
        <v>20</v>
      </c>
      <c r="F950" t="s">
        <v>21</v>
      </c>
      <c r="G950">
        <v>2.109704641350211</v>
      </c>
      <c r="H950">
        <v>0.74654795728706058</v>
      </c>
      <c r="I950" t="s">
        <v>3536</v>
      </c>
    </row>
    <row r="951" spans="1:9" x14ac:dyDescent="0.25">
      <c r="A951" t="s">
        <v>2162</v>
      </c>
      <c r="B951">
        <v>1</v>
      </c>
      <c r="C951">
        <v>0.249</v>
      </c>
      <c r="D951" t="s">
        <v>2164</v>
      </c>
      <c r="E951" t="s">
        <v>10</v>
      </c>
      <c r="F951" t="s">
        <v>11</v>
      </c>
      <c r="G951">
        <v>4.0160642570281126</v>
      </c>
      <c r="H951">
        <v>1.3903023825174294</v>
      </c>
      <c r="I951" t="s">
        <v>3536</v>
      </c>
    </row>
    <row r="952" spans="1:9" x14ac:dyDescent="0.25">
      <c r="A952" t="s">
        <v>2165</v>
      </c>
      <c r="B952">
        <v>1</v>
      </c>
      <c r="C952">
        <v>0.32300000000000001</v>
      </c>
      <c r="D952" t="s">
        <v>254</v>
      </c>
      <c r="E952" t="s">
        <v>10</v>
      </c>
      <c r="F952" t="s">
        <v>11</v>
      </c>
      <c r="G952">
        <v>3.0959752321981422</v>
      </c>
      <c r="H952">
        <v>1.1301029557594804</v>
      </c>
      <c r="I952" t="s">
        <v>3536</v>
      </c>
    </row>
    <row r="953" spans="1:9" x14ac:dyDescent="0.25">
      <c r="A953" t="s">
        <v>2166</v>
      </c>
      <c r="B953">
        <v>1</v>
      </c>
      <c r="C953">
        <v>0.29499999999999998</v>
      </c>
      <c r="D953" t="s">
        <v>1642</v>
      </c>
      <c r="E953" t="s">
        <v>10</v>
      </c>
      <c r="F953" t="s">
        <v>11</v>
      </c>
      <c r="G953">
        <v>3.3898305084745766</v>
      </c>
      <c r="H953">
        <v>1.2207799226423173</v>
      </c>
      <c r="I953" t="s">
        <v>3536</v>
      </c>
    </row>
    <row r="954" spans="1:9" x14ac:dyDescent="0.25">
      <c r="A954" t="s">
        <v>2167</v>
      </c>
      <c r="B954">
        <v>1</v>
      </c>
      <c r="C954">
        <v>0.218</v>
      </c>
      <c r="D954" t="s">
        <v>2168</v>
      </c>
      <c r="E954" t="s">
        <v>20</v>
      </c>
      <c r="F954" t="s">
        <v>21</v>
      </c>
      <c r="G954">
        <v>4.5871559633027523</v>
      </c>
      <c r="H954">
        <v>1.523260216193048</v>
      </c>
      <c r="I954" t="s">
        <v>3536</v>
      </c>
    </row>
    <row r="955" spans="1:9" x14ac:dyDescent="0.25">
      <c r="A955" t="s">
        <v>2169</v>
      </c>
      <c r="B955">
        <v>1</v>
      </c>
      <c r="C955">
        <v>3</v>
      </c>
      <c r="D955" t="s">
        <v>2170</v>
      </c>
      <c r="E955" t="s">
        <v>20</v>
      </c>
      <c r="F955" t="s">
        <v>21</v>
      </c>
      <c r="G955">
        <v>0.33333333333333331</v>
      </c>
      <c r="H955">
        <v>-1.0986122886681098</v>
      </c>
      <c r="I955" t="s">
        <v>3536</v>
      </c>
    </row>
    <row r="956" spans="1:9" x14ac:dyDescent="0.25">
      <c r="A956" t="s">
        <v>2171</v>
      </c>
      <c r="B956">
        <v>1</v>
      </c>
      <c r="C956">
        <v>0.17299999999999999</v>
      </c>
      <c r="D956" t="s">
        <v>2173</v>
      </c>
      <c r="E956" t="s">
        <v>20</v>
      </c>
      <c r="F956" t="s">
        <v>21</v>
      </c>
      <c r="G956">
        <v>5.7803468208092488</v>
      </c>
      <c r="H956">
        <v>1.7544636844843582</v>
      </c>
      <c r="I956" t="s">
        <v>3536</v>
      </c>
    </row>
    <row r="957" spans="1:9" x14ac:dyDescent="0.25">
      <c r="A957" t="s">
        <v>2174</v>
      </c>
      <c r="B957">
        <v>1</v>
      </c>
      <c r="C957">
        <v>0.314</v>
      </c>
      <c r="D957" t="s">
        <v>2176</v>
      </c>
      <c r="E957" t="s">
        <v>20</v>
      </c>
      <c r="F957" t="s">
        <v>21</v>
      </c>
      <c r="G957">
        <v>3.1847133757961785</v>
      </c>
      <c r="H957">
        <v>1.1583622930738837</v>
      </c>
      <c r="I957" t="s">
        <v>3536</v>
      </c>
    </row>
    <row r="958" spans="1:9" x14ac:dyDescent="0.25">
      <c r="A958" t="s">
        <v>2177</v>
      </c>
      <c r="B958">
        <v>1</v>
      </c>
      <c r="C958">
        <v>0.14299999999999999</v>
      </c>
      <c r="D958" t="s">
        <v>576</v>
      </c>
      <c r="E958" t="s">
        <v>20</v>
      </c>
      <c r="F958" t="s">
        <v>21</v>
      </c>
      <c r="G958">
        <v>6.9930069930069934</v>
      </c>
      <c r="H958">
        <v>1.9449106487222299</v>
      </c>
      <c r="I958" t="s">
        <v>3536</v>
      </c>
    </row>
    <row r="959" spans="1:9" x14ac:dyDescent="0.25">
      <c r="A959" t="s">
        <v>2178</v>
      </c>
      <c r="B959">
        <v>1</v>
      </c>
      <c r="C959">
        <v>0.28799999999999998</v>
      </c>
      <c r="D959" t="s">
        <v>2180</v>
      </c>
      <c r="E959" t="s">
        <v>10</v>
      </c>
      <c r="F959" t="s">
        <v>11</v>
      </c>
      <c r="G959">
        <v>3.4722222222222223</v>
      </c>
      <c r="H959">
        <v>1.2447947988461912</v>
      </c>
      <c r="I959" t="s">
        <v>3536</v>
      </c>
    </row>
    <row r="960" spans="1:9" x14ac:dyDescent="0.25">
      <c r="A960" t="s">
        <v>2181</v>
      </c>
      <c r="B960">
        <v>1</v>
      </c>
      <c r="C960">
        <v>0.83799999999999997</v>
      </c>
      <c r="E960" t="s">
        <v>62</v>
      </c>
      <c r="F960" t="s">
        <v>63</v>
      </c>
      <c r="G960">
        <v>1.1933174224343677</v>
      </c>
      <c r="H960">
        <v>0.17673717850005413</v>
      </c>
      <c r="I960" t="s">
        <v>3536</v>
      </c>
    </row>
    <row r="961" spans="1:9" x14ac:dyDescent="0.25">
      <c r="A961" t="s">
        <v>2182</v>
      </c>
      <c r="B961">
        <v>1</v>
      </c>
      <c r="C961">
        <v>0.57499999999999996</v>
      </c>
      <c r="D961" t="s">
        <v>2184</v>
      </c>
      <c r="E961" t="s">
        <v>187</v>
      </c>
      <c r="F961" t="s">
        <v>50</v>
      </c>
      <c r="G961">
        <v>1.7391304347826089</v>
      </c>
      <c r="H961">
        <v>0.55338523818478669</v>
      </c>
      <c r="I961" t="s">
        <v>3536</v>
      </c>
    </row>
    <row r="962" spans="1:9" x14ac:dyDescent="0.25">
      <c r="A962" t="s">
        <v>2185</v>
      </c>
      <c r="B962">
        <v>1</v>
      </c>
      <c r="C962">
        <v>0.14199999999999999</v>
      </c>
      <c r="D962" t="s">
        <v>2186</v>
      </c>
      <c r="E962" t="s">
        <v>20</v>
      </c>
      <c r="F962" t="s">
        <v>21</v>
      </c>
      <c r="G962">
        <v>7.042253521126761</v>
      </c>
      <c r="H962">
        <v>1.9519282213808764</v>
      </c>
      <c r="I962" t="s">
        <v>3536</v>
      </c>
    </row>
    <row r="963" spans="1:9" x14ac:dyDescent="0.25">
      <c r="A963" t="s">
        <v>2187</v>
      </c>
      <c r="B963">
        <v>1</v>
      </c>
      <c r="C963">
        <v>0.50700000000000001</v>
      </c>
      <c r="D963" t="s">
        <v>2188</v>
      </c>
      <c r="E963" t="s">
        <v>20</v>
      </c>
      <c r="F963" t="s">
        <v>21</v>
      </c>
      <c r="G963">
        <v>1.9723865877712032</v>
      </c>
      <c r="H963">
        <v>0.67924427539095389</v>
      </c>
      <c r="I963" t="s">
        <v>3536</v>
      </c>
    </row>
    <row r="964" spans="1:9" x14ac:dyDescent="0.25">
      <c r="A964" t="s">
        <v>2189</v>
      </c>
      <c r="B964">
        <v>1</v>
      </c>
      <c r="C964">
        <v>0.28100000000000003</v>
      </c>
      <c r="E964" t="s">
        <v>20</v>
      </c>
      <c r="F964" t="s">
        <v>21</v>
      </c>
      <c r="G964">
        <v>3.5587188612099641</v>
      </c>
      <c r="H964">
        <v>1.2694006096483912</v>
      </c>
      <c r="I964" t="s">
        <v>3536</v>
      </c>
    </row>
    <row r="965" spans="1:9" x14ac:dyDescent="0.25">
      <c r="A965" t="s">
        <v>2191</v>
      </c>
      <c r="B965">
        <v>1</v>
      </c>
      <c r="C965">
        <v>0.27600000000000002</v>
      </c>
      <c r="D965" t="s">
        <v>130</v>
      </c>
      <c r="E965" t="s">
        <v>365</v>
      </c>
      <c r="F965" t="s">
        <v>11</v>
      </c>
      <c r="G965">
        <v>3.6231884057971011</v>
      </c>
      <c r="H965">
        <v>1.287354413264987</v>
      </c>
      <c r="I965" t="s">
        <v>3536</v>
      </c>
    </row>
    <row r="966" spans="1:9" x14ac:dyDescent="0.25">
      <c r="A966" t="s">
        <v>2192</v>
      </c>
      <c r="B966">
        <v>1</v>
      </c>
      <c r="C966">
        <v>0.29299999999999998</v>
      </c>
      <c r="D966" t="s">
        <v>722</v>
      </c>
      <c r="E966" t="s">
        <v>49</v>
      </c>
      <c r="F966" t="s">
        <v>50</v>
      </c>
      <c r="G966">
        <v>3.4129692832764507</v>
      </c>
      <c r="H966">
        <v>1.2275826699650698</v>
      </c>
      <c r="I966" t="s">
        <v>3536</v>
      </c>
    </row>
    <row r="967" spans="1:9" x14ac:dyDescent="0.25">
      <c r="A967" t="s">
        <v>2193</v>
      </c>
      <c r="B967">
        <v>1</v>
      </c>
      <c r="C967">
        <v>0.114</v>
      </c>
      <c r="D967" t="s">
        <v>1983</v>
      </c>
      <c r="E967" t="s">
        <v>10</v>
      </c>
      <c r="F967" t="s">
        <v>11</v>
      </c>
      <c r="G967">
        <v>8.7719298245614024</v>
      </c>
      <c r="H967">
        <v>2.1715568305876416</v>
      </c>
      <c r="I967" t="s">
        <v>3536</v>
      </c>
    </row>
    <row r="968" spans="1:9" x14ac:dyDescent="0.25">
      <c r="A968" t="s">
        <v>2194</v>
      </c>
      <c r="B968">
        <v>1</v>
      </c>
      <c r="C968">
        <v>0.26100000000000001</v>
      </c>
      <c r="D968" t="s">
        <v>2120</v>
      </c>
      <c r="E968" t="s">
        <v>10</v>
      </c>
      <c r="F968" t="s">
        <v>11</v>
      </c>
      <c r="G968">
        <v>3.8314176245210727</v>
      </c>
      <c r="H968">
        <v>1.3432348716594436</v>
      </c>
      <c r="I968" t="s">
        <v>3536</v>
      </c>
    </row>
    <row r="969" spans="1:9" x14ac:dyDescent="0.25">
      <c r="A969" t="s">
        <v>2195</v>
      </c>
      <c r="B969">
        <v>1</v>
      </c>
      <c r="C969">
        <v>0.627</v>
      </c>
      <c r="D969" t="s">
        <v>2196</v>
      </c>
      <c r="E969" t="s">
        <v>350</v>
      </c>
      <c r="F969" t="s">
        <v>21</v>
      </c>
      <c r="G969">
        <v>1.594896331738437</v>
      </c>
      <c r="H969">
        <v>0.46680873834921638</v>
      </c>
      <c r="I969" t="s">
        <v>3536</v>
      </c>
    </row>
    <row r="970" spans="1:9" x14ac:dyDescent="0.25">
      <c r="A970" t="s">
        <v>2197</v>
      </c>
      <c r="B970">
        <v>1</v>
      </c>
      <c r="C970">
        <v>0.31</v>
      </c>
      <c r="D970" t="s">
        <v>2198</v>
      </c>
      <c r="E970" t="s">
        <v>1172</v>
      </c>
      <c r="F970" t="s">
        <v>21</v>
      </c>
      <c r="G970">
        <v>3.2258064516129035</v>
      </c>
      <c r="H970">
        <v>1.1711829815029453</v>
      </c>
      <c r="I970" t="s">
        <v>3536</v>
      </c>
    </row>
    <row r="971" spans="1:9" x14ac:dyDescent="0.25">
      <c r="A971" t="s">
        <v>2199</v>
      </c>
      <c r="B971">
        <v>1</v>
      </c>
      <c r="C971">
        <v>0.45800000000000002</v>
      </c>
      <c r="D971" t="s">
        <v>2200</v>
      </c>
      <c r="E971" t="s">
        <v>294</v>
      </c>
      <c r="F971" t="s">
        <v>21</v>
      </c>
      <c r="G971">
        <v>2.1834061135371177</v>
      </c>
      <c r="H971">
        <v>0.78088609486795202</v>
      </c>
      <c r="I971" t="s">
        <v>3536</v>
      </c>
    </row>
    <row r="972" spans="1:9" x14ac:dyDescent="0.25">
      <c r="A972" t="s">
        <v>2201</v>
      </c>
      <c r="B972">
        <v>1</v>
      </c>
      <c r="C972">
        <v>0.161</v>
      </c>
      <c r="D972" t="s">
        <v>1068</v>
      </c>
      <c r="E972" t="s">
        <v>10</v>
      </c>
      <c r="F972" t="s">
        <v>11</v>
      </c>
      <c r="G972">
        <v>6.2111801242236027</v>
      </c>
      <c r="H972">
        <v>1.8263509139976741</v>
      </c>
      <c r="I972" t="s">
        <v>3536</v>
      </c>
    </row>
    <row r="973" spans="1:9" x14ac:dyDescent="0.25">
      <c r="A973" t="s">
        <v>2202</v>
      </c>
      <c r="B973">
        <v>1</v>
      </c>
      <c r="C973">
        <v>0.182</v>
      </c>
      <c r="D973" t="s">
        <v>2204</v>
      </c>
      <c r="E973" t="s">
        <v>10</v>
      </c>
      <c r="F973" t="s">
        <v>11</v>
      </c>
      <c r="G973">
        <v>5.4945054945054945</v>
      </c>
      <c r="H973">
        <v>1.7037485919053417</v>
      </c>
      <c r="I973" t="s">
        <v>3536</v>
      </c>
    </row>
    <row r="974" spans="1:9" x14ac:dyDescent="0.25">
      <c r="A974" t="s">
        <v>2205</v>
      </c>
      <c r="B974">
        <v>1</v>
      </c>
      <c r="C974">
        <v>0.36199999999999999</v>
      </c>
      <c r="E974" t="s">
        <v>20</v>
      </c>
      <c r="F974" t="s">
        <v>21</v>
      </c>
      <c r="G974">
        <v>2.7624309392265194</v>
      </c>
      <c r="H974">
        <v>1.016111067156366</v>
      </c>
      <c r="I974" t="s">
        <v>3536</v>
      </c>
    </row>
    <row r="975" spans="1:9" x14ac:dyDescent="0.25">
      <c r="A975" t="s">
        <v>2207</v>
      </c>
      <c r="B975">
        <v>1</v>
      </c>
      <c r="C975">
        <v>0.54400000000000004</v>
      </c>
      <c r="D975" t="s">
        <v>2209</v>
      </c>
      <c r="E975" t="s">
        <v>10</v>
      </c>
      <c r="F975" t="s">
        <v>11</v>
      </c>
      <c r="G975">
        <v>1.838235294117647</v>
      </c>
      <c r="H975">
        <v>0.60880603212619433</v>
      </c>
      <c r="I975" t="s">
        <v>3536</v>
      </c>
    </row>
    <row r="976" spans="1:9" x14ac:dyDescent="0.25">
      <c r="A976" t="s">
        <v>2210</v>
      </c>
      <c r="B976">
        <v>1</v>
      </c>
      <c r="C976">
        <v>0.32800000000000001</v>
      </c>
      <c r="D976" t="s">
        <v>254</v>
      </c>
      <c r="E976" t="s">
        <v>10</v>
      </c>
      <c r="F976" t="s">
        <v>11</v>
      </c>
      <c r="G976">
        <v>3.0487804878048781</v>
      </c>
      <c r="H976">
        <v>1.1147416705979933</v>
      </c>
      <c r="I976" t="s">
        <v>3536</v>
      </c>
    </row>
    <row r="977" spans="1:9" x14ac:dyDescent="0.25">
      <c r="A977" t="s">
        <v>2211</v>
      </c>
      <c r="B977">
        <v>1</v>
      </c>
      <c r="C977">
        <v>0.749</v>
      </c>
      <c r="D977" t="s">
        <v>120</v>
      </c>
      <c r="E977" t="s">
        <v>44</v>
      </c>
      <c r="F977" t="s">
        <v>21</v>
      </c>
      <c r="G977">
        <v>1.3351134846461949</v>
      </c>
      <c r="H977">
        <v>0.28901629546491758</v>
      </c>
      <c r="I977" t="s">
        <v>3536</v>
      </c>
    </row>
    <row r="978" spans="1:9" x14ac:dyDescent="0.25">
      <c r="A978" t="s">
        <v>2213</v>
      </c>
      <c r="B978">
        <v>1</v>
      </c>
      <c r="C978">
        <v>0.16400000000000001</v>
      </c>
      <c r="D978" t="s">
        <v>1175</v>
      </c>
      <c r="E978" t="s">
        <v>10</v>
      </c>
      <c r="F978" t="s">
        <v>11</v>
      </c>
      <c r="G978">
        <v>6.0975609756097562</v>
      </c>
      <c r="H978">
        <v>1.8078888511579387</v>
      </c>
      <c r="I978" t="s">
        <v>3536</v>
      </c>
    </row>
    <row r="979" spans="1:9" x14ac:dyDescent="0.25">
      <c r="A979" t="s">
        <v>2215</v>
      </c>
      <c r="B979">
        <v>1</v>
      </c>
      <c r="C979">
        <v>0.436</v>
      </c>
      <c r="D979" t="s">
        <v>335</v>
      </c>
      <c r="E979" t="s">
        <v>10</v>
      </c>
      <c r="F979" t="s">
        <v>11</v>
      </c>
      <c r="G979">
        <v>2.2935779816513762</v>
      </c>
      <c r="H979">
        <v>0.83011303563310279</v>
      </c>
      <c r="I979" t="s">
        <v>3536</v>
      </c>
    </row>
    <row r="980" spans="1:9" x14ac:dyDescent="0.25">
      <c r="A980" t="s">
        <v>2216</v>
      </c>
      <c r="B980">
        <v>1</v>
      </c>
      <c r="C980">
        <v>0.14099999999999999</v>
      </c>
      <c r="D980" t="s">
        <v>148</v>
      </c>
      <c r="E980" t="s">
        <v>10</v>
      </c>
      <c r="F980" t="s">
        <v>11</v>
      </c>
      <c r="G980">
        <v>7.0921985815602842</v>
      </c>
      <c r="H980">
        <v>1.9589953886039688</v>
      </c>
      <c r="I980" t="s">
        <v>3536</v>
      </c>
    </row>
    <row r="981" spans="1:9" x14ac:dyDescent="0.25">
      <c r="A981" t="s">
        <v>2217</v>
      </c>
      <c r="B981">
        <v>1</v>
      </c>
      <c r="C981">
        <v>0.53200000000000003</v>
      </c>
      <c r="D981" t="s">
        <v>739</v>
      </c>
      <c r="E981" t="s">
        <v>10</v>
      </c>
      <c r="F981" t="s">
        <v>11</v>
      </c>
      <c r="G981">
        <v>1.8796992481203008</v>
      </c>
      <c r="H981">
        <v>0.63111178964049264</v>
      </c>
      <c r="I981" t="s">
        <v>3536</v>
      </c>
    </row>
    <row r="982" spans="1:9" x14ac:dyDescent="0.25">
      <c r="A982" t="s">
        <v>2219</v>
      </c>
      <c r="B982">
        <v>1</v>
      </c>
      <c r="C982">
        <v>0.27100000000000002</v>
      </c>
      <c r="D982" t="s">
        <v>2221</v>
      </c>
      <c r="E982" t="s">
        <v>10</v>
      </c>
      <c r="F982" t="s">
        <v>11</v>
      </c>
      <c r="G982">
        <v>3.6900369003690034</v>
      </c>
      <c r="H982">
        <v>1.305636458102436</v>
      </c>
      <c r="I982" t="s">
        <v>3536</v>
      </c>
    </row>
    <row r="983" spans="1:9" x14ac:dyDescent="0.25">
      <c r="A983" t="s">
        <v>2222</v>
      </c>
      <c r="B983">
        <v>1</v>
      </c>
      <c r="C983">
        <v>0.17</v>
      </c>
      <c r="D983" t="s">
        <v>1722</v>
      </c>
      <c r="E983" t="s">
        <v>10</v>
      </c>
      <c r="F983" t="s">
        <v>11</v>
      </c>
      <c r="G983">
        <v>5.8823529411764701</v>
      </c>
      <c r="H983">
        <v>1.7719568419318752</v>
      </c>
      <c r="I983" t="s">
        <v>3536</v>
      </c>
    </row>
    <row r="984" spans="1:9" x14ac:dyDescent="0.25">
      <c r="A984" t="s">
        <v>2223</v>
      </c>
      <c r="B984">
        <v>1</v>
      </c>
      <c r="C984">
        <v>0.23699999999999999</v>
      </c>
      <c r="D984" t="s">
        <v>2224</v>
      </c>
      <c r="E984" t="s">
        <v>329</v>
      </c>
      <c r="F984" t="s">
        <v>50</v>
      </c>
      <c r="G984">
        <v>4.2194092827004219</v>
      </c>
      <c r="H984">
        <v>1.4396951378470058</v>
      </c>
      <c r="I984" t="s">
        <v>3536</v>
      </c>
    </row>
    <row r="985" spans="1:9" x14ac:dyDescent="0.25">
      <c r="A985" t="s">
        <v>2225</v>
      </c>
      <c r="B985">
        <v>1</v>
      </c>
      <c r="C985">
        <v>0.70299999999999996</v>
      </c>
      <c r="D985" t="s">
        <v>2227</v>
      </c>
      <c r="E985" t="s">
        <v>10</v>
      </c>
      <c r="F985" t="s">
        <v>11</v>
      </c>
      <c r="G985">
        <v>1.4224751066856332</v>
      </c>
      <c r="H985">
        <v>0.35239838717147226</v>
      </c>
      <c r="I985" t="s">
        <v>3536</v>
      </c>
    </row>
    <row r="986" spans="1:9" x14ac:dyDescent="0.25">
      <c r="A986" t="s">
        <v>2228</v>
      </c>
      <c r="B986">
        <v>1</v>
      </c>
      <c r="C986">
        <v>0.18099999999999999</v>
      </c>
      <c r="D986" t="s">
        <v>389</v>
      </c>
      <c r="E986" t="s">
        <v>10</v>
      </c>
      <c r="F986" t="s">
        <v>11</v>
      </c>
      <c r="G986">
        <v>5.5248618784530388</v>
      </c>
      <c r="H986">
        <v>1.7092582477163114</v>
      </c>
      <c r="I986" t="s">
        <v>3536</v>
      </c>
    </row>
    <row r="987" spans="1:9" x14ac:dyDescent="0.25">
      <c r="A987" t="s">
        <v>2229</v>
      </c>
      <c r="B987">
        <v>1</v>
      </c>
      <c r="C987">
        <v>0.47199999999999998</v>
      </c>
      <c r="D987" t="s">
        <v>2230</v>
      </c>
      <c r="E987" t="s">
        <v>1195</v>
      </c>
      <c r="F987" t="s">
        <v>50</v>
      </c>
      <c r="G987">
        <v>2.1186440677966103</v>
      </c>
      <c r="H987">
        <v>0.7507762933965817</v>
      </c>
      <c r="I987" t="s">
        <v>3536</v>
      </c>
    </row>
    <row r="988" spans="1:9" x14ac:dyDescent="0.25">
      <c r="A988" t="s">
        <v>2231</v>
      </c>
      <c r="B988">
        <v>1</v>
      </c>
      <c r="C988">
        <v>0.252</v>
      </c>
      <c r="D988" t="s">
        <v>2232</v>
      </c>
      <c r="E988" t="s">
        <v>49</v>
      </c>
      <c r="F988" t="s">
        <v>50</v>
      </c>
      <c r="G988">
        <v>3.9682539682539684</v>
      </c>
      <c r="H988">
        <v>1.3783261914707137</v>
      </c>
      <c r="I988" t="s">
        <v>3536</v>
      </c>
    </row>
    <row r="989" spans="1:9" x14ac:dyDescent="0.25">
      <c r="A989" t="s">
        <v>2233</v>
      </c>
      <c r="B989">
        <v>1</v>
      </c>
      <c r="C989">
        <v>0.18099999999999999</v>
      </c>
      <c r="D989" t="s">
        <v>225</v>
      </c>
      <c r="E989" t="s">
        <v>44</v>
      </c>
      <c r="F989" t="s">
        <v>21</v>
      </c>
      <c r="G989">
        <v>5.5248618784530388</v>
      </c>
      <c r="H989">
        <v>1.7092582477163114</v>
      </c>
      <c r="I989" t="s">
        <v>3536</v>
      </c>
    </row>
    <row r="990" spans="1:9" x14ac:dyDescent="0.25">
      <c r="A990" t="s">
        <v>2234</v>
      </c>
      <c r="B990">
        <v>1</v>
      </c>
      <c r="C990">
        <v>0.50900000000000001</v>
      </c>
      <c r="D990" t="s">
        <v>2236</v>
      </c>
      <c r="E990" t="s">
        <v>210</v>
      </c>
      <c r="F990" t="s">
        <v>50</v>
      </c>
      <c r="G990">
        <v>1.9646365422396856</v>
      </c>
      <c r="H990">
        <v>0.67530726243161432</v>
      </c>
      <c r="I990" t="s">
        <v>3536</v>
      </c>
    </row>
    <row r="991" spans="1:9" x14ac:dyDescent="0.25">
      <c r="A991" t="s">
        <v>2237</v>
      </c>
      <c r="B991">
        <v>1</v>
      </c>
      <c r="C991">
        <v>0.24099999999999999</v>
      </c>
      <c r="D991" t="s">
        <v>254</v>
      </c>
      <c r="E991" t="s">
        <v>10</v>
      </c>
      <c r="F991" t="s">
        <v>11</v>
      </c>
      <c r="G991">
        <v>4.1493775933609962</v>
      </c>
      <c r="H991">
        <v>1.422958345491482</v>
      </c>
      <c r="I991" t="s">
        <v>3536</v>
      </c>
    </row>
    <row r="992" spans="1:9" x14ac:dyDescent="0.25">
      <c r="A992" t="s">
        <v>2239</v>
      </c>
      <c r="B992">
        <v>1</v>
      </c>
      <c r="C992">
        <v>0.502</v>
      </c>
      <c r="D992" t="s">
        <v>251</v>
      </c>
      <c r="E992" t="s">
        <v>604</v>
      </c>
      <c r="F992" t="s">
        <v>21</v>
      </c>
      <c r="G992">
        <v>1.9920318725099602</v>
      </c>
      <c r="H992">
        <v>0.68915515929040783</v>
      </c>
      <c r="I992" t="s">
        <v>3536</v>
      </c>
    </row>
    <row r="993" spans="1:9" x14ac:dyDescent="0.25">
      <c r="A993" t="s">
        <v>2241</v>
      </c>
      <c r="B993">
        <v>1</v>
      </c>
      <c r="C993">
        <v>0.39</v>
      </c>
      <c r="D993" t="s">
        <v>2242</v>
      </c>
      <c r="E993" t="s">
        <v>10</v>
      </c>
      <c r="F993" t="s">
        <v>11</v>
      </c>
      <c r="G993">
        <v>2.5641025641025639</v>
      </c>
      <c r="H993">
        <v>0.94160853985844484</v>
      </c>
      <c r="I993" t="s">
        <v>3536</v>
      </c>
    </row>
    <row r="994" spans="1:9" x14ac:dyDescent="0.25">
      <c r="A994" t="s">
        <v>2243</v>
      </c>
      <c r="B994">
        <v>1</v>
      </c>
      <c r="C994">
        <v>0.26400000000000001</v>
      </c>
      <c r="D994" t="s">
        <v>2244</v>
      </c>
      <c r="E994" t="s">
        <v>350</v>
      </c>
      <c r="F994" t="s">
        <v>21</v>
      </c>
      <c r="G994">
        <v>3.7878787878787876</v>
      </c>
      <c r="H994">
        <v>1.3318061758358208</v>
      </c>
      <c r="I994" t="s">
        <v>3536</v>
      </c>
    </row>
    <row r="995" spans="1:9" x14ac:dyDescent="0.25">
      <c r="A995" t="s">
        <v>2245</v>
      </c>
      <c r="B995">
        <v>1</v>
      </c>
      <c r="C995">
        <v>0.51100000000000001</v>
      </c>
      <c r="D995" t="s">
        <v>2247</v>
      </c>
      <c r="E995" t="s">
        <v>10</v>
      </c>
      <c r="F995" t="s">
        <v>11</v>
      </c>
      <c r="G995">
        <v>1.9569471624266144</v>
      </c>
      <c r="H995">
        <v>0.67138568877843252</v>
      </c>
      <c r="I995" t="s">
        <v>3536</v>
      </c>
    </row>
    <row r="996" spans="1:9" x14ac:dyDescent="0.25">
      <c r="A996" t="s">
        <v>2248</v>
      </c>
      <c r="B996">
        <v>1</v>
      </c>
      <c r="C996">
        <v>0.253</v>
      </c>
      <c r="D996" t="s">
        <v>2249</v>
      </c>
      <c r="E996" t="s">
        <v>10</v>
      </c>
      <c r="F996" t="s">
        <v>11</v>
      </c>
      <c r="G996">
        <v>3.9525691699604741</v>
      </c>
      <c r="H996">
        <v>1.3743657902546167</v>
      </c>
      <c r="I996" t="s">
        <v>3536</v>
      </c>
    </row>
    <row r="997" spans="1:9" x14ac:dyDescent="0.25">
      <c r="A997" t="s">
        <v>2250</v>
      </c>
      <c r="B997">
        <v>1</v>
      </c>
      <c r="C997">
        <v>0.28899999999999998</v>
      </c>
      <c r="D997" t="s">
        <v>2252</v>
      </c>
      <c r="E997" t="s">
        <v>10</v>
      </c>
      <c r="F997" t="s">
        <v>11</v>
      </c>
      <c r="G997">
        <v>3.4602076124567476</v>
      </c>
      <c r="H997">
        <v>1.2413285908697049</v>
      </c>
      <c r="I997" t="s">
        <v>3536</v>
      </c>
    </row>
    <row r="998" spans="1:9" x14ac:dyDescent="0.25">
      <c r="A998" t="s">
        <v>2253</v>
      </c>
      <c r="B998">
        <v>1</v>
      </c>
      <c r="C998">
        <v>0.65</v>
      </c>
      <c r="D998" t="s">
        <v>302</v>
      </c>
      <c r="E998" t="s">
        <v>44</v>
      </c>
      <c r="F998" t="s">
        <v>21</v>
      </c>
      <c r="G998">
        <v>1.5384615384615383</v>
      </c>
      <c r="H998">
        <v>0.43078291609245417</v>
      </c>
      <c r="I998" t="s">
        <v>3536</v>
      </c>
    </row>
    <row r="999" spans="1:9" x14ac:dyDescent="0.25">
      <c r="A999" t="s">
        <v>2254</v>
      </c>
      <c r="B999">
        <v>1</v>
      </c>
      <c r="C999">
        <v>0.255</v>
      </c>
      <c r="D999" t="s">
        <v>1813</v>
      </c>
      <c r="E999" t="s">
        <v>10</v>
      </c>
      <c r="F999" t="s">
        <v>11</v>
      </c>
      <c r="G999">
        <v>3.9215686274509802</v>
      </c>
      <c r="H999">
        <v>1.3664917338237108</v>
      </c>
      <c r="I999" t="s">
        <v>3536</v>
      </c>
    </row>
    <row r="1000" spans="1:9" x14ac:dyDescent="0.25">
      <c r="A1000" t="s">
        <v>2255</v>
      </c>
      <c r="B1000">
        <v>1</v>
      </c>
      <c r="C1000">
        <v>0.24199999999999999</v>
      </c>
      <c r="D1000" t="s">
        <v>2257</v>
      </c>
      <c r="E1000" t="s">
        <v>187</v>
      </c>
      <c r="F1000" t="s">
        <v>50</v>
      </c>
      <c r="G1000">
        <v>4.1322314049586781</v>
      </c>
      <c r="H1000">
        <v>1.4188175528254507</v>
      </c>
      <c r="I1000" t="s">
        <v>3536</v>
      </c>
    </row>
    <row r="1001" spans="1:9" x14ac:dyDescent="0.25">
      <c r="A1001" t="s">
        <v>2258</v>
      </c>
      <c r="B1001">
        <v>1</v>
      </c>
      <c r="C1001">
        <v>0.33800000000000002</v>
      </c>
      <c r="D1001" t="s">
        <v>2259</v>
      </c>
      <c r="E1001" t="s">
        <v>1035</v>
      </c>
      <c r="F1001" t="s">
        <v>21</v>
      </c>
      <c r="G1001">
        <v>2.9585798816568047</v>
      </c>
      <c r="H1001">
        <v>1.0847093834991184</v>
      </c>
      <c r="I1001" t="s">
        <v>3536</v>
      </c>
    </row>
    <row r="1002" spans="1:9" x14ac:dyDescent="0.25">
      <c r="A1002" t="s">
        <v>2260</v>
      </c>
      <c r="B1002">
        <v>1</v>
      </c>
      <c r="C1002">
        <v>0.28599999999999998</v>
      </c>
      <c r="D1002" t="s">
        <v>2261</v>
      </c>
      <c r="E1002" t="s">
        <v>10</v>
      </c>
      <c r="F1002" t="s">
        <v>11</v>
      </c>
      <c r="G1002">
        <v>3.4965034965034967</v>
      </c>
      <c r="H1002">
        <v>1.2517634681622845</v>
      </c>
      <c r="I1002" t="s">
        <v>3536</v>
      </c>
    </row>
    <row r="1003" spans="1:9" x14ac:dyDescent="0.25">
      <c r="A1003" t="s">
        <v>2262</v>
      </c>
      <c r="B1003">
        <v>1</v>
      </c>
      <c r="C1003">
        <v>0.98099999999999998</v>
      </c>
      <c r="D1003" t="s">
        <v>2264</v>
      </c>
      <c r="E1003" t="s">
        <v>20</v>
      </c>
      <c r="F1003" t="s">
        <v>21</v>
      </c>
      <c r="G1003">
        <v>1.019367991845056</v>
      </c>
      <c r="H1003">
        <v>1.9182819416773904E-2</v>
      </c>
      <c r="I1003" t="s">
        <v>3536</v>
      </c>
    </row>
    <row r="1004" spans="1:9" x14ac:dyDescent="0.25">
      <c r="A1004" t="s">
        <v>2265</v>
      </c>
      <c r="B1004">
        <v>1</v>
      </c>
      <c r="C1004">
        <v>0.254</v>
      </c>
      <c r="D1004" t="s">
        <v>2266</v>
      </c>
      <c r="E1004" t="s">
        <v>44</v>
      </c>
      <c r="F1004" t="s">
        <v>21</v>
      </c>
      <c r="G1004">
        <v>3.9370078740157481</v>
      </c>
      <c r="H1004">
        <v>1.3704210119636004</v>
      </c>
      <c r="I1004" t="s">
        <v>3536</v>
      </c>
    </row>
    <row r="1005" spans="1:9" x14ac:dyDescent="0.25">
      <c r="A1005" t="s">
        <v>2267</v>
      </c>
      <c r="B1005">
        <v>1</v>
      </c>
      <c r="C1005">
        <v>0.13900000000000001</v>
      </c>
      <c r="D1005" t="s">
        <v>2269</v>
      </c>
      <c r="E1005" t="s">
        <v>20</v>
      </c>
      <c r="F1005" t="s">
        <v>21</v>
      </c>
      <c r="G1005">
        <v>7.1942446043165464</v>
      </c>
      <c r="H1005">
        <v>1.9732813458514453</v>
      </c>
      <c r="I1005" t="s">
        <v>3536</v>
      </c>
    </row>
    <row r="1006" spans="1:9" x14ac:dyDescent="0.25">
      <c r="A1006" t="s">
        <v>2270</v>
      </c>
      <c r="B1006">
        <v>1</v>
      </c>
      <c r="C1006">
        <v>0.125</v>
      </c>
      <c r="D1006" t="s">
        <v>2271</v>
      </c>
      <c r="E1006" t="s">
        <v>44</v>
      </c>
      <c r="F1006" t="s">
        <v>21</v>
      </c>
      <c r="G1006">
        <v>8</v>
      </c>
      <c r="H1006">
        <v>2.0794415416798357</v>
      </c>
      <c r="I1006" t="s">
        <v>3536</v>
      </c>
    </row>
    <row r="1007" spans="1:9" x14ac:dyDescent="0.25">
      <c r="A1007" t="s">
        <v>2272</v>
      </c>
      <c r="B1007">
        <v>1</v>
      </c>
      <c r="C1007">
        <v>0.58099999999999996</v>
      </c>
      <c r="D1007" t="s">
        <v>2274</v>
      </c>
      <c r="E1007" t="s">
        <v>49</v>
      </c>
      <c r="F1007" t="s">
        <v>50</v>
      </c>
      <c r="G1007">
        <v>1.7211703958691911</v>
      </c>
      <c r="H1007">
        <v>0.54300452213022588</v>
      </c>
      <c r="I1007" t="s">
        <v>3536</v>
      </c>
    </row>
    <row r="1008" spans="1:9" x14ac:dyDescent="0.25">
      <c r="A1008" t="s">
        <v>2275</v>
      </c>
      <c r="B1008">
        <v>1</v>
      </c>
      <c r="C1008">
        <v>0.84599999999999997</v>
      </c>
      <c r="D1008" t="s">
        <v>2277</v>
      </c>
      <c r="E1008" t="s">
        <v>554</v>
      </c>
      <c r="F1008" t="s">
        <v>526</v>
      </c>
      <c r="G1008">
        <v>1.1820330969267139</v>
      </c>
      <c r="H1008">
        <v>0.1672359193759137</v>
      </c>
      <c r="I1008" t="s">
        <v>3536</v>
      </c>
    </row>
    <row r="1009" spans="1:9" x14ac:dyDescent="0.25">
      <c r="A1009" t="s">
        <v>2278</v>
      </c>
      <c r="B1009">
        <v>1</v>
      </c>
      <c r="C1009">
        <v>0.27600000000000002</v>
      </c>
      <c r="D1009" t="s">
        <v>2279</v>
      </c>
      <c r="E1009" t="s">
        <v>20</v>
      </c>
      <c r="F1009" t="s">
        <v>21</v>
      </c>
      <c r="G1009">
        <v>3.6231884057971011</v>
      </c>
      <c r="H1009">
        <v>1.287354413264987</v>
      </c>
      <c r="I1009" t="s">
        <v>3536</v>
      </c>
    </row>
    <row r="1010" spans="1:9" x14ac:dyDescent="0.25">
      <c r="A1010" t="s">
        <v>2280</v>
      </c>
      <c r="B1010">
        <v>1</v>
      </c>
      <c r="C1010">
        <v>0.13800000000000001</v>
      </c>
      <c r="E1010" t="s">
        <v>20</v>
      </c>
      <c r="F1010" t="s">
        <v>21</v>
      </c>
      <c r="G1010">
        <v>7.2463768115942022</v>
      </c>
      <c r="H1010">
        <v>1.9805015938249322</v>
      </c>
      <c r="I1010" t="s">
        <v>3536</v>
      </c>
    </row>
    <row r="1011" spans="1:9" x14ac:dyDescent="0.25">
      <c r="A1011" t="s">
        <v>2281</v>
      </c>
      <c r="B1011">
        <v>1</v>
      </c>
      <c r="C1011">
        <v>8.5000000000000006E-2</v>
      </c>
      <c r="D1011" t="s">
        <v>2283</v>
      </c>
      <c r="E1011" t="s">
        <v>20</v>
      </c>
      <c r="F1011" t="s">
        <v>21</v>
      </c>
      <c r="G1011">
        <v>11.76470588235294</v>
      </c>
      <c r="H1011">
        <v>2.4651040224918206</v>
      </c>
      <c r="I1011" t="s">
        <v>3536</v>
      </c>
    </row>
    <row r="1012" spans="1:9" x14ac:dyDescent="0.25">
      <c r="A1012" t="s">
        <v>2284</v>
      </c>
      <c r="B1012">
        <v>1</v>
      </c>
      <c r="C1012">
        <v>0.25</v>
      </c>
      <c r="D1012" t="s">
        <v>2285</v>
      </c>
      <c r="E1012" t="s">
        <v>10</v>
      </c>
      <c r="F1012" t="s">
        <v>11</v>
      </c>
      <c r="G1012">
        <v>4</v>
      </c>
      <c r="H1012">
        <v>1.3862943611198906</v>
      </c>
      <c r="I1012" t="s">
        <v>3536</v>
      </c>
    </row>
    <row r="1013" spans="1:9" x14ac:dyDescent="0.25">
      <c r="A1013" t="s">
        <v>2286</v>
      </c>
      <c r="B1013">
        <v>1</v>
      </c>
      <c r="C1013">
        <v>0.114</v>
      </c>
      <c r="D1013" t="s">
        <v>2287</v>
      </c>
      <c r="E1013" t="s">
        <v>20</v>
      </c>
      <c r="F1013" t="s">
        <v>21</v>
      </c>
      <c r="G1013">
        <v>8.7719298245614024</v>
      </c>
      <c r="H1013">
        <v>2.1715568305876416</v>
      </c>
      <c r="I1013" t="s">
        <v>3536</v>
      </c>
    </row>
    <row r="1014" spans="1:9" x14ac:dyDescent="0.25">
      <c r="A1014" t="s">
        <v>2288</v>
      </c>
      <c r="B1014">
        <v>1</v>
      </c>
      <c r="C1014">
        <v>0.34399999999999997</v>
      </c>
      <c r="D1014" t="s">
        <v>407</v>
      </c>
      <c r="E1014" t="s">
        <v>10</v>
      </c>
      <c r="F1014" t="s">
        <v>11</v>
      </c>
      <c r="G1014">
        <v>2.9069767441860468</v>
      </c>
      <c r="H1014">
        <v>1.0671136216087389</v>
      </c>
      <c r="I1014" t="s">
        <v>3536</v>
      </c>
    </row>
    <row r="1015" spans="1:9" x14ac:dyDescent="0.25">
      <c r="A1015" t="s">
        <v>2289</v>
      </c>
      <c r="B1015">
        <v>1</v>
      </c>
      <c r="C1015">
        <v>0.53700000000000003</v>
      </c>
      <c r="D1015" t="s">
        <v>2290</v>
      </c>
      <c r="E1015" t="s">
        <v>10</v>
      </c>
      <c r="F1015" t="s">
        <v>11</v>
      </c>
      <c r="G1015">
        <v>1.8621973929236497</v>
      </c>
      <c r="H1015">
        <v>0.62175718447327222</v>
      </c>
      <c r="I1015" t="s">
        <v>3536</v>
      </c>
    </row>
    <row r="1016" spans="1:9" x14ac:dyDescent="0.25">
      <c r="A1016" t="s">
        <v>2291</v>
      </c>
      <c r="B1016">
        <v>1</v>
      </c>
      <c r="C1016">
        <v>0.29599999999999999</v>
      </c>
      <c r="D1016" t="s">
        <v>2292</v>
      </c>
      <c r="E1016" t="s">
        <v>10</v>
      </c>
      <c r="F1016" t="s">
        <v>11</v>
      </c>
      <c r="G1016">
        <v>3.3783783783783785</v>
      </c>
      <c r="H1016">
        <v>1.2173958246580767</v>
      </c>
      <c r="I1016" t="s">
        <v>3536</v>
      </c>
    </row>
    <row r="1017" spans="1:9" x14ac:dyDescent="0.25">
      <c r="A1017" t="s">
        <v>2293</v>
      </c>
      <c r="B1017">
        <v>1</v>
      </c>
      <c r="C1017">
        <v>2</v>
      </c>
      <c r="D1017" t="s">
        <v>2294</v>
      </c>
      <c r="E1017" t="s">
        <v>20</v>
      </c>
      <c r="F1017" t="s">
        <v>21</v>
      </c>
      <c r="G1017">
        <v>0.5</v>
      </c>
      <c r="H1017">
        <v>-0.69314718055994529</v>
      </c>
      <c r="I1017" t="s">
        <v>3536</v>
      </c>
    </row>
    <row r="1018" spans="1:9" x14ac:dyDescent="0.25">
      <c r="A1018" t="s">
        <v>2295</v>
      </c>
      <c r="B1018">
        <v>1</v>
      </c>
      <c r="C1018">
        <v>0.56499999999999995</v>
      </c>
      <c r="D1018" t="s">
        <v>120</v>
      </c>
      <c r="E1018" t="s">
        <v>1035</v>
      </c>
      <c r="F1018" t="s">
        <v>21</v>
      </c>
      <c r="G1018">
        <v>1.7699115044247788</v>
      </c>
      <c r="H1018">
        <v>0.57092954783569616</v>
      </c>
      <c r="I1018" t="s">
        <v>3536</v>
      </c>
    </row>
    <row r="1019" spans="1:9" x14ac:dyDescent="0.25">
      <c r="A1019" t="s">
        <v>2297</v>
      </c>
      <c r="B1019">
        <v>1</v>
      </c>
      <c r="C1019">
        <v>0.28999999999999998</v>
      </c>
      <c r="D1019" t="s">
        <v>2298</v>
      </c>
      <c r="E1019" t="s">
        <v>242</v>
      </c>
      <c r="F1019" t="s">
        <v>21</v>
      </c>
      <c r="G1019">
        <v>3.4482758620689657</v>
      </c>
      <c r="H1019">
        <v>1.2378743560016174</v>
      </c>
      <c r="I1019" t="s">
        <v>3536</v>
      </c>
    </row>
    <row r="1020" spans="1:9" x14ac:dyDescent="0.25">
      <c r="A1020" t="s">
        <v>2299</v>
      </c>
      <c r="B1020">
        <v>1</v>
      </c>
      <c r="C1020">
        <v>0.219</v>
      </c>
      <c r="D1020" t="s">
        <v>1155</v>
      </c>
      <c r="E1020" t="s">
        <v>10</v>
      </c>
      <c r="F1020" t="s">
        <v>11</v>
      </c>
      <c r="G1020">
        <v>4.5662100456621006</v>
      </c>
      <c r="H1020">
        <v>1.5186835491656363</v>
      </c>
      <c r="I1020" t="s">
        <v>3536</v>
      </c>
    </row>
    <row r="1021" spans="1:9" x14ac:dyDescent="0.25">
      <c r="A1021" t="s">
        <v>2301</v>
      </c>
      <c r="B1021">
        <v>1</v>
      </c>
      <c r="C1021">
        <v>0</v>
      </c>
      <c r="D1021" t="s">
        <v>576</v>
      </c>
      <c r="E1021" t="s">
        <v>20</v>
      </c>
      <c r="F1021" t="s">
        <v>21</v>
      </c>
      <c r="G1021" t="s">
        <v>3535</v>
      </c>
      <c r="H1021" t="s">
        <v>3535</v>
      </c>
      <c r="I1021" t="s">
        <v>3537</v>
      </c>
    </row>
    <row r="1022" spans="1:9" x14ac:dyDescent="0.25">
      <c r="A1022" t="s">
        <v>2302</v>
      </c>
      <c r="B1022">
        <v>1</v>
      </c>
      <c r="C1022">
        <v>0.40899999999999997</v>
      </c>
      <c r="D1022" t="s">
        <v>727</v>
      </c>
      <c r="E1022" t="s">
        <v>10</v>
      </c>
      <c r="F1022" t="s">
        <v>11</v>
      </c>
      <c r="G1022">
        <v>2.4449877750611249</v>
      </c>
      <c r="H1022">
        <v>0.89404012293933532</v>
      </c>
      <c r="I1022" t="s">
        <v>3536</v>
      </c>
    </row>
    <row r="1023" spans="1:9" x14ac:dyDescent="0.25">
      <c r="A1023" t="s">
        <v>2304</v>
      </c>
      <c r="B1023">
        <v>1</v>
      </c>
      <c r="C1023">
        <v>6.7000000000000004E-2</v>
      </c>
      <c r="E1023" t="s">
        <v>294</v>
      </c>
      <c r="F1023" t="s">
        <v>21</v>
      </c>
      <c r="G1023">
        <v>14.925373134328357</v>
      </c>
      <c r="H1023">
        <v>2.7030626595911711</v>
      </c>
      <c r="I1023" t="s">
        <v>3536</v>
      </c>
    </row>
    <row r="1024" spans="1:9" x14ac:dyDescent="0.25">
      <c r="A1024" t="s">
        <v>2306</v>
      </c>
      <c r="B1024">
        <v>1</v>
      </c>
      <c r="C1024">
        <v>4</v>
      </c>
      <c r="D1024" t="s">
        <v>148</v>
      </c>
      <c r="E1024" t="s">
        <v>1035</v>
      </c>
      <c r="F1024" t="s">
        <v>21</v>
      </c>
      <c r="G1024">
        <v>0.25</v>
      </c>
      <c r="H1024">
        <v>-1.3862943611198906</v>
      </c>
      <c r="I1024" t="s">
        <v>3536</v>
      </c>
    </row>
    <row r="1025" spans="1:9" x14ac:dyDescent="0.25">
      <c r="A1025" t="s">
        <v>2307</v>
      </c>
      <c r="B1025">
        <v>1</v>
      </c>
      <c r="C1025">
        <v>0.63100000000000001</v>
      </c>
      <c r="D1025" t="s">
        <v>2308</v>
      </c>
      <c r="E1025" t="s">
        <v>1657</v>
      </c>
      <c r="F1025" t="s">
        <v>50</v>
      </c>
      <c r="G1025">
        <v>1.5847860538827259</v>
      </c>
      <c r="H1025">
        <v>0.46044941644092391</v>
      </c>
      <c r="I1025" t="s">
        <v>3536</v>
      </c>
    </row>
    <row r="1026" spans="1:9" x14ac:dyDescent="0.25">
      <c r="A1026" t="s">
        <v>2309</v>
      </c>
      <c r="B1026">
        <v>1</v>
      </c>
      <c r="C1026">
        <v>0.18099999999999999</v>
      </c>
      <c r="D1026" t="s">
        <v>1712</v>
      </c>
      <c r="E1026" t="s">
        <v>294</v>
      </c>
      <c r="F1026" t="s">
        <v>21</v>
      </c>
      <c r="G1026">
        <v>5.5248618784530388</v>
      </c>
      <c r="H1026">
        <v>1.7092582477163114</v>
      </c>
      <c r="I1026" t="s">
        <v>3536</v>
      </c>
    </row>
    <row r="1027" spans="1:9" x14ac:dyDescent="0.25">
      <c r="A1027" t="s">
        <v>2310</v>
      </c>
      <c r="B1027">
        <v>1</v>
      </c>
      <c r="C1027">
        <v>0.13400000000000001</v>
      </c>
      <c r="D1027" t="s">
        <v>130</v>
      </c>
      <c r="E1027" t="s">
        <v>10</v>
      </c>
      <c r="F1027" t="s">
        <v>11</v>
      </c>
      <c r="G1027">
        <v>7.4626865671641784</v>
      </c>
      <c r="H1027">
        <v>2.0099154790312257</v>
      </c>
      <c r="I1027" t="s">
        <v>3536</v>
      </c>
    </row>
    <row r="1028" spans="1:9" x14ac:dyDescent="0.25">
      <c r="A1028" t="s">
        <v>2311</v>
      </c>
      <c r="B1028">
        <v>1</v>
      </c>
      <c r="C1028">
        <v>0.2</v>
      </c>
      <c r="D1028" t="s">
        <v>2312</v>
      </c>
      <c r="E1028" t="s">
        <v>275</v>
      </c>
      <c r="F1028" t="s">
        <v>21</v>
      </c>
      <c r="G1028">
        <v>5</v>
      </c>
      <c r="H1028">
        <v>1.6094379124341003</v>
      </c>
      <c r="I1028" t="s">
        <v>3536</v>
      </c>
    </row>
    <row r="1029" spans="1:9" x14ac:dyDescent="0.25">
      <c r="A1029" t="s">
        <v>2313</v>
      </c>
      <c r="B1029">
        <v>1</v>
      </c>
      <c r="C1029">
        <v>0.49</v>
      </c>
      <c r="D1029" t="s">
        <v>2315</v>
      </c>
      <c r="E1029" t="s">
        <v>44</v>
      </c>
      <c r="F1029" t="s">
        <v>21</v>
      </c>
      <c r="G1029">
        <v>2.0408163265306123</v>
      </c>
      <c r="H1029">
        <v>0.71334988787746478</v>
      </c>
      <c r="I1029" t="s">
        <v>3536</v>
      </c>
    </row>
    <row r="1030" spans="1:9" x14ac:dyDescent="0.25">
      <c r="A1030" t="s">
        <v>2316</v>
      </c>
      <c r="B1030">
        <v>1</v>
      </c>
      <c r="C1030">
        <v>0.115</v>
      </c>
      <c r="D1030" t="s">
        <v>2317</v>
      </c>
      <c r="E1030" t="s">
        <v>10</v>
      </c>
      <c r="F1030" t="s">
        <v>11</v>
      </c>
      <c r="G1030">
        <v>8.695652173913043</v>
      </c>
      <c r="H1030">
        <v>2.1628231506188871</v>
      </c>
      <c r="I1030" t="s">
        <v>3536</v>
      </c>
    </row>
    <row r="1031" spans="1:9" x14ac:dyDescent="0.25">
      <c r="A1031" t="s">
        <v>2318</v>
      </c>
      <c r="B1031">
        <v>1</v>
      </c>
      <c r="C1031">
        <v>0.17199999999999999</v>
      </c>
      <c r="D1031" t="s">
        <v>2320</v>
      </c>
      <c r="E1031" t="s">
        <v>10</v>
      </c>
      <c r="F1031" t="s">
        <v>11</v>
      </c>
      <c r="G1031">
        <v>5.8139534883720936</v>
      </c>
      <c r="H1031">
        <v>1.7602608021686841</v>
      </c>
      <c r="I1031" t="s">
        <v>3536</v>
      </c>
    </row>
    <row r="1032" spans="1:9" x14ac:dyDescent="0.25">
      <c r="A1032" t="s">
        <v>2321</v>
      </c>
      <c r="B1032">
        <v>1</v>
      </c>
      <c r="C1032">
        <v>0.01</v>
      </c>
      <c r="D1032" t="s">
        <v>2323</v>
      </c>
      <c r="E1032" t="s">
        <v>365</v>
      </c>
      <c r="F1032" t="s">
        <v>11</v>
      </c>
      <c r="G1032">
        <v>100</v>
      </c>
      <c r="H1032">
        <v>4.6051701859880918</v>
      </c>
      <c r="I1032" t="s">
        <v>3536</v>
      </c>
    </row>
    <row r="1033" spans="1:9" x14ac:dyDescent="0.25">
      <c r="A1033" t="s">
        <v>2324</v>
      </c>
      <c r="B1033">
        <v>1</v>
      </c>
      <c r="C1033">
        <v>0.26200000000000001</v>
      </c>
      <c r="D1033" t="s">
        <v>177</v>
      </c>
      <c r="E1033" t="s">
        <v>49</v>
      </c>
      <c r="F1033" t="s">
        <v>50</v>
      </c>
      <c r="G1033">
        <v>3.8167938931297707</v>
      </c>
      <c r="H1033">
        <v>1.33941077522104</v>
      </c>
      <c r="I1033" t="s">
        <v>3536</v>
      </c>
    </row>
    <row r="1034" spans="1:9" x14ac:dyDescent="0.25">
      <c r="A1034" t="s">
        <v>2325</v>
      </c>
      <c r="B1034">
        <v>1</v>
      </c>
      <c r="C1034">
        <v>0.24</v>
      </c>
      <c r="D1034" t="s">
        <v>1155</v>
      </c>
      <c r="E1034" t="s">
        <v>10</v>
      </c>
      <c r="F1034" t="s">
        <v>11</v>
      </c>
      <c r="G1034">
        <v>4.166666666666667</v>
      </c>
      <c r="H1034">
        <v>1.4271163556401458</v>
      </c>
      <c r="I1034" t="s">
        <v>3536</v>
      </c>
    </row>
    <row r="1035" spans="1:9" x14ac:dyDescent="0.25">
      <c r="A1035" t="s">
        <v>2326</v>
      </c>
      <c r="B1035">
        <v>1</v>
      </c>
      <c r="C1035">
        <v>0.29099999999999998</v>
      </c>
      <c r="D1035" t="s">
        <v>1210</v>
      </c>
      <c r="E1035" t="s">
        <v>10</v>
      </c>
      <c r="F1035" t="s">
        <v>11</v>
      </c>
      <c r="G1035">
        <v>3.4364261168384882</v>
      </c>
      <c r="H1035">
        <v>1.2344320118106447</v>
      </c>
      <c r="I1035" t="s">
        <v>3536</v>
      </c>
    </row>
    <row r="1036" spans="1:9" x14ac:dyDescent="0.25">
      <c r="A1036" t="s">
        <v>2327</v>
      </c>
      <c r="B1036">
        <v>1</v>
      </c>
      <c r="C1036">
        <v>0.10199999999999999</v>
      </c>
      <c r="D1036" t="s">
        <v>130</v>
      </c>
      <c r="E1036" t="s">
        <v>10</v>
      </c>
      <c r="F1036" t="s">
        <v>11</v>
      </c>
      <c r="G1036">
        <v>9.8039215686274517</v>
      </c>
      <c r="H1036">
        <v>2.2827824656978661</v>
      </c>
      <c r="I1036" t="s">
        <v>3536</v>
      </c>
    </row>
    <row r="1037" spans="1:9" x14ac:dyDescent="0.25">
      <c r="A1037" t="s">
        <v>2329</v>
      </c>
      <c r="B1037">
        <v>1</v>
      </c>
      <c r="C1037">
        <v>0.128</v>
      </c>
      <c r="D1037" t="s">
        <v>2331</v>
      </c>
      <c r="E1037" t="s">
        <v>10</v>
      </c>
      <c r="F1037" t="s">
        <v>11</v>
      </c>
      <c r="G1037">
        <v>7.8125</v>
      </c>
      <c r="H1037">
        <v>2.0557250150625199</v>
      </c>
      <c r="I1037" t="s">
        <v>3536</v>
      </c>
    </row>
    <row r="1038" spans="1:9" x14ac:dyDescent="0.25">
      <c r="A1038" t="s">
        <v>2332</v>
      </c>
      <c r="B1038">
        <v>1</v>
      </c>
      <c r="C1038">
        <v>0.378</v>
      </c>
      <c r="D1038" t="s">
        <v>2333</v>
      </c>
      <c r="E1038" t="s">
        <v>1008</v>
      </c>
      <c r="F1038" t="s">
        <v>11</v>
      </c>
      <c r="G1038">
        <v>2.6455026455026456</v>
      </c>
      <c r="H1038">
        <v>0.97286108336254939</v>
      </c>
      <c r="I1038" t="s">
        <v>3536</v>
      </c>
    </row>
    <row r="1039" spans="1:9" x14ac:dyDescent="0.25">
      <c r="A1039" t="s">
        <v>2334</v>
      </c>
      <c r="B1039">
        <v>1</v>
      </c>
      <c r="C1039">
        <v>0.13</v>
      </c>
      <c r="D1039" t="s">
        <v>1834</v>
      </c>
      <c r="E1039" t="s">
        <v>10</v>
      </c>
      <c r="F1039" t="s">
        <v>11</v>
      </c>
      <c r="G1039">
        <v>7.6923076923076916</v>
      </c>
      <c r="H1039">
        <v>2.0402208285265546</v>
      </c>
      <c r="I1039" t="s">
        <v>3536</v>
      </c>
    </row>
    <row r="1040" spans="1:9" x14ac:dyDescent="0.25">
      <c r="A1040" t="s">
        <v>2336</v>
      </c>
      <c r="B1040">
        <v>1</v>
      </c>
      <c r="C1040">
        <v>0.33500000000000002</v>
      </c>
      <c r="D1040" t="s">
        <v>2337</v>
      </c>
      <c r="E1040" t="s">
        <v>10</v>
      </c>
      <c r="F1040" t="s">
        <v>11</v>
      </c>
      <c r="G1040">
        <v>2.9850746268656714</v>
      </c>
      <c r="H1040">
        <v>1.0936247471570706</v>
      </c>
      <c r="I1040" t="s">
        <v>3536</v>
      </c>
    </row>
    <row r="1041" spans="1:9" x14ac:dyDescent="0.25">
      <c r="A1041" t="s">
        <v>2338</v>
      </c>
      <c r="B1041">
        <v>1</v>
      </c>
      <c r="C1041">
        <v>0.45900000000000002</v>
      </c>
      <c r="D1041" t="s">
        <v>2339</v>
      </c>
      <c r="E1041" t="s">
        <v>10</v>
      </c>
      <c r="F1041" t="s">
        <v>11</v>
      </c>
      <c r="G1041">
        <v>2.1786492374727668</v>
      </c>
      <c r="H1041">
        <v>0.77870506892159186</v>
      </c>
      <c r="I1041" t="s">
        <v>3536</v>
      </c>
    </row>
    <row r="1042" spans="1:9" x14ac:dyDescent="0.25">
      <c r="A1042" t="s">
        <v>2340</v>
      </c>
      <c r="B1042">
        <v>1</v>
      </c>
      <c r="C1042">
        <v>0.318</v>
      </c>
      <c r="D1042" t="s">
        <v>1053</v>
      </c>
      <c r="E1042" t="s">
        <v>20</v>
      </c>
      <c r="F1042" t="s">
        <v>21</v>
      </c>
      <c r="G1042">
        <v>3.1446540880503142</v>
      </c>
      <c r="H1042">
        <v>1.1457038962019601</v>
      </c>
      <c r="I1042" t="s">
        <v>3536</v>
      </c>
    </row>
    <row r="1043" spans="1:9" x14ac:dyDescent="0.25">
      <c r="A1043" t="s">
        <v>2341</v>
      </c>
      <c r="B1043">
        <v>1</v>
      </c>
      <c r="C1043">
        <v>0.48199999999999998</v>
      </c>
      <c r="D1043" t="s">
        <v>2342</v>
      </c>
      <c r="E1043" t="s">
        <v>20</v>
      </c>
      <c r="F1043" t="s">
        <v>21</v>
      </c>
      <c r="G1043">
        <v>2.0746887966804981</v>
      </c>
      <c r="H1043">
        <v>0.72981116493153686</v>
      </c>
      <c r="I1043" t="s">
        <v>3536</v>
      </c>
    </row>
    <row r="1044" spans="1:9" x14ac:dyDescent="0.25">
      <c r="A1044" t="s">
        <v>2343</v>
      </c>
      <c r="B1044">
        <v>1</v>
      </c>
      <c r="C1044">
        <v>0.33600000000000002</v>
      </c>
      <c r="D1044" t="s">
        <v>2344</v>
      </c>
      <c r="E1044" t="s">
        <v>10</v>
      </c>
      <c r="F1044" t="s">
        <v>11</v>
      </c>
      <c r="G1044">
        <v>2.9761904761904758</v>
      </c>
      <c r="H1044">
        <v>1.0906441190189327</v>
      </c>
      <c r="I1044" t="s">
        <v>3536</v>
      </c>
    </row>
    <row r="1045" spans="1:9" x14ac:dyDescent="0.25">
      <c r="A1045" t="s">
        <v>2345</v>
      </c>
      <c r="B1045">
        <v>1</v>
      </c>
      <c r="C1045">
        <v>0.20100000000000001</v>
      </c>
      <c r="D1045" t="s">
        <v>2347</v>
      </c>
      <c r="E1045" t="s">
        <v>10</v>
      </c>
      <c r="F1045" t="s">
        <v>11</v>
      </c>
      <c r="G1045">
        <v>4.9751243781094523</v>
      </c>
      <c r="H1045">
        <v>1.6044503709230613</v>
      </c>
      <c r="I1045" t="s">
        <v>3536</v>
      </c>
    </row>
    <row r="1046" spans="1:9" x14ac:dyDescent="0.25">
      <c r="A1046" t="s">
        <v>2348</v>
      </c>
      <c r="B1046">
        <v>1</v>
      </c>
      <c r="C1046">
        <v>0.16600000000000001</v>
      </c>
      <c r="D1046" t="s">
        <v>692</v>
      </c>
      <c r="E1046" t="s">
        <v>62</v>
      </c>
      <c r="F1046" t="s">
        <v>63</v>
      </c>
      <c r="G1046">
        <v>6.0240963855421681</v>
      </c>
      <c r="H1046">
        <v>1.7957674906255938</v>
      </c>
      <c r="I1046" t="s">
        <v>3536</v>
      </c>
    </row>
    <row r="1047" spans="1:9" x14ac:dyDescent="0.25">
      <c r="A1047" t="s">
        <v>2350</v>
      </c>
      <c r="B1047">
        <v>1</v>
      </c>
      <c r="C1047">
        <v>0.34100000000000003</v>
      </c>
      <c r="D1047" t="s">
        <v>1712</v>
      </c>
      <c r="E1047" t="s">
        <v>10</v>
      </c>
      <c r="F1047" t="s">
        <v>11</v>
      </c>
      <c r="G1047">
        <v>2.9325513196480935</v>
      </c>
      <c r="H1047">
        <v>1.0758728016986201</v>
      </c>
      <c r="I1047" t="s">
        <v>3536</v>
      </c>
    </row>
    <row r="1048" spans="1:9" x14ac:dyDescent="0.25">
      <c r="A1048" t="s">
        <v>2351</v>
      </c>
      <c r="B1048">
        <v>1</v>
      </c>
      <c r="C1048">
        <v>0.23499999999999999</v>
      </c>
      <c r="D1048" t="s">
        <v>2352</v>
      </c>
      <c r="E1048" t="s">
        <v>10</v>
      </c>
      <c r="F1048" t="s">
        <v>11</v>
      </c>
      <c r="G1048">
        <v>4.2553191489361701</v>
      </c>
      <c r="H1048">
        <v>1.4481697648379781</v>
      </c>
      <c r="I1048" t="s">
        <v>3536</v>
      </c>
    </row>
    <row r="1049" spans="1:9" x14ac:dyDescent="0.25">
      <c r="A1049" t="s">
        <v>2353</v>
      </c>
      <c r="B1049">
        <v>1</v>
      </c>
      <c r="C1049">
        <v>0.45400000000000001</v>
      </c>
      <c r="D1049" t="s">
        <v>66</v>
      </c>
      <c r="E1049" t="s">
        <v>49</v>
      </c>
      <c r="F1049" t="s">
        <v>50</v>
      </c>
      <c r="G1049">
        <v>2.2026431718061672</v>
      </c>
      <c r="H1049">
        <v>0.78965808094078893</v>
      </c>
      <c r="I1049" t="s">
        <v>3536</v>
      </c>
    </row>
    <row r="1050" spans="1:9" x14ac:dyDescent="0.25">
      <c r="A1050" t="s">
        <v>2355</v>
      </c>
      <c r="B1050">
        <v>1</v>
      </c>
      <c r="C1050">
        <v>0</v>
      </c>
      <c r="D1050" t="s">
        <v>496</v>
      </c>
      <c r="E1050" t="s">
        <v>10</v>
      </c>
      <c r="F1050" t="s">
        <v>11</v>
      </c>
      <c r="G1050" t="s">
        <v>3535</v>
      </c>
      <c r="H1050" t="s">
        <v>3535</v>
      </c>
      <c r="I1050" t="s">
        <v>3537</v>
      </c>
    </row>
    <row r="1051" spans="1:9" x14ac:dyDescent="0.25">
      <c r="A1051" t="s">
        <v>2356</v>
      </c>
      <c r="B1051">
        <v>1</v>
      </c>
      <c r="C1051">
        <v>0.182</v>
      </c>
      <c r="D1051" t="s">
        <v>2357</v>
      </c>
      <c r="E1051" t="s">
        <v>10</v>
      </c>
      <c r="F1051" t="s">
        <v>11</v>
      </c>
      <c r="G1051">
        <v>5.4945054945054945</v>
      </c>
      <c r="H1051">
        <v>1.7037485919053417</v>
      </c>
      <c r="I1051" t="s">
        <v>3536</v>
      </c>
    </row>
    <row r="1052" spans="1:9" x14ac:dyDescent="0.25">
      <c r="A1052" t="s">
        <v>2358</v>
      </c>
      <c r="B1052">
        <v>1</v>
      </c>
      <c r="C1052">
        <v>0.154</v>
      </c>
      <c r="D1052" t="s">
        <v>1042</v>
      </c>
      <c r="E1052" t="s">
        <v>350</v>
      </c>
      <c r="F1052" t="s">
        <v>21</v>
      </c>
      <c r="G1052">
        <v>6.4935064935064934</v>
      </c>
      <c r="H1052">
        <v>1.870802676568508</v>
      </c>
      <c r="I1052" t="s">
        <v>3536</v>
      </c>
    </row>
    <row r="1053" spans="1:9" x14ac:dyDescent="0.25">
      <c r="A1053" t="s">
        <v>2360</v>
      </c>
      <c r="B1053">
        <v>1</v>
      </c>
      <c r="C1053">
        <v>0.23</v>
      </c>
      <c r="D1053" t="s">
        <v>2361</v>
      </c>
      <c r="E1053" t="s">
        <v>10</v>
      </c>
      <c r="F1053" t="s">
        <v>11</v>
      </c>
      <c r="G1053">
        <v>4.3478260869565215</v>
      </c>
      <c r="H1053">
        <v>1.4696759700589417</v>
      </c>
      <c r="I1053" t="s">
        <v>3536</v>
      </c>
    </row>
    <row r="1054" spans="1:9" x14ac:dyDescent="0.25">
      <c r="A1054" t="s">
        <v>2362</v>
      </c>
      <c r="B1054">
        <v>1</v>
      </c>
      <c r="C1054">
        <v>0.17399999999999999</v>
      </c>
      <c r="D1054" t="s">
        <v>2364</v>
      </c>
      <c r="E1054" t="s">
        <v>1008</v>
      </c>
      <c r="F1054" t="s">
        <v>11</v>
      </c>
      <c r="G1054">
        <v>5.7471264367816097</v>
      </c>
      <c r="H1054">
        <v>1.7486999797676082</v>
      </c>
      <c r="I1054" t="s">
        <v>3536</v>
      </c>
    </row>
    <row r="1055" spans="1:9" x14ac:dyDescent="0.25">
      <c r="A1055" t="s">
        <v>2365</v>
      </c>
      <c r="B1055">
        <v>1</v>
      </c>
      <c r="C1055">
        <v>0.55000000000000004</v>
      </c>
      <c r="D1055" t="s">
        <v>238</v>
      </c>
      <c r="E1055" t="s">
        <v>10</v>
      </c>
      <c r="F1055" t="s">
        <v>11</v>
      </c>
      <c r="G1055">
        <v>1.8181818181818181</v>
      </c>
      <c r="H1055">
        <v>0.59783700075562041</v>
      </c>
      <c r="I1055" t="s">
        <v>3536</v>
      </c>
    </row>
    <row r="1056" spans="1:9" x14ac:dyDescent="0.25">
      <c r="A1056" t="s">
        <v>2366</v>
      </c>
      <c r="B1056">
        <v>1</v>
      </c>
      <c r="C1056">
        <v>0.3</v>
      </c>
      <c r="D1056" t="s">
        <v>2367</v>
      </c>
      <c r="E1056" t="s">
        <v>10</v>
      </c>
      <c r="F1056" t="s">
        <v>11</v>
      </c>
      <c r="G1056">
        <v>3.3333333333333335</v>
      </c>
      <c r="H1056">
        <v>1.2039728043259361</v>
      </c>
      <c r="I1056" t="s">
        <v>3536</v>
      </c>
    </row>
    <row r="1057" spans="1:9" x14ac:dyDescent="0.25">
      <c r="A1057" t="s">
        <v>2368</v>
      </c>
      <c r="B1057">
        <v>1</v>
      </c>
      <c r="C1057">
        <v>0.13</v>
      </c>
      <c r="D1057" t="s">
        <v>1843</v>
      </c>
      <c r="E1057" t="s">
        <v>10</v>
      </c>
      <c r="F1057" t="s">
        <v>11</v>
      </c>
      <c r="G1057">
        <v>7.6923076923076916</v>
      </c>
      <c r="H1057">
        <v>2.0402208285265546</v>
      </c>
      <c r="I1057" t="s">
        <v>3536</v>
      </c>
    </row>
    <row r="1058" spans="1:9" x14ac:dyDescent="0.25">
      <c r="A1058" t="s">
        <v>2369</v>
      </c>
      <c r="B1058">
        <v>1</v>
      </c>
      <c r="C1058">
        <v>0.47599999999999998</v>
      </c>
      <c r="D1058" t="s">
        <v>2370</v>
      </c>
      <c r="E1058" t="s">
        <v>44</v>
      </c>
      <c r="F1058" t="s">
        <v>21</v>
      </c>
      <c r="G1058">
        <v>2.1008403361344539</v>
      </c>
      <c r="H1058">
        <v>0.74233742475071707</v>
      </c>
      <c r="I1058" t="s">
        <v>3536</v>
      </c>
    </row>
    <row r="1059" spans="1:9" x14ac:dyDescent="0.25">
      <c r="A1059" t="s">
        <v>2371</v>
      </c>
      <c r="B1059">
        <v>1</v>
      </c>
      <c r="C1059">
        <v>9.4E-2</v>
      </c>
      <c r="D1059" t="s">
        <v>225</v>
      </c>
      <c r="E1059" t="s">
        <v>10</v>
      </c>
      <c r="F1059" t="s">
        <v>11</v>
      </c>
      <c r="G1059">
        <v>10.638297872340425</v>
      </c>
      <c r="H1059">
        <v>2.364460496712133</v>
      </c>
      <c r="I1059" t="s">
        <v>3536</v>
      </c>
    </row>
    <row r="1060" spans="1:9" x14ac:dyDescent="0.25">
      <c r="A1060" t="s">
        <v>2373</v>
      </c>
      <c r="B1060">
        <v>1</v>
      </c>
      <c r="C1060">
        <v>0.1</v>
      </c>
      <c r="D1060" t="s">
        <v>2374</v>
      </c>
      <c r="E1060" t="s">
        <v>10</v>
      </c>
      <c r="F1060" t="s">
        <v>11</v>
      </c>
      <c r="G1060">
        <v>10</v>
      </c>
      <c r="H1060">
        <v>2.3025850929940459</v>
      </c>
      <c r="I1060" t="s">
        <v>3536</v>
      </c>
    </row>
    <row r="1061" spans="1:9" x14ac:dyDescent="0.25">
      <c r="A1061" t="s">
        <v>2375</v>
      </c>
      <c r="B1061">
        <v>1</v>
      </c>
      <c r="C1061">
        <v>0.13800000000000001</v>
      </c>
      <c r="D1061" t="s">
        <v>2376</v>
      </c>
      <c r="E1061" t="s">
        <v>10</v>
      </c>
      <c r="F1061" t="s">
        <v>11</v>
      </c>
      <c r="G1061">
        <v>7.2463768115942022</v>
      </c>
      <c r="H1061">
        <v>1.9805015938249322</v>
      </c>
      <c r="I1061" t="s">
        <v>3536</v>
      </c>
    </row>
    <row r="1062" spans="1:9" x14ac:dyDescent="0.25">
      <c r="A1062" t="s">
        <v>2377</v>
      </c>
      <c r="B1062">
        <v>1</v>
      </c>
      <c r="C1062">
        <v>0.27300000000000002</v>
      </c>
      <c r="D1062" t="s">
        <v>2378</v>
      </c>
      <c r="E1062" t="s">
        <v>10</v>
      </c>
      <c r="F1062" t="s">
        <v>11</v>
      </c>
      <c r="G1062">
        <v>3.6630036630036629</v>
      </c>
      <c r="H1062">
        <v>1.2982834837971773</v>
      </c>
      <c r="I1062" t="s">
        <v>3536</v>
      </c>
    </row>
    <row r="1063" spans="1:9" x14ac:dyDescent="0.25">
      <c r="A1063" t="s">
        <v>2379</v>
      </c>
      <c r="B1063">
        <v>1</v>
      </c>
      <c r="C1063">
        <v>0.22900000000000001</v>
      </c>
      <c r="D1063" t="s">
        <v>1800</v>
      </c>
      <c r="E1063" t="s">
        <v>10</v>
      </c>
      <c r="F1063" t="s">
        <v>11</v>
      </c>
      <c r="G1063">
        <v>4.3668122270742353</v>
      </c>
      <c r="H1063">
        <v>1.4740332754278973</v>
      </c>
      <c r="I1063" t="s">
        <v>3536</v>
      </c>
    </row>
    <row r="1064" spans="1:9" x14ac:dyDescent="0.25">
      <c r="A1064" t="s">
        <v>2381</v>
      </c>
      <c r="B1064">
        <v>1</v>
      </c>
      <c r="C1064">
        <v>0.26</v>
      </c>
      <c r="D1064" t="s">
        <v>2382</v>
      </c>
      <c r="E1064" t="s">
        <v>350</v>
      </c>
      <c r="F1064" t="s">
        <v>21</v>
      </c>
      <c r="G1064">
        <v>3.8461538461538458</v>
      </c>
      <c r="H1064">
        <v>1.3470736479666092</v>
      </c>
      <c r="I1064" t="s">
        <v>3536</v>
      </c>
    </row>
    <row r="1065" spans="1:9" x14ac:dyDescent="0.25">
      <c r="A1065" t="s">
        <v>2383</v>
      </c>
      <c r="B1065">
        <v>1</v>
      </c>
      <c r="C1065">
        <v>0</v>
      </c>
      <c r="E1065" t="s">
        <v>10</v>
      </c>
      <c r="F1065" t="s">
        <v>11</v>
      </c>
      <c r="G1065" t="s">
        <v>3535</v>
      </c>
      <c r="H1065" t="s">
        <v>3535</v>
      </c>
      <c r="I1065" t="s">
        <v>3537</v>
      </c>
    </row>
    <row r="1066" spans="1:9" x14ac:dyDescent="0.25">
      <c r="A1066" t="s">
        <v>2384</v>
      </c>
      <c r="B1066">
        <v>1</v>
      </c>
      <c r="C1066">
        <v>0.15</v>
      </c>
      <c r="D1066" t="s">
        <v>500</v>
      </c>
      <c r="E1066" t="s">
        <v>10</v>
      </c>
      <c r="F1066" t="s">
        <v>11</v>
      </c>
      <c r="G1066">
        <v>6.666666666666667</v>
      </c>
      <c r="H1066">
        <v>1.8971199848858813</v>
      </c>
      <c r="I1066" t="s">
        <v>3536</v>
      </c>
    </row>
    <row r="1067" spans="1:9" x14ac:dyDescent="0.25">
      <c r="A1067" t="s">
        <v>2385</v>
      </c>
      <c r="B1067">
        <v>1</v>
      </c>
      <c r="C1067">
        <v>0.35299999999999998</v>
      </c>
      <c r="D1067" t="s">
        <v>755</v>
      </c>
      <c r="E1067" t="s">
        <v>10</v>
      </c>
      <c r="F1067" t="s">
        <v>11</v>
      </c>
      <c r="G1067">
        <v>2.8328611898017</v>
      </c>
      <c r="H1067">
        <v>1.0412872220488403</v>
      </c>
      <c r="I1067" t="s">
        <v>3536</v>
      </c>
    </row>
    <row r="1068" spans="1:9" x14ac:dyDescent="0.25">
      <c r="A1068" t="s">
        <v>2386</v>
      </c>
      <c r="B1068">
        <v>1</v>
      </c>
      <c r="C1068">
        <v>0.61399999999999999</v>
      </c>
      <c r="D1068" t="s">
        <v>339</v>
      </c>
      <c r="E1068" t="s">
        <v>10</v>
      </c>
      <c r="F1068" t="s">
        <v>11</v>
      </c>
      <c r="G1068">
        <v>1.6286644951140066</v>
      </c>
      <c r="H1068">
        <v>0.48776035083499464</v>
      </c>
      <c r="I1068" t="s">
        <v>3536</v>
      </c>
    </row>
    <row r="1069" spans="1:9" x14ac:dyDescent="0.25">
      <c r="A1069" t="s">
        <v>2387</v>
      </c>
      <c r="B1069">
        <v>1</v>
      </c>
      <c r="C1069">
        <v>0.21199999999999999</v>
      </c>
      <c r="D1069" t="s">
        <v>500</v>
      </c>
      <c r="E1069" t="s">
        <v>10</v>
      </c>
      <c r="F1069" t="s">
        <v>11</v>
      </c>
      <c r="G1069">
        <v>4.716981132075472</v>
      </c>
      <c r="H1069">
        <v>1.5511690043101247</v>
      </c>
      <c r="I1069" t="s">
        <v>3536</v>
      </c>
    </row>
    <row r="1070" spans="1:9" x14ac:dyDescent="0.25">
      <c r="A1070" t="s">
        <v>2388</v>
      </c>
      <c r="B1070">
        <v>1</v>
      </c>
      <c r="C1070">
        <v>0.30199999999999999</v>
      </c>
      <c r="D1070" t="s">
        <v>2389</v>
      </c>
      <c r="E1070" t="s">
        <v>10</v>
      </c>
      <c r="F1070" t="s">
        <v>11</v>
      </c>
      <c r="G1070">
        <v>3.3112582781456954</v>
      </c>
      <c r="H1070">
        <v>1.1973282616072674</v>
      </c>
      <c r="I1070" t="s">
        <v>3536</v>
      </c>
    </row>
    <row r="1071" spans="1:9" x14ac:dyDescent="0.25">
      <c r="A1071" t="s">
        <v>2390</v>
      </c>
      <c r="B1071">
        <v>1</v>
      </c>
      <c r="C1071">
        <v>0.115</v>
      </c>
      <c r="D1071" t="s">
        <v>1074</v>
      </c>
      <c r="E1071" t="s">
        <v>10</v>
      </c>
      <c r="F1071" t="s">
        <v>11</v>
      </c>
      <c r="G1071">
        <v>8.695652173913043</v>
      </c>
      <c r="H1071">
        <v>2.1628231506188871</v>
      </c>
      <c r="I1071" t="s">
        <v>3536</v>
      </c>
    </row>
    <row r="1072" spans="1:9" x14ac:dyDescent="0.25">
      <c r="A1072" t="s">
        <v>2391</v>
      </c>
      <c r="B1072">
        <v>1</v>
      </c>
      <c r="C1072">
        <v>0.25700000000000001</v>
      </c>
      <c r="D1072" t="s">
        <v>2392</v>
      </c>
      <c r="E1072" t="s">
        <v>10</v>
      </c>
      <c r="F1072" t="s">
        <v>11</v>
      </c>
      <c r="G1072">
        <v>3.8910505836575875</v>
      </c>
      <c r="H1072">
        <v>1.3586791940869172</v>
      </c>
      <c r="I1072" t="s">
        <v>3536</v>
      </c>
    </row>
    <row r="1073" spans="1:9" x14ac:dyDescent="0.25">
      <c r="A1073" t="s">
        <v>2393</v>
      </c>
      <c r="B1073">
        <v>1</v>
      </c>
      <c r="C1073">
        <v>0.378</v>
      </c>
      <c r="E1073" t="s">
        <v>20</v>
      </c>
      <c r="F1073" t="s">
        <v>21</v>
      </c>
      <c r="G1073">
        <v>2.6455026455026456</v>
      </c>
      <c r="H1073">
        <v>0.97286108336254939</v>
      </c>
      <c r="I1073" t="s">
        <v>3536</v>
      </c>
    </row>
    <row r="1074" spans="1:9" x14ac:dyDescent="0.25">
      <c r="A1074" t="s">
        <v>2394</v>
      </c>
      <c r="B1074">
        <v>1</v>
      </c>
      <c r="C1074">
        <v>0.161</v>
      </c>
      <c r="D1074" t="s">
        <v>2395</v>
      </c>
      <c r="E1074" t="s">
        <v>10</v>
      </c>
      <c r="F1074" t="s">
        <v>11</v>
      </c>
      <c r="G1074">
        <v>6.2111801242236027</v>
      </c>
      <c r="H1074">
        <v>1.8263509139976741</v>
      </c>
      <c r="I1074" t="s">
        <v>3536</v>
      </c>
    </row>
    <row r="1075" spans="1:9" x14ac:dyDescent="0.25">
      <c r="A1075" t="s">
        <v>2396</v>
      </c>
      <c r="B1075">
        <v>1</v>
      </c>
      <c r="C1075">
        <v>2</v>
      </c>
      <c r="D1075" t="s">
        <v>2397</v>
      </c>
      <c r="E1075" t="s">
        <v>20</v>
      </c>
      <c r="F1075" t="s">
        <v>21</v>
      </c>
      <c r="G1075">
        <v>0.5</v>
      </c>
      <c r="H1075">
        <v>-0.69314718055994529</v>
      </c>
      <c r="I1075" t="s">
        <v>3536</v>
      </c>
    </row>
    <row r="1076" spans="1:9" x14ac:dyDescent="0.25">
      <c r="A1076" t="s">
        <v>2398</v>
      </c>
      <c r="B1076">
        <v>1</v>
      </c>
      <c r="C1076">
        <v>0.184</v>
      </c>
      <c r="D1076" t="s">
        <v>1053</v>
      </c>
      <c r="E1076" t="s">
        <v>44</v>
      </c>
      <c r="F1076" t="s">
        <v>21</v>
      </c>
      <c r="G1076">
        <v>5.4347826086956523</v>
      </c>
      <c r="H1076">
        <v>1.6928195213731514</v>
      </c>
      <c r="I1076" t="s">
        <v>3536</v>
      </c>
    </row>
    <row r="1077" spans="1:9" x14ac:dyDescent="0.25">
      <c r="A1077" t="s">
        <v>2399</v>
      </c>
      <c r="B1077">
        <v>1</v>
      </c>
      <c r="C1077">
        <v>0.16600000000000001</v>
      </c>
      <c r="D1077" t="s">
        <v>563</v>
      </c>
      <c r="E1077" t="s">
        <v>20</v>
      </c>
      <c r="F1077" t="s">
        <v>21</v>
      </c>
      <c r="G1077">
        <v>6.0240963855421681</v>
      </c>
      <c r="H1077">
        <v>1.7957674906255938</v>
      </c>
      <c r="I1077" t="s">
        <v>3536</v>
      </c>
    </row>
    <row r="1078" spans="1:9" x14ac:dyDescent="0.25">
      <c r="A1078" t="s">
        <v>2400</v>
      </c>
      <c r="B1078">
        <v>1</v>
      </c>
      <c r="C1078">
        <v>0.191</v>
      </c>
      <c r="D1078" t="s">
        <v>576</v>
      </c>
      <c r="E1078" t="s">
        <v>10</v>
      </c>
      <c r="F1078" t="s">
        <v>11</v>
      </c>
      <c r="G1078">
        <v>5.2356020942408374</v>
      </c>
      <c r="H1078">
        <v>1.6554818509355071</v>
      </c>
      <c r="I1078" t="s">
        <v>3536</v>
      </c>
    </row>
    <row r="1079" spans="1:9" x14ac:dyDescent="0.25">
      <c r="A1079" t="s">
        <v>2402</v>
      </c>
      <c r="B1079">
        <v>1</v>
      </c>
      <c r="C1079">
        <v>0.19900000000000001</v>
      </c>
      <c r="D1079" t="s">
        <v>2403</v>
      </c>
      <c r="E1079" t="s">
        <v>44</v>
      </c>
      <c r="F1079" t="s">
        <v>21</v>
      </c>
      <c r="G1079">
        <v>5.0251256281407031</v>
      </c>
      <c r="H1079">
        <v>1.6144504542576446</v>
      </c>
      <c r="I1079" t="s">
        <v>3536</v>
      </c>
    </row>
    <row r="1080" spans="1:9" x14ac:dyDescent="0.25">
      <c r="A1080" t="s">
        <v>2404</v>
      </c>
      <c r="B1080">
        <v>1</v>
      </c>
      <c r="C1080">
        <v>0.34699999999999998</v>
      </c>
      <c r="D1080" t="s">
        <v>2003</v>
      </c>
      <c r="E1080" t="s">
        <v>10</v>
      </c>
      <c r="F1080" t="s">
        <v>11</v>
      </c>
      <c r="G1080">
        <v>2.8818443804034586</v>
      </c>
      <c r="H1080">
        <v>1.058430499035278</v>
      </c>
      <c r="I1080" t="s">
        <v>3536</v>
      </c>
    </row>
    <row r="1081" spans="1:9" x14ac:dyDescent="0.25">
      <c r="A1081" t="s">
        <v>2406</v>
      </c>
      <c r="B1081">
        <v>1</v>
      </c>
      <c r="C1081">
        <v>0.33700000000000002</v>
      </c>
      <c r="D1081" t="s">
        <v>1361</v>
      </c>
      <c r="E1081" t="s">
        <v>10</v>
      </c>
      <c r="F1081" t="s">
        <v>11</v>
      </c>
      <c r="G1081">
        <v>2.9673590504451037</v>
      </c>
      <c r="H1081">
        <v>1.0876723486297752</v>
      </c>
      <c r="I1081" t="s">
        <v>3536</v>
      </c>
    </row>
    <row r="1082" spans="1:9" x14ac:dyDescent="0.25">
      <c r="A1082" t="s">
        <v>2407</v>
      </c>
      <c r="B1082">
        <v>1</v>
      </c>
      <c r="C1082">
        <v>0.157</v>
      </c>
      <c r="D1082" t="s">
        <v>576</v>
      </c>
      <c r="E1082" t="s">
        <v>787</v>
      </c>
      <c r="F1082" t="s">
        <v>50</v>
      </c>
      <c r="G1082">
        <v>6.369426751592357</v>
      </c>
      <c r="H1082">
        <v>1.8515094736338291</v>
      </c>
      <c r="I1082" t="s">
        <v>3536</v>
      </c>
    </row>
    <row r="1083" spans="1:9" x14ac:dyDescent="0.25">
      <c r="A1083" t="s">
        <v>2408</v>
      </c>
      <c r="B1083">
        <v>1</v>
      </c>
      <c r="C1083">
        <v>0.25700000000000001</v>
      </c>
      <c r="D1083" t="s">
        <v>2409</v>
      </c>
      <c r="E1083" t="s">
        <v>10</v>
      </c>
      <c r="F1083" t="s">
        <v>11</v>
      </c>
      <c r="G1083">
        <v>3.8910505836575875</v>
      </c>
      <c r="H1083">
        <v>1.3586791940869172</v>
      </c>
      <c r="I1083" t="s">
        <v>3536</v>
      </c>
    </row>
    <row r="1084" spans="1:9" x14ac:dyDescent="0.25">
      <c r="A1084" t="s">
        <v>2410</v>
      </c>
      <c r="B1084">
        <v>1</v>
      </c>
      <c r="C1084">
        <v>0.59399999999999997</v>
      </c>
      <c r="D1084" t="s">
        <v>576</v>
      </c>
      <c r="E1084" t="s">
        <v>20</v>
      </c>
      <c r="F1084" t="s">
        <v>21</v>
      </c>
      <c r="G1084">
        <v>1.6835016835016836</v>
      </c>
      <c r="H1084">
        <v>0.52087595961949218</v>
      </c>
      <c r="I1084" t="s">
        <v>3536</v>
      </c>
    </row>
    <row r="1085" spans="1:9" x14ac:dyDescent="0.25">
      <c r="A1085" t="s">
        <v>2411</v>
      </c>
      <c r="B1085">
        <v>1</v>
      </c>
      <c r="C1085">
        <v>1</v>
      </c>
      <c r="D1085" t="s">
        <v>1843</v>
      </c>
      <c r="E1085" t="s">
        <v>10</v>
      </c>
      <c r="F1085" t="s">
        <v>11</v>
      </c>
      <c r="G1085">
        <v>1</v>
      </c>
      <c r="H1085">
        <v>0</v>
      </c>
      <c r="I1085" t="s">
        <v>3536</v>
      </c>
    </row>
    <row r="1086" spans="1:9" x14ac:dyDescent="0.25">
      <c r="A1086" t="s">
        <v>2412</v>
      </c>
      <c r="B1086">
        <v>1</v>
      </c>
      <c r="C1086">
        <v>0.32500000000000001</v>
      </c>
      <c r="D1086" t="s">
        <v>1146</v>
      </c>
      <c r="E1086" t="s">
        <v>10</v>
      </c>
      <c r="F1086" t="s">
        <v>11</v>
      </c>
      <c r="G1086">
        <v>3.0769230769230766</v>
      </c>
      <c r="H1086">
        <v>1.1239300966523995</v>
      </c>
      <c r="I1086" t="s">
        <v>3536</v>
      </c>
    </row>
    <row r="1087" spans="1:9" x14ac:dyDescent="0.25">
      <c r="A1087" t="s">
        <v>2413</v>
      </c>
      <c r="B1087">
        <v>1</v>
      </c>
      <c r="C1087">
        <v>0.16500000000000001</v>
      </c>
      <c r="D1087" t="s">
        <v>2414</v>
      </c>
      <c r="E1087" t="s">
        <v>10</v>
      </c>
      <c r="F1087" t="s">
        <v>11</v>
      </c>
      <c r="G1087">
        <v>6.0606060606060606</v>
      </c>
      <c r="H1087">
        <v>1.8018098050815565</v>
      </c>
      <c r="I1087" t="s">
        <v>3536</v>
      </c>
    </row>
    <row r="1088" spans="1:9" x14ac:dyDescent="0.25">
      <c r="A1088" t="s">
        <v>2415</v>
      </c>
      <c r="B1088">
        <v>1</v>
      </c>
      <c r="C1088">
        <v>0.13200000000000001</v>
      </c>
      <c r="D1088" t="s">
        <v>322</v>
      </c>
      <c r="E1088" t="s">
        <v>10</v>
      </c>
      <c r="F1088" t="s">
        <v>11</v>
      </c>
      <c r="G1088">
        <v>7.5757575757575752</v>
      </c>
      <c r="H1088">
        <v>2.0249533563957662</v>
      </c>
      <c r="I1088" t="s">
        <v>3536</v>
      </c>
    </row>
    <row r="1089" spans="1:9" x14ac:dyDescent="0.25">
      <c r="A1089" t="s">
        <v>2417</v>
      </c>
      <c r="B1089">
        <v>1</v>
      </c>
      <c r="C1089">
        <v>0.20399999999999999</v>
      </c>
      <c r="D1089" t="s">
        <v>1753</v>
      </c>
      <c r="E1089" t="s">
        <v>20</v>
      </c>
      <c r="F1089" t="s">
        <v>21</v>
      </c>
      <c r="G1089">
        <v>4.9019607843137258</v>
      </c>
      <c r="H1089">
        <v>1.5896352851379207</v>
      </c>
      <c r="I1089" t="s">
        <v>3536</v>
      </c>
    </row>
    <row r="1090" spans="1:9" x14ac:dyDescent="0.25">
      <c r="A1090" t="s">
        <v>2418</v>
      </c>
      <c r="B1090">
        <v>1</v>
      </c>
      <c r="C1090">
        <v>0.31900000000000001</v>
      </c>
      <c r="D1090" t="s">
        <v>2419</v>
      </c>
      <c r="E1090" t="s">
        <v>10</v>
      </c>
      <c r="F1090" t="s">
        <v>11</v>
      </c>
      <c r="G1090">
        <v>3.134796238244514</v>
      </c>
      <c r="H1090">
        <v>1.1425641761972924</v>
      </c>
      <c r="I1090" t="s">
        <v>3536</v>
      </c>
    </row>
    <row r="1091" spans="1:9" x14ac:dyDescent="0.25">
      <c r="A1091" t="s">
        <v>2420</v>
      </c>
      <c r="B1091">
        <v>1</v>
      </c>
      <c r="C1091">
        <v>0.30499999999999999</v>
      </c>
      <c r="D1091" t="s">
        <v>2421</v>
      </c>
      <c r="E1091" t="s">
        <v>10</v>
      </c>
      <c r="F1091" t="s">
        <v>11</v>
      </c>
      <c r="G1091">
        <v>3.278688524590164</v>
      </c>
      <c r="H1091">
        <v>1.1874435023747254</v>
      </c>
      <c r="I1091" t="s">
        <v>3536</v>
      </c>
    </row>
    <row r="1092" spans="1:9" x14ac:dyDescent="0.25">
      <c r="A1092" t="s">
        <v>2422</v>
      </c>
      <c r="B1092">
        <v>1</v>
      </c>
      <c r="C1092">
        <v>0.16</v>
      </c>
      <c r="D1092" t="s">
        <v>1911</v>
      </c>
      <c r="E1092" t="s">
        <v>10</v>
      </c>
      <c r="F1092" t="s">
        <v>11</v>
      </c>
      <c r="G1092">
        <v>6.25</v>
      </c>
      <c r="H1092">
        <v>1.8325814637483102</v>
      </c>
      <c r="I1092" t="s">
        <v>3536</v>
      </c>
    </row>
    <row r="1093" spans="1:9" x14ac:dyDescent="0.25">
      <c r="A1093" t="s">
        <v>2424</v>
      </c>
      <c r="B1093">
        <v>1</v>
      </c>
      <c r="C1093">
        <v>0.17</v>
      </c>
      <c r="D1093" t="s">
        <v>2425</v>
      </c>
      <c r="E1093" t="s">
        <v>10</v>
      </c>
      <c r="F1093" t="s">
        <v>11</v>
      </c>
      <c r="G1093">
        <v>5.8823529411764701</v>
      </c>
      <c r="H1093">
        <v>1.7719568419318752</v>
      </c>
      <c r="I1093" t="s">
        <v>3536</v>
      </c>
    </row>
    <row r="1094" spans="1:9" x14ac:dyDescent="0.25">
      <c r="A1094" t="s">
        <v>2426</v>
      </c>
      <c r="B1094">
        <v>1</v>
      </c>
      <c r="C1094">
        <v>0.46</v>
      </c>
      <c r="D1094" t="s">
        <v>2427</v>
      </c>
      <c r="E1094" t="s">
        <v>10</v>
      </c>
      <c r="F1094" t="s">
        <v>11</v>
      </c>
      <c r="G1094">
        <v>2.1739130434782608</v>
      </c>
      <c r="H1094">
        <v>0.77652878949899629</v>
      </c>
      <c r="I1094" t="s">
        <v>3536</v>
      </c>
    </row>
    <row r="1095" spans="1:9" x14ac:dyDescent="0.25">
      <c r="A1095" t="s">
        <v>2428</v>
      </c>
      <c r="B1095">
        <v>1</v>
      </c>
      <c r="C1095">
        <v>0.184</v>
      </c>
      <c r="D1095" t="s">
        <v>292</v>
      </c>
      <c r="E1095" t="s">
        <v>10</v>
      </c>
      <c r="F1095" t="s">
        <v>11</v>
      </c>
      <c r="G1095">
        <v>5.4347826086956523</v>
      </c>
      <c r="H1095">
        <v>1.6928195213731514</v>
      </c>
      <c r="I1095" t="s">
        <v>3536</v>
      </c>
    </row>
    <row r="1096" spans="1:9" x14ac:dyDescent="0.25">
      <c r="A1096" t="s">
        <v>2429</v>
      </c>
      <c r="B1096">
        <v>1</v>
      </c>
      <c r="C1096">
        <v>0.20699999999999999</v>
      </c>
      <c r="D1096" t="s">
        <v>1068</v>
      </c>
      <c r="E1096" t="s">
        <v>10</v>
      </c>
      <c r="F1096" t="s">
        <v>11</v>
      </c>
      <c r="G1096">
        <v>4.8309178743961354</v>
      </c>
      <c r="H1096">
        <v>1.575036485716768</v>
      </c>
      <c r="I1096" t="s">
        <v>3536</v>
      </c>
    </row>
    <row r="1097" spans="1:9" x14ac:dyDescent="0.25">
      <c r="A1097" t="s">
        <v>2431</v>
      </c>
      <c r="B1097">
        <v>1</v>
      </c>
      <c r="C1097">
        <v>4.5999999999999999E-2</v>
      </c>
      <c r="D1097" t="s">
        <v>2433</v>
      </c>
      <c r="E1097" t="s">
        <v>44</v>
      </c>
      <c r="F1097" t="s">
        <v>21</v>
      </c>
      <c r="G1097">
        <v>21.739130434782609</v>
      </c>
      <c r="H1097">
        <v>3.0791138824930422</v>
      </c>
      <c r="I1097" t="s">
        <v>3536</v>
      </c>
    </row>
    <row r="1098" spans="1:9" x14ac:dyDescent="0.25">
      <c r="A1098" t="s">
        <v>2434</v>
      </c>
      <c r="B1098">
        <v>1</v>
      </c>
      <c r="C1098">
        <v>0.29199999999999998</v>
      </c>
      <c r="D1098" t="s">
        <v>120</v>
      </c>
      <c r="E1098" t="s">
        <v>10</v>
      </c>
      <c r="F1098" t="s">
        <v>11</v>
      </c>
      <c r="G1098">
        <v>3.4246575342465757</v>
      </c>
      <c r="H1098">
        <v>1.2310014767138555</v>
      </c>
      <c r="I1098" t="s">
        <v>3536</v>
      </c>
    </row>
    <row r="1099" spans="1:9" x14ac:dyDescent="0.25">
      <c r="A1099" t="s">
        <v>2436</v>
      </c>
      <c r="B1099">
        <v>1</v>
      </c>
      <c r="C1099">
        <v>0.4</v>
      </c>
      <c r="D1099" t="s">
        <v>130</v>
      </c>
      <c r="E1099" t="s">
        <v>10</v>
      </c>
      <c r="F1099" t="s">
        <v>11</v>
      </c>
      <c r="G1099">
        <v>2.5</v>
      </c>
      <c r="H1099">
        <v>0.91629073187415511</v>
      </c>
      <c r="I1099" t="s">
        <v>3536</v>
      </c>
    </row>
    <row r="1100" spans="1:9" x14ac:dyDescent="0.25">
      <c r="A1100" t="s">
        <v>2437</v>
      </c>
      <c r="B1100">
        <v>1</v>
      </c>
      <c r="C1100">
        <v>0.42199999999999999</v>
      </c>
      <c r="D1100" t="s">
        <v>156</v>
      </c>
      <c r="E1100" t="s">
        <v>10</v>
      </c>
      <c r="F1100" t="s">
        <v>11</v>
      </c>
      <c r="G1100">
        <v>2.3696682464454977</v>
      </c>
      <c r="H1100">
        <v>0.86274996494612521</v>
      </c>
      <c r="I1100" t="s">
        <v>3536</v>
      </c>
    </row>
    <row r="1101" spans="1:9" x14ac:dyDescent="0.25">
      <c r="A1101" t="s">
        <v>2438</v>
      </c>
      <c r="B1101">
        <v>1</v>
      </c>
      <c r="C1101">
        <v>0.28000000000000003</v>
      </c>
      <c r="D1101" t="s">
        <v>973</v>
      </c>
      <c r="E1101" t="s">
        <v>20</v>
      </c>
      <c r="F1101" t="s">
        <v>21</v>
      </c>
      <c r="G1101">
        <v>3.5714285714285712</v>
      </c>
      <c r="H1101">
        <v>1.2729656758128873</v>
      </c>
      <c r="I1101" t="s">
        <v>3536</v>
      </c>
    </row>
    <row r="1102" spans="1:9" x14ac:dyDescent="0.25">
      <c r="A1102" t="s">
        <v>2439</v>
      </c>
      <c r="B1102">
        <v>1</v>
      </c>
      <c r="C1102">
        <v>0.23699999999999999</v>
      </c>
      <c r="D1102" t="s">
        <v>496</v>
      </c>
      <c r="E1102" t="s">
        <v>10</v>
      </c>
      <c r="F1102" t="s">
        <v>11</v>
      </c>
      <c r="G1102">
        <v>4.2194092827004219</v>
      </c>
      <c r="H1102">
        <v>1.4396951378470058</v>
      </c>
      <c r="I1102" t="s">
        <v>3536</v>
      </c>
    </row>
    <row r="1103" spans="1:9" x14ac:dyDescent="0.25">
      <c r="A1103" t="s">
        <v>2440</v>
      </c>
      <c r="B1103">
        <v>1</v>
      </c>
      <c r="C1103">
        <v>0.13</v>
      </c>
      <c r="E1103" t="s">
        <v>20</v>
      </c>
      <c r="F1103" t="s">
        <v>21</v>
      </c>
      <c r="G1103">
        <v>7.6923076923076916</v>
      </c>
      <c r="H1103">
        <v>2.0402208285265546</v>
      </c>
      <c r="I1103" t="s">
        <v>3536</v>
      </c>
    </row>
    <row r="1104" spans="1:9" x14ac:dyDescent="0.25">
      <c r="A1104" t="s">
        <v>2441</v>
      </c>
      <c r="B1104">
        <v>1</v>
      </c>
      <c r="C1104">
        <v>0.58499999999999996</v>
      </c>
      <c r="D1104" t="s">
        <v>407</v>
      </c>
      <c r="E1104" t="s">
        <v>384</v>
      </c>
      <c r="F1104" t="s">
        <v>21</v>
      </c>
      <c r="G1104">
        <v>1.7094017094017095</v>
      </c>
      <c r="H1104">
        <v>0.53614343175028067</v>
      </c>
      <c r="I1104" t="s">
        <v>3536</v>
      </c>
    </row>
    <row r="1105" spans="1:9" x14ac:dyDescent="0.25">
      <c r="A1105" t="s">
        <v>2442</v>
      </c>
      <c r="B1105">
        <v>1</v>
      </c>
      <c r="C1105">
        <v>0.41399999999999998</v>
      </c>
      <c r="D1105" t="s">
        <v>130</v>
      </c>
      <c r="E1105" t="s">
        <v>10</v>
      </c>
      <c r="F1105" t="s">
        <v>11</v>
      </c>
      <c r="G1105">
        <v>2.4154589371980677</v>
      </c>
      <c r="H1105">
        <v>0.88188930515682273</v>
      </c>
      <c r="I1105" t="s">
        <v>3536</v>
      </c>
    </row>
    <row r="1106" spans="1:9" x14ac:dyDescent="0.25">
      <c r="A1106" t="s">
        <v>2443</v>
      </c>
      <c r="B1106">
        <v>1</v>
      </c>
      <c r="C1106">
        <v>0.18099999999999999</v>
      </c>
      <c r="D1106" t="s">
        <v>2444</v>
      </c>
      <c r="E1106" t="s">
        <v>384</v>
      </c>
      <c r="F1106" t="s">
        <v>21</v>
      </c>
      <c r="G1106">
        <v>5.5248618784530388</v>
      </c>
      <c r="H1106">
        <v>1.7092582477163114</v>
      </c>
      <c r="I1106" t="s">
        <v>3536</v>
      </c>
    </row>
    <row r="1107" spans="1:9" x14ac:dyDescent="0.25">
      <c r="A1107" t="s">
        <v>2445</v>
      </c>
      <c r="B1107">
        <v>1</v>
      </c>
      <c r="C1107">
        <v>0.188</v>
      </c>
      <c r="D1107" t="s">
        <v>2447</v>
      </c>
      <c r="E1107" t="s">
        <v>49</v>
      </c>
      <c r="F1107" t="s">
        <v>50</v>
      </c>
      <c r="G1107">
        <v>5.3191489361702127</v>
      </c>
      <c r="H1107">
        <v>1.6713133161521878</v>
      </c>
      <c r="I1107" t="s">
        <v>3536</v>
      </c>
    </row>
    <row r="1108" spans="1:9" x14ac:dyDescent="0.25">
      <c r="A1108" t="s">
        <v>2448</v>
      </c>
      <c r="B1108">
        <v>1</v>
      </c>
      <c r="C1108">
        <v>0.188</v>
      </c>
      <c r="D1108" t="s">
        <v>130</v>
      </c>
      <c r="E1108" t="s">
        <v>44</v>
      </c>
      <c r="F1108" t="s">
        <v>21</v>
      </c>
      <c r="G1108">
        <v>5.3191489361702127</v>
      </c>
      <c r="H1108">
        <v>1.6713133161521878</v>
      </c>
      <c r="I1108" t="s">
        <v>3536</v>
      </c>
    </row>
    <row r="1109" spans="1:9" x14ac:dyDescent="0.25">
      <c r="A1109" t="s">
        <v>2449</v>
      </c>
      <c r="B1109">
        <v>1</v>
      </c>
      <c r="C1109">
        <v>8.9999999999999993E-3</v>
      </c>
      <c r="D1109" t="s">
        <v>2450</v>
      </c>
      <c r="E1109" t="s">
        <v>384</v>
      </c>
      <c r="F1109" t="s">
        <v>21</v>
      </c>
      <c r="G1109">
        <v>111.11111111111111</v>
      </c>
      <c r="H1109">
        <v>4.7105307016459177</v>
      </c>
      <c r="I1109" t="s">
        <v>3536</v>
      </c>
    </row>
    <row r="1110" spans="1:9" x14ac:dyDescent="0.25">
      <c r="A1110" t="s">
        <v>2451</v>
      </c>
      <c r="B1110">
        <v>1</v>
      </c>
      <c r="C1110">
        <v>0.161</v>
      </c>
      <c r="D1110" t="s">
        <v>2452</v>
      </c>
      <c r="E1110" t="s">
        <v>10</v>
      </c>
      <c r="F1110" t="s">
        <v>11</v>
      </c>
      <c r="G1110">
        <v>6.2111801242236027</v>
      </c>
      <c r="H1110">
        <v>1.8263509139976741</v>
      </c>
      <c r="I1110" t="s">
        <v>3536</v>
      </c>
    </row>
    <row r="1111" spans="1:9" x14ac:dyDescent="0.25">
      <c r="A1111" t="s">
        <v>2453</v>
      </c>
      <c r="B1111">
        <v>1</v>
      </c>
      <c r="C1111">
        <v>8.9999999999999993E-3</v>
      </c>
      <c r="D1111" t="s">
        <v>2454</v>
      </c>
      <c r="E1111" t="s">
        <v>787</v>
      </c>
      <c r="F1111" t="s">
        <v>50</v>
      </c>
      <c r="G1111">
        <v>111.11111111111111</v>
      </c>
      <c r="H1111">
        <v>4.7105307016459177</v>
      </c>
      <c r="I1111" t="s">
        <v>3536</v>
      </c>
    </row>
    <row r="1112" spans="1:9" x14ac:dyDescent="0.25">
      <c r="A1112" t="s">
        <v>2455</v>
      </c>
      <c r="B1112">
        <v>1</v>
      </c>
      <c r="C1112">
        <v>0.29199999999999998</v>
      </c>
      <c r="D1112" t="s">
        <v>2456</v>
      </c>
      <c r="E1112" t="s">
        <v>10</v>
      </c>
      <c r="F1112" t="s">
        <v>11</v>
      </c>
      <c r="G1112">
        <v>3.4246575342465757</v>
      </c>
      <c r="H1112">
        <v>1.2310014767138555</v>
      </c>
      <c r="I1112" t="s">
        <v>3536</v>
      </c>
    </row>
    <row r="1113" spans="1:9" x14ac:dyDescent="0.25">
      <c r="A1113" t="s">
        <v>2457</v>
      </c>
      <c r="B1113">
        <v>1</v>
      </c>
      <c r="C1113">
        <v>0.218</v>
      </c>
      <c r="D1113" t="s">
        <v>2317</v>
      </c>
      <c r="E1113" t="s">
        <v>44</v>
      </c>
      <c r="F1113" t="s">
        <v>21</v>
      </c>
      <c r="G1113">
        <v>4.5871559633027523</v>
      </c>
      <c r="H1113">
        <v>1.523260216193048</v>
      </c>
      <c r="I1113" t="s">
        <v>3536</v>
      </c>
    </row>
    <row r="1114" spans="1:9" x14ac:dyDescent="0.25">
      <c r="A1114" t="s">
        <v>2458</v>
      </c>
      <c r="B1114">
        <v>1</v>
      </c>
      <c r="C1114">
        <v>0.14799999999999999</v>
      </c>
      <c r="D1114" t="s">
        <v>137</v>
      </c>
      <c r="E1114" t="s">
        <v>10</v>
      </c>
      <c r="F1114" t="s">
        <v>11</v>
      </c>
      <c r="G1114">
        <v>6.756756756756757</v>
      </c>
      <c r="H1114">
        <v>1.9105430052180221</v>
      </c>
      <c r="I1114" t="s">
        <v>3536</v>
      </c>
    </row>
    <row r="1115" spans="1:9" x14ac:dyDescent="0.25">
      <c r="A1115" t="s">
        <v>2460</v>
      </c>
      <c r="B1115">
        <v>1</v>
      </c>
      <c r="C1115">
        <v>0.27100000000000002</v>
      </c>
      <c r="D1115" t="s">
        <v>496</v>
      </c>
      <c r="E1115" t="s">
        <v>10</v>
      </c>
      <c r="F1115" t="s">
        <v>11</v>
      </c>
      <c r="G1115">
        <v>3.6900369003690034</v>
      </c>
      <c r="H1115">
        <v>1.305636458102436</v>
      </c>
      <c r="I1115" t="s">
        <v>3536</v>
      </c>
    </row>
    <row r="1116" spans="1:9" x14ac:dyDescent="0.25">
      <c r="A1116" t="s">
        <v>2461</v>
      </c>
      <c r="B1116">
        <v>1</v>
      </c>
      <c r="C1116">
        <v>0.28100000000000003</v>
      </c>
      <c r="D1116" t="s">
        <v>254</v>
      </c>
      <c r="E1116" t="s">
        <v>10</v>
      </c>
      <c r="F1116" t="s">
        <v>11</v>
      </c>
      <c r="G1116">
        <v>3.5587188612099641</v>
      </c>
      <c r="H1116">
        <v>1.2694006096483912</v>
      </c>
      <c r="I1116" t="s">
        <v>3536</v>
      </c>
    </row>
    <row r="1117" spans="1:9" x14ac:dyDescent="0.25">
      <c r="A1117" t="s">
        <v>2462</v>
      </c>
      <c r="B1117">
        <v>1</v>
      </c>
      <c r="C1117">
        <v>0.33600000000000002</v>
      </c>
      <c r="D1117" t="s">
        <v>322</v>
      </c>
      <c r="E1117" t="s">
        <v>170</v>
      </c>
      <c r="F1117" t="s">
        <v>50</v>
      </c>
      <c r="G1117">
        <v>2.9761904761904758</v>
      </c>
      <c r="H1117">
        <v>1.0906441190189327</v>
      </c>
      <c r="I1117" t="s">
        <v>3536</v>
      </c>
    </row>
    <row r="1118" spans="1:9" x14ac:dyDescent="0.25">
      <c r="A1118" t="s">
        <v>2463</v>
      </c>
      <c r="B1118">
        <v>1</v>
      </c>
      <c r="C1118">
        <v>0.191</v>
      </c>
      <c r="D1118" t="s">
        <v>1074</v>
      </c>
      <c r="E1118" t="s">
        <v>365</v>
      </c>
      <c r="F1118" t="s">
        <v>11</v>
      </c>
      <c r="G1118">
        <v>5.2356020942408374</v>
      </c>
      <c r="H1118">
        <v>1.6554818509355071</v>
      </c>
      <c r="I1118" t="s">
        <v>3536</v>
      </c>
    </row>
    <row r="1119" spans="1:9" x14ac:dyDescent="0.25">
      <c r="A1119" t="s">
        <v>2464</v>
      </c>
      <c r="B1119">
        <v>1</v>
      </c>
      <c r="C1119">
        <v>0.44800000000000001</v>
      </c>
      <c r="D1119" t="s">
        <v>2465</v>
      </c>
      <c r="E1119" t="s">
        <v>44</v>
      </c>
      <c r="F1119" t="s">
        <v>21</v>
      </c>
      <c r="G1119">
        <v>2.2321428571428572</v>
      </c>
      <c r="H1119">
        <v>0.80296204656715187</v>
      </c>
      <c r="I1119" t="s">
        <v>3536</v>
      </c>
    </row>
    <row r="1120" spans="1:9" x14ac:dyDescent="0.25">
      <c r="A1120" t="s">
        <v>2466</v>
      </c>
      <c r="B1120">
        <v>1</v>
      </c>
      <c r="C1120">
        <v>0.33600000000000002</v>
      </c>
      <c r="D1120" t="s">
        <v>2467</v>
      </c>
      <c r="E1120" t="s">
        <v>44</v>
      </c>
      <c r="F1120" t="s">
        <v>21</v>
      </c>
      <c r="G1120">
        <v>2.9761904761904758</v>
      </c>
      <c r="H1120">
        <v>1.0906441190189327</v>
      </c>
      <c r="I1120" t="s">
        <v>3536</v>
      </c>
    </row>
    <row r="1121" spans="1:9" x14ac:dyDescent="0.25">
      <c r="A1121" t="s">
        <v>2468</v>
      </c>
      <c r="B1121">
        <v>1</v>
      </c>
      <c r="C1121">
        <v>0.8</v>
      </c>
      <c r="D1121" t="s">
        <v>2469</v>
      </c>
      <c r="E1121" t="s">
        <v>170</v>
      </c>
      <c r="F1121" t="s">
        <v>50</v>
      </c>
      <c r="G1121">
        <v>1.25</v>
      </c>
      <c r="H1121">
        <v>0.22314355131420976</v>
      </c>
      <c r="I1121" t="s">
        <v>3536</v>
      </c>
    </row>
    <row r="1122" spans="1:9" x14ac:dyDescent="0.25">
      <c r="A1122" t="s">
        <v>2470</v>
      </c>
      <c r="B1122">
        <v>1</v>
      </c>
      <c r="C1122">
        <v>0.189</v>
      </c>
      <c r="D1122" t="s">
        <v>66</v>
      </c>
      <c r="E1122" t="s">
        <v>10</v>
      </c>
      <c r="F1122" t="s">
        <v>11</v>
      </c>
      <c r="G1122">
        <v>5.2910052910052912</v>
      </c>
      <c r="H1122">
        <v>1.6660082639224947</v>
      </c>
      <c r="I1122" t="s">
        <v>3536</v>
      </c>
    </row>
    <row r="1123" spans="1:9" x14ac:dyDescent="0.25">
      <c r="A1123" t="s">
        <v>2472</v>
      </c>
      <c r="B1123">
        <v>1</v>
      </c>
      <c r="C1123">
        <v>0.34699999999999998</v>
      </c>
      <c r="D1123" t="s">
        <v>2473</v>
      </c>
      <c r="E1123" t="s">
        <v>10</v>
      </c>
      <c r="F1123" t="s">
        <v>11</v>
      </c>
      <c r="G1123">
        <v>2.8818443804034586</v>
      </c>
      <c r="H1123">
        <v>1.058430499035278</v>
      </c>
      <c r="I1123" t="s">
        <v>3536</v>
      </c>
    </row>
    <row r="1124" spans="1:9" x14ac:dyDescent="0.25">
      <c r="A1124" t="s">
        <v>2474</v>
      </c>
      <c r="B1124">
        <v>1</v>
      </c>
      <c r="C1124">
        <v>0.124</v>
      </c>
      <c r="D1124" t="s">
        <v>79</v>
      </c>
      <c r="E1124" t="s">
        <v>10</v>
      </c>
      <c r="F1124" t="s">
        <v>11</v>
      </c>
      <c r="G1124">
        <v>8.064516129032258</v>
      </c>
      <c r="H1124">
        <v>2.0874737133771002</v>
      </c>
      <c r="I1124" t="s">
        <v>3536</v>
      </c>
    </row>
    <row r="1125" spans="1:9" x14ac:dyDescent="0.25">
      <c r="A1125" t="s">
        <v>2476</v>
      </c>
      <c r="B1125">
        <v>1</v>
      </c>
      <c r="C1125">
        <v>0.37</v>
      </c>
      <c r="D1125" t="s">
        <v>2478</v>
      </c>
      <c r="E1125" t="s">
        <v>10</v>
      </c>
      <c r="F1125" t="s">
        <v>11</v>
      </c>
      <c r="G1125">
        <v>2.7027027027027026</v>
      </c>
      <c r="H1125">
        <v>0.9942522733438669</v>
      </c>
      <c r="I1125" t="s">
        <v>3536</v>
      </c>
    </row>
    <row r="1126" spans="1:9" x14ac:dyDescent="0.25">
      <c r="A1126" t="s">
        <v>2479</v>
      </c>
      <c r="B1126">
        <v>1</v>
      </c>
      <c r="C1126">
        <v>0.06</v>
      </c>
      <c r="D1126" t="s">
        <v>823</v>
      </c>
      <c r="E1126" t="s">
        <v>1035</v>
      </c>
      <c r="F1126" t="s">
        <v>21</v>
      </c>
      <c r="G1126">
        <v>16.666666666666668</v>
      </c>
      <c r="H1126">
        <v>2.8134107167600364</v>
      </c>
      <c r="I1126" t="s">
        <v>3536</v>
      </c>
    </row>
    <row r="1127" spans="1:9" x14ac:dyDescent="0.25">
      <c r="A1127" t="s">
        <v>2480</v>
      </c>
      <c r="B1127">
        <v>1</v>
      </c>
      <c r="C1127">
        <v>0.54900000000000004</v>
      </c>
      <c r="D1127" t="s">
        <v>2481</v>
      </c>
      <c r="E1127" t="s">
        <v>20</v>
      </c>
      <c r="F1127" t="s">
        <v>21</v>
      </c>
      <c r="G1127">
        <v>1.8214936247723132</v>
      </c>
      <c r="H1127">
        <v>0.59965683747260634</v>
      </c>
      <c r="I1127" t="s">
        <v>3536</v>
      </c>
    </row>
    <row r="1128" spans="1:9" x14ac:dyDescent="0.25">
      <c r="A1128" t="s">
        <v>2482</v>
      </c>
      <c r="B1128">
        <v>1</v>
      </c>
      <c r="C1128">
        <v>0.313</v>
      </c>
      <c r="D1128" t="s">
        <v>2483</v>
      </c>
      <c r="E1128" t="s">
        <v>10</v>
      </c>
      <c r="F1128" t="s">
        <v>11</v>
      </c>
      <c r="G1128">
        <v>3.1948881789137382</v>
      </c>
      <c r="H1128">
        <v>1.1615520884419839</v>
      </c>
      <c r="I1128" t="s">
        <v>3536</v>
      </c>
    </row>
    <row r="1129" spans="1:9" x14ac:dyDescent="0.25">
      <c r="A1129" t="s">
        <v>2484</v>
      </c>
      <c r="B1129">
        <v>1</v>
      </c>
      <c r="C1129">
        <v>0.2</v>
      </c>
      <c r="D1129" t="s">
        <v>2485</v>
      </c>
      <c r="E1129" t="s">
        <v>20</v>
      </c>
      <c r="F1129" t="s">
        <v>21</v>
      </c>
      <c r="G1129">
        <v>5</v>
      </c>
      <c r="H1129">
        <v>1.6094379124341003</v>
      </c>
      <c r="I1129" t="s">
        <v>3536</v>
      </c>
    </row>
    <row r="1130" spans="1:9" x14ac:dyDescent="0.25">
      <c r="A1130" t="s">
        <v>2486</v>
      </c>
      <c r="B1130">
        <v>1</v>
      </c>
      <c r="C1130">
        <v>0.26400000000000001</v>
      </c>
      <c r="D1130" t="s">
        <v>2487</v>
      </c>
      <c r="E1130" t="s">
        <v>10</v>
      </c>
      <c r="F1130" t="s">
        <v>11</v>
      </c>
      <c r="G1130">
        <v>3.7878787878787876</v>
      </c>
      <c r="H1130">
        <v>1.3318061758358208</v>
      </c>
      <c r="I1130" t="s">
        <v>3536</v>
      </c>
    </row>
    <row r="1131" spans="1:9" x14ac:dyDescent="0.25">
      <c r="A1131" t="s">
        <v>2488</v>
      </c>
      <c r="B1131">
        <v>1</v>
      </c>
      <c r="C1131">
        <v>0.17</v>
      </c>
      <c r="D1131" t="s">
        <v>496</v>
      </c>
      <c r="E1131" t="s">
        <v>10</v>
      </c>
      <c r="F1131" t="s">
        <v>11</v>
      </c>
      <c r="G1131">
        <v>5.8823529411764701</v>
      </c>
      <c r="H1131">
        <v>1.7719568419318752</v>
      </c>
      <c r="I1131" t="s">
        <v>3536</v>
      </c>
    </row>
    <row r="1132" spans="1:9" x14ac:dyDescent="0.25">
      <c r="A1132" t="s">
        <v>2489</v>
      </c>
      <c r="B1132">
        <v>1</v>
      </c>
      <c r="C1132">
        <v>0.33</v>
      </c>
      <c r="D1132" t="s">
        <v>2490</v>
      </c>
      <c r="E1132" t="s">
        <v>1008</v>
      </c>
      <c r="F1132" t="s">
        <v>11</v>
      </c>
      <c r="G1132">
        <v>3.0303030303030303</v>
      </c>
      <c r="H1132">
        <v>1.1086626245216111</v>
      </c>
      <c r="I1132" t="s">
        <v>3536</v>
      </c>
    </row>
    <row r="1133" spans="1:9" x14ac:dyDescent="0.25">
      <c r="A1133" t="s">
        <v>2491</v>
      </c>
      <c r="B1133">
        <v>1</v>
      </c>
      <c r="C1133">
        <v>0.25</v>
      </c>
      <c r="E1133" t="s">
        <v>1172</v>
      </c>
      <c r="F1133" t="s">
        <v>21</v>
      </c>
      <c r="G1133">
        <v>4</v>
      </c>
      <c r="H1133">
        <v>1.3862943611198906</v>
      </c>
      <c r="I1133" t="s">
        <v>3536</v>
      </c>
    </row>
    <row r="1134" spans="1:9" x14ac:dyDescent="0.25">
      <c r="A1134" t="s">
        <v>2492</v>
      </c>
      <c r="B1134">
        <v>1</v>
      </c>
      <c r="C1134">
        <v>0.39</v>
      </c>
      <c r="D1134" t="s">
        <v>2493</v>
      </c>
      <c r="E1134" t="s">
        <v>10</v>
      </c>
      <c r="F1134" t="s">
        <v>11</v>
      </c>
      <c r="G1134">
        <v>2.5641025641025639</v>
      </c>
      <c r="H1134">
        <v>0.94160853985844484</v>
      </c>
      <c r="I1134" t="s">
        <v>3536</v>
      </c>
    </row>
    <row r="1135" spans="1:9" x14ac:dyDescent="0.25">
      <c r="A1135" t="s">
        <v>2494</v>
      </c>
      <c r="B1135">
        <v>1</v>
      </c>
      <c r="C1135">
        <v>0.24399999999999999</v>
      </c>
      <c r="D1135" t="s">
        <v>2496</v>
      </c>
      <c r="E1135" t="s">
        <v>365</v>
      </c>
      <c r="F1135" t="s">
        <v>11</v>
      </c>
      <c r="G1135">
        <v>4.0983606557377046</v>
      </c>
      <c r="H1135">
        <v>1.4105870536889351</v>
      </c>
      <c r="I1135" t="s">
        <v>3536</v>
      </c>
    </row>
    <row r="1136" spans="1:9" x14ac:dyDescent="0.25">
      <c r="A1136" t="s">
        <v>2497</v>
      </c>
      <c r="B1136">
        <v>1</v>
      </c>
      <c r="C1136">
        <v>0.35699999999999998</v>
      </c>
      <c r="D1136" t="s">
        <v>2499</v>
      </c>
      <c r="E1136" t="s">
        <v>44</v>
      </c>
      <c r="F1136" t="s">
        <v>21</v>
      </c>
      <c r="G1136">
        <v>2.801120448179272</v>
      </c>
      <c r="H1136">
        <v>1.0300194972024981</v>
      </c>
      <c r="I1136" t="s">
        <v>3536</v>
      </c>
    </row>
    <row r="1137" spans="1:9" x14ac:dyDescent="0.25">
      <c r="A1137" t="s">
        <v>2500</v>
      </c>
      <c r="B1137">
        <v>1</v>
      </c>
      <c r="C1137">
        <v>0.1</v>
      </c>
      <c r="D1137" t="s">
        <v>2087</v>
      </c>
      <c r="E1137" t="s">
        <v>44</v>
      </c>
      <c r="F1137" t="s">
        <v>21</v>
      </c>
      <c r="G1137">
        <v>10</v>
      </c>
      <c r="H1137">
        <v>2.3025850929940459</v>
      </c>
      <c r="I1137" t="s">
        <v>3536</v>
      </c>
    </row>
    <row r="1138" spans="1:9" x14ac:dyDescent="0.25">
      <c r="A1138" t="s">
        <v>2501</v>
      </c>
      <c r="B1138">
        <v>1</v>
      </c>
      <c r="C1138">
        <v>0.29199999999999998</v>
      </c>
      <c r="D1138" t="s">
        <v>413</v>
      </c>
      <c r="E1138" t="s">
        <v>10</v>
      </c>
      <c r="F1138" t="s">
        <v>11</v>
      </c>
      <c r="G1138">
        <v>3.4246575342465757</v>
      </c>
      <c r="H1138">
        <v>1.2310014767138555</v>
      </c>
      <c r="I1138" t="s">
        <v>3536</v>
      </c>
    </row>
    <row r="1139" spans="1:9" x14ac:dyDescent="0.25">
      <c r="A1139" t="s">
        <v>2502</v>
      </c>
      <c r="B1139">
        <v>1</v>
      </c>
      <c r="C1139">
        <v>0.47699999999999998</v>
      </c>
      <c r="D1139" t="s">
        <v>2503</v>
      </c>
      <c r="E1139" t="s">
        <v>49</v>
      </c>
      <c r="F1139" t="s">
        <v>50</v>
      </c>
      <c r="G1139">
        <v>2.0964360587002098</v>
      </c>
      <c r="H1139">
        <v>0.74023878809379584</v>
      </c>
      <c r="I1139" t="s">
        <v>3536</v>
      </c>
    </row>
    <row r="1140" spans="1:9" x14ac:dyDescent="0.25">
      <c r="A1140" t="s">
        <v>2504</v>
      </c>
      <c r="B1140">
        <v>1</v>
      </c>
      <c r="C1140">
        <v>0.35299999999999998</v>
      </c>
      <c r="D1140" t="s">
        <v>641</v>
      </c>
      <c r="E1140" t="s">
        <v>10</v>
      </c>
      <c r="F1140" t="s">
        <v>11</v>
      </c>
      <c r="G1140">
        <v>2.8328611898017</v>
      </c>
      <c r="H1140">
        <v>1.0412872220488403</v>
      </c>
      <c r="I1140" t="s">
        <v>3536</v>
      </c>
    </row>
    <row r="1141" spans="1:9" x14ac:dyDescent="0.25">
      <c r="A1141" t="s">
        <v>2505</v>
      </c>
      <c r="B1141">
        <v>1</v>
      </c>
      <c r="C1141">
        <v>0.39400000000000002</v>
      </c>
      <c r="D1141" t="s">
        <v>2506</v>
      </c>
      <c r="E1141" t="s">
        <v>1008</v>
      </c>
      <c r="F1141" t="s">
        <v>11</v>
      </c>
      <c r="G1141">
        <v>2.5380710659898478</v>
      </c>
      <c r="H1141">
        <v>0.93140436968420326</v>
      </c>
      <c r="I1141" t="s">
        <v>3536</v>
      </c>
    </row>
    <row r="1142" spans="1:9" x14ac:dyDescent="0.25">
      <c r="A1142" t="s">
        <v>2507</v>
      </c>
      <c r="B1142">
        <v>1</v>
      </c>
      <c r="C1142">
        <v>0.20599999999999999</v>
      </c>
      <c r="D1142" t="s">
        <v>2508</v>
      </c>
      <c r="E1142" t="s">
        <v>10</v>
      </c>
      <c r="F1142" t="s">
        <v>11</v>
      </c>
      <c r="G1142">
        <v>4.8543689320388355</v>
      </c>
      <c r="H1142">
        <v>1.579879110192556</v>
      </c>
      <c r="I1142" t="s">
        <v>3536</v>
      </c>
    </row>
    <row r="1143" spans="1:9" x14ac:dyDescent="0.25">
      <c r="A1143" t="s">
        <v>2509</v>
      </c>
      <c r="B1143">
        <v>1</v>
      </c>
      <c r="C1143">
        <v>1</v>
      </c>
      <c r="D1143" t="s">
        <v>221</v>
      </c>
      <c r="E1143" t="s">
        <v>10</v>
      </c>
      <c r="F1143" t="s">
        <v>11</v>
      </c>
      <c r="G1143">
        <v>1</v>
      </c>
      <c r="H1143">
        <v>0</v>
      </c>
      <c r="I1143" t="s">
        <v>3536</v>
      </c>
    </row>
    <row r="1144" spans="1:9" x14ac:dyDescent="0.25">
      <c r="A1144" t="s">
        <v>2510</v>
      </c>
      <c r="B1144">
        <v>1</v>
      </c>
      <c r="C1144">
        <v>0.108</v>
      </c>
      <c r="D1144" t="s">
        <v>2511</v>
      </c>
      <c r="E1144" t="s">
        <v>44</v>
      </c>
      <c r="F1144" t="s">
        <v>21</v>
      </c>
      <c r="G1144">
        <v>9.2592592592592595</v>
      </c>
      <c r="H1144">
        <v>2.2256240518579173</v>
      </c>
      <c r="I1144" t="s">
        <v>3536</v>
      </c>
    </row>
    <row r="1145" spans="1:9" x14ac:dyDescent="0.25">
      <c r="A1145" t="s">
        <v>2512</v>
      </c>
      <c r="B1145">
        <v>1</v>
      </c>
      <c r="C1145">
        <v>0.14199999999999999</v>
      </c>
      <c r="D1145" t="s">
        <v>2513</v>
      </c>
      <c r="E1145" t="s">
        <v>20</v>
      </c>
      <c r="F1145" t="s">
        <v>21</v>
      </c>
      <c r="G1145">
        <v>7.042253521126761</v>
      </c>
      <c r="H1145">
        <v>1.9519282213808764</v>
      </c>
      <c r="I1145" t="s">
        <v>3536</v>
      </c>
    </row>
    <row r="1146" spans="1:9" x14ac:dyDescent="0.25">
      <c r="A1146" t="s">
        <v>2514</v>
      </c>
      <c r="B1146">
        <v>1</v>
      </c>
      <c r="C1146">
        <v>0.26800000000000002</v>
      </c>
      <c r="D1146" t="s">
        <v>1210</v>
      </c>
      <c r="E1146" t="s">
        <v>10</v>
      </c>
      <c r="F1146" t="s">
        <v>11</v>
      </c>
      <c r="G1146">
        <v>3.7313432835820892</v>
      </c>
      <c r="H1146">
        <v>1.3167682984712803</v>
      </c>
      <c r="I1146" t="s">
        <v>3536</v>
      </c>
    </row>
    <row r="1147" spans="1:9" x14ac:dyDescent="0.25">
      <c r="A1147" t="s">
        <v>2515</v>
      </c>
      <c r="B1147">
        <v>1</v>
      </c>
      <c r="C1147">
        <v>0.36499999999999999</v>
      </c>
      <c r="D1147" t="s">
        <v>790</v>
      </c>
      <c r="E1147" t="s">
        <v>10</v>
      </c>
      <c r="F1147" t="s">
        <v>11</v>
      </c>
      <c r="G1147">
        <v>2.7397260273972601</v>
      </c>
      <c r="H1147">
        <v>1.0078579253996456</v>
      </c>
      <c r="I1147" t="s">
        <v>3536</v>
      </c>
    </row>
    <row r="1148" spans="1:9" x14ac:dyDescent="0.25">
      <c r="A1148" t="s">
        <v>2516</v>
      </c>
      <c r="B1148">
        <v>1</v>
      </c>
      <c r="C1148">
        <v>0.33</v>
      </c>
      <c r="D1148" t="s">
        <v>2517</v>
      </c>
      <c r="E1148" t="s">
        <v>10</v>
      </c>
      <c r="F1148" t="s">
        <v>11</v>
      </c>
      <c r="G1148">
        <v>3.0303030303030303</v>
      </c>
      <c r="H1148">
        <v>1.1086626245216111</v>
      </c>
      <c r="I1148" t="s">
        <v>3536</v>
      </c>
    </row>
    <row r="1149" spans="1:9" x14ac:dyDescent="0.25">
      <c r="A1149" t="s">
        <v>2518</v>
      </c>
      <c r="B1149">
        <v>1</v>
      </c>
      <c r="C1149">
        <v>0.35199999999999998</v>
      </c>
      <c r="D1149" t="s">
        <v>1398</v>
      </c>
      <c r="E1149" t="s">
        <v>10</v>
      </c>
      <c r="F1149" t="s">
        <v>11</v>
      </c>
      <c r="G1149">
        <v>2.8409090909090913</v>
      </c>
      <c r="H1149">
        <v>1.04412410338404</v>
      </c>
      <c r="I1149" t="s">
        <v>3536</v>
      </c>
    </row>
    <row r="1150" spans="1:9" x14ac:dyDescent="0.25">
      <c r="A1150" t="s">
        <v>2519</v>
      </c>
      <c r="B1150">
        <v>1</v>
      </c>
      <c r="C1150">
        <v>0.182</v>
      </c>
      <c r="D1150" t="s">
        <v>1210</v>
      </c>
      <c r="E1150" t="s">
        <v>10</v>
      </c>
      <c r="F1150" t="s">
        <v>11</v>
      </c>
      <c r="G1150">
        <v>5.4945054945054945</v>
      </c>
      <c r="H1150">
        <v>1.7037485919053417</v>
      </c>
      <c r="I1150" t="s">
        <v>3536</v>
      </c>
    </row>
    <row r="1151" spans="1:9" x14ac:dyDescent="0.25">
      <c r="A1151" t="s">
        <v>2520</v>
      </c>
      <c r="B1151">
        <v>1</v>
      </c>
      <c r="C1151">
        <v>0.625</v>
      </c>
      <c r="D1151" t="s">
        <v>177</v>
      </c>
      <c r="E1151" t="s">
        <v>10</v>
      </c>
      <c r="F1151" t="s">
        <v>11</v>
      </c>
      <c r="G1151">
        <v>1.6</v>
      </c>
      <c r="H1151">
        <v>0.47000362924573563</v>
      </c>
      <c r="I1151" t="s">
        <v>3536</v>
      </c>
    </row>
    <row r="1152" spans="1:9" x14ac:dyDescent="0.25">
      <c r="A1152" t="s">
        <v>2521</v>
      </c>
      <c r="B1152">
        <v>1</v>
      </c>
      <c r="C1152">
        <v>0.19800000000000001</v>
      </c>
      <c r="D1152" t="s">
        <v>2523</v>
      </c>
      <c r="E1152" t="s">
        <v>44</v>
      </c>
      <c r="F1152" t="s">
        <v>21</v>
      </c>
      <c r="G1152">
        <v>5.0505050505050502</v>
      </c>
      <c r="H1152">
        <v>1.6194882482876019</v>
      </c>
      <c r="I1152" t="s">
        <v>3536</v>
      </c>
    </row>
    <row r="1153" spans="1:9" x14ac:dyDescent="0.25">
      <c r="A1153" t="s">
        <v>2524</v>
      </c>
      <c r="B1153">
        <v>1</v>
      </c>
      <c r="C1153">
        <v>0.11899999999999999</v>
      </c>
      <c r="D1153" t="s">
        <v>2525</v>
      </c>
      <c r="E1153" t="s">
        <v>10</v>
      </c>
      <c r="F1153" t="s">
        <v>11</v>
      </c>
      <c r="G1153">
        <v>8.4033613445378155</v>
      </c>
      <c r="H1153">
        <v>2.1286317858706076</v>
      </c>
      <c r="I1153" t="s">
        <v>3536</v>
      </c>
    </row>
    <row r="1154" spans="1:9" x14ac:dyDescent="0.25">
      <c r="A1154" t="s">
        <v>2526</v>
      </c>
      <c r="B1154">
        <v>1</v>
      </c>
      <c r="C1154">
        <v>0.1</v>
      </c>
      <c r="D1154" t="s">
        <v>2527</v>
      </c>
      <c r="E1154" t="s">
        <v>10</v>
      </c>
      <c r="F1154" t="s">
        <v>11</v>
      </c>
      <c r="G1154">
        <v>10</v>
      </c>
      <c r="H1154">
        <v>2.3025850929940459</v>
      </c>
      <c r="I1154" t="s">
        <v>3536</v>
      </c>
    </row>
    <row r="1155" spans="1:9" x14ac:dyDescent="0.25">
      <c r="A1155" t="s">
        <v>2528</v>
      </c>
      <c r="B1155">
        <v>1</v>
      </c>
      <c r="C1155">
        <v>0.14799999999999999</v>
      </c>
      <c r="D1155" t="s">
        <v>2529</v>
      </c>
      <c r="E1155" t="s">
        <v>44</v>
      </c>
      <c r="F1155" t="s">
        <v>21</v>
      </c>
      <c r="G1155">
        <v>6.756756756756757</v>
      </c>
      <c r="H1155">
        <v>1.9105430052180221</v>
      </c>
      <c r="I1155" t="s">
        <v>3536</v>
      </c>
    </row>
    <row r="1156" spans="1:9" x14ac:dyDescent="0.25">
      <c r="A1156" t="s">
        <v>2530</v>
      </c>
      <c r="B1156">
        <v>1</v>
      </c>
      <c r="C1156">
        <v>0.19500000000000001</v>
      </c>
      <c r="D1156" t="s">
        <v>2531</v>
      </c>
      <c r="E1156" t="s">
        <v>10</v>
      </c>
      <c r="F1156" t="s">
        <v>11</v>
      </c>
      <c r="G1156">
        <v>5.1282051282051277</v>
      </c>
      <c r="H1156">
        <v>1.6347557204183902</v>
      </c>
      <c r="I1156" t="s">
        <v>3536</v>
      </c>
    </row>
    <row r="1157" spans="1:9" x14ac:dyDescent="0.25">
      <c r="A1157" t="s">
        <v>2532</v>
      </c>
      <c r="B1157">
        <v>1</v>
      </c>
      <c r="C1157">
        <v>0.34100000000000003</v>
      </c>
      <c r="D1157" t="s">
        <v>2533</v>
      </c>
      <c r="E1157" t="s">
        <v>350</v>
      </c>
      <c r="F1157" t="s">
        <v>21</v>
      </c>
      <c r="G1157">
        <v>2.9325513196480935</v>
      </c>
      <c r="H1157">
        <v>1.0758728016986201</v>
      </c>
      <c r="I1157" t="s">
        <v>3536</v>
      </c>
    </row>
    <row r="1158" spans="1:9" x14ac:dyDescent="0.25">
      <c r="A1158" t="s">
        <v>2534</v>
      </c>
      <c r="B1158">
        <v>1</v>
      </c>
      <c r="C1158">
        <v>0.28799999999999998</v>
      </c>
      <c r="D1158" t="s">
        <v>2535</v>
      </c>
      <c r="E1158" t="s">
        <v>10</v>
      </c>
      <c r="F1158" t="s">
        <v>11</v>
      </c>
      <c r="G1158">
        <v>3.4722222222222223</v>
      </c>
      <c r="H1158">
        <v>1.2447947988461912</v>
      </c>
      <c r="I1158" t="s">
        <v>3536</v>
      </c>
    </row>
    <row r="1159" spans="1:9" x14ac:dyDescent="0.25">
      <c r="A1159" t="s">
        <v>2536</v>
      </c>
      <c r="B1159">
        <v>1</v>
      </c>
      <c r="C1159">
        <v>0.47799999999999998</v>
      </c>
      <c r="D1159" t="s">
        <v>722</v>
      </c>
      <c r="E1159" t="s">
        <v>44</v>
      </c>
      <c r="F1159" t="s">
        <v>21</v>
      </c>
      <c r="G1159">
        <v>2.0920502092050208</v>
      </c>
      <c r="H1159">
        <v>0.73814454649068106</v>
      </c>
      <c r="I1159" t="s">
        <v>3536</v>
      </c>
    </row>
    <row r="1160" spans="1:9" x14ac:dyDescent="0.25">
      <c r="A1160" t="s">
        <v>2538</v>
      </c>
      <c r="B1160">
        <v>1</v>
      </c>
      <c r="C1160">
        <v>1</v>
      </c>
      <c r="D1160" t="s">
        <v>465</v>
      </c>
      <c r="E1160" t="s">
        <v>20</v>
      </c>
      <c r="F1160" t="s">
        <v>21</v>
      </c>
      <c r="G1160">
        <v>1</v>
      </c>
      <c r="H1160">
        <v>0</v>
      </c>
      <c r="I1160" t="s">
        <v>3536</v>
      </c>
    </row>
    <row r="1161" spans="1:9" x14ac:dyDescent="0.25">
      <c r="A1161" t="s">
        <v>2539</v>
      </c>
      <c r="B1161">
        <v>1</v>
      </c>
      <c r="C1161">
        <v>0.42399999999999999</v>
      </c>
      <c r="D1161" t="s">
        <v>2541</v>
      </c>
      <c r="E1161" t="s">
        <v>44</v>
      </c>
      <c r="F1161" t="s">
        <v>21</v>
      </c>
      <c r="G1161">
        <v>2.358490566037736</v>
      </c>
      <c r="H1161">
        <v>0.85802182375017932</v>
      </c>
      <c r="I1161" t="s">
        <v>3536</v>
      </c>
    </row>
    <row r="1162" spans="1:9" x14ac:dyDescent="0.25">
      <c r="A1162" t="s">
        <v>2542</v>
      </c>
      <c r="B1162">
        <v>1</v>
      </c>
      <c r="C1162">
        <v>7.6999999999999999E-2</v>
      </c>
      <c r="D1162" t="s">
        <v>245</v>
      </c>
      <c r="E1162" t="s">
        <v>170</v>
      </c>
      <c r="F1162" t="s">
        <v>50</v>
      </c>
      <c r="G1162">
        <v>12.987012987012987</v>
      </c>
      <c r="H1162">
        <v>2.5639498571284531</v>
      </c>
      <c r="I1162" t="s">
        <v>3536</v>
      </c>
    </row>
    <row r="1163" spans="1:9" x14ac:dyDescent="0.25">
      <c r="A1163" t="s">
        <v>2544</v>
      </c>
      <c r="B1163">
        <v>1</v>
      </c>
      <c r="C1163">
        <v>0.78500000000000003</v>
      </c>
      <c r="D1163" t="s">
        <v>2545</v>
      </c>
      <c r="E1163" t="s">
        <v>2546</v>
      </c>
      <c r="F1163" t="s">
        <v>50</v>
      </c>
      <c r="G1163">
        <v>1.2738853503184713</v>
      </c>
      <c r="H1163">
        <v>0.24207156119972859</v>
      </c>
      <c r="I1163" t="s">
        <v>3536</v>
      </c>
    </row>
    <row r="1164" spans="1:9" x14ac:dyDescent="0.25">
      <c r="A1164" t="s">
        <v>2547</v>
      </c>
      <c r="B1164">
        <v>1</v>
      </c>
      <c r="C1164">
        <v>0.26800000000000002</v>
      </c>
      <c r="D1164" t="s">
        <v>722</v>
      </c>
      <c r="E1164" t="s">
        <v>1035</v>
      </c>
      <c r="F1164" t="s">
        <v>21</v>
      </c>
      <c r="G1164">
        <v>3.7313432835820892</v>
      </c>
      <c r="H1164">
        <v>1.3167682984712803</v>
      </c>
      <c r="I1164" t="s">
        <v>3536</v>
      </c>
    </row>
    <row r="1165" spans="1:9" x14ac:dyDescent="0.25">
      <c r="A1165" t="s">
        <v>2548</v>
      </c>
      <c r="B1165">
        <v>1</v>
      </c>
      <c r="C1165">
        <v>0</v>
      </c>
      <c r="D1165" t="s">
        <v>1350</v>
      </c>
      <c r="E1165" t="s">
        <v>49</v>
      </c>
      <c r="F1165" t="s">
        <v>50</v>
      </c>
      <c r="G1165" t="s">
        <v>3535</v>
      </c>
      <c r="H1165" t="s">
        <v>3535</v>
      </c>
      <c r="I1165" t="s">
        <v>3537</v>
      </c>
    </row>
    <row r="1166" spans="1:9" x14ac:dyDescent="0.25">
      <c r="A1166" t="s">
        <v>2549</v>
      </c>
      <c r="B1166">
        <v>1</v>
      </c>
      <c r="C1166">
        <v>8.7999999999999995E-2</v>
      </c>
      <c r="D1166" t="s">
        <v>2551</v>
      </c>
      <c r="E1166" t="s">
        <v>329</v>
      </c>
      <c r="F1166" t="s">
        <v>50</v>
      </c>
      <c r="G1166">
        <v>11.363636363636365</v>
      </c>
      <c r="H1166">
        <v>2.4304184645039308</v>
      </c>
      <c r="I1166" t="s">
        <v>3536</v>
      </c>
    </row>
    <row r="1167" spans="1:9" x14ac:dyDescent="0.25">
      <c r="A1167" t="s">
        <v>2552</v>
      </c>
      <c r="B1167">
        <v>1</v>
      </c>
      <c r="C1167">
        <v>0.16700000000000001</v>
      </c>
      <c r="D1167" t="s">
        <v>245</v>
      </c>
      <c r="E1167" t="s">
        <v>10</v>
      </c>
      <c r="F1167" t="s">
        <v>11</v>
      </c>
      <c r="G1167">
        <v>5.9880239520958076</v>
      </c>
      <c r="H1167">
        <v>1.7897614665653818</v>
      </c>
      <c r="I1167" t="s">
        <v>3536</v>
      </c>
    </row>
    <row r="1168" spans="1:9" x14ac:dyDescent="0.25">
      <c r="A1168" t="s">
        <v>2554</v>
      </c>
      <c r="B1168">
        <v>1</v>
      </c>
      <c r="C1168">
        <v>0.27800000000000002</v>
      </c>
      <c r="D1168" t="s">
        <v>2555</v>
      </c>
      <c r="E1168" t="s">
        <v>10</v>
      </c>
      <c r="F1168" t="s">
        <v>11</v>
      </c>
      <c r="G1168">
        <v>3.5971223021582732</v>
      </c>
      <c r="H1168">
        <v>1.2801341652914999</v>
      </c>
      <c r="I1168" t="s">
        <v>3536</v>
      </c>
    </row>
    <row r="1169" spans="1:9" x14ac:dyDescent="0.25">
      <c r="A1169" t="s">
        <v>2556</v>
      </c>
      <c r="B1169">
        <v>1</v>
      </c>
      <c r="C1169">
        <v>0.78100000000000003</v>
      </c>
      <c r="D1169" t="s">
        <v>2557</v>
      </c>
      <c r="E1169" t="s">
        <v>187</v>
      </c>
      <c r="F1169" t="s">
        <v>50</v>
      </c>
      <c r="G1169">
        <v>1.2804097311139564</v>
      </c>
      <c r="H1169">
        <v>0.24718012914245102</v>
      </c>
      <c r="I1169" t="s">
        <v>3536</v>
      </c>
    </row>
    <row r="1170" spans="1:9" x14ac:dyDescent="0.25">
      <c r="A1170" t="s">
        <v>2558</v>
      </c>
      <c r="B1170">
        <v>1</v>
      </c>
      <c r="C1170">
        <v>0.76</v>
      </c>
      <c r="D1170" t="s">
        <v>2560</v>
      </c>
      <c r="E1170" t="s">
        <v>787</v>
      </c>
      <c r="F1170" t="s">
        <v>50</v>
      </c>
      <c r="G1170">
        <v>1.3157894736842106</v>
      </c>
      <c r="H1170">
        <v>0.27443684570176036</v>
      </c>
      <c r="I1170" t="s">
        <v>3536</v>
      </c>
    </row>
    <row r="1171" spans="1:9" x14ac:dyDescent="0.25">
      <c r="A1171" t="s">
        <v>2561</v>
      </c>
      <c r="B1171">
        <v>1</v>
      </c>
      <c r="C1171">
        <v>0.17399999999999999</v>
      </c>
      <c r="D1171" t="s">
        <v>146</v>
      </c>
      <c r="E1171" t="s">
        <v>20</v>
      </c>
      <c r="F1171" t="s">
        <v>21</v>
      </c>
      <c r="G1171">
        <v>5.7471264367816097</v>
      </c>
      <c r="H1171">
        <v>1.7486999797676082</v>
      </c>
      <c r="I1171" t="s">
        <v>3536</v>
      </c>
    </row>
    <row r="1172" spans="1:9" x14ac:dyDescent="0.25">
      <c r="A1172" t="s">
        <v>2562</v>
      </c>
      <c r="B1172">
        <v>1</v>
      </c>
      <c r="C1172">
        <v>0.223</v>
      </c>
      <c r="D1172" t="s">
        <v>2564</v>
      </c>
      <c r="E1172" t="s">
        <v>10</v>
      </c>
      <c r="F1172" t="s">
        <v>11</v>
      </c>
      <c r="G1172">
        <v>4.4843049327354256</v>
      </c>
      <c r="H1172">
        <v>1.5005835075220182</v>
      </c>
      <c r="I1172" t="s">
        <v>3536</v>
      </c>
    </row>
    <row r="1173" spans="1:9" x14ac:dyDescent="0.25">
      <c r="A1173" t="s">
        <v>2565</v>
      </c>
      <c r="B1173">
        <v>1</v>
      </c>
      <c r="C1173">
        <v>0.35599999999999998</v>
      </c>
      <c r="D1173" t="s">
        <v>2566</v>
      </c>
      <c r="E1173" t="s">
        <v>20</v>
      </c>
      <c r="F1173" t="s">
        <v>21</v>
      </c>
      <c r="G1173">
        <v>2.808988764044944</v>
      </c>
      <c r="H1173">
        <v>1.0328245481301066</v>
      </c>
      <c r="I1173" t="s">
        <v>3536</v>
      </c>
    </row>
    <row r="1174" spans="1:9" x14ac:dyDescent="0.25">
      <c r="A1174" t="s">
        <v>2567</v>
      </c>
      <c r="B1174">
        <v>1</v>
      </c>
      <c r="C1174">
        <v>0.27900000000000003</v>
      </c>
      <c r="D1174" t="s">
        <v>2568</v>
      </c>
      <c r="E1174" t="s">
        <v>20</v>
      </c>
      <c r="F1174" t="s">
        <v>21</v>
      </c>
      <c r="G1174">
        <v>3.5842293906810032</v>
      </c>
      <c r="H1174">
        <v>1.2765434971607714</v>
      </c>
      <c r="I1174" t="s">
        <v>3536</v>
      </c>
    </row>
    <row r="1175" spans="1:9" x14ac:dyDescent="0.25">
      <c r="A1175" t="s">
        <v>2569</v>
      </c>
      <c r="B1175">
        <v>1</v>
      </c>
      <c r="C1175">
        <v>0.53100000000000003</v>
      </c>
      <c r="D1175" t="s">
        <v>2571</v>
      </c>
      <c r="E1175" t="s">
        <v>10</v>
      </c>
      <c r="F1175" t="s">
        <v>11</v>
      </c>
      <c r="G1175">
        <v>1.8832391713747645</v>
      </c>
      <c r="H1175">
        <v>0.63299325774019821</v>
      </c>
      <c r="I1175" t="s">
        <v>3536</v>
      </c>
    </row>
    <row r="1176" spans="1:9" x14ac:dyDescent="0.25">
      <c r="A1176" t="s">
        <v>2572</v>
      </c>
      <c r="B1176">
        <v>1</v>
      </c>
      <c r="C1176">
        <v>0.27400000000000002</v>
      </c>
      <c r="D1176" t="s">
        <v>2574</v>
      </c>
      <c r="E1176" t="s">
        <v>384</v>
      </c>
      <c r="F1176" t="s">
        <v>21</v>
      </c>
      <c r="G1176">
        <v>3.6496350364963499</v>
      </c>
      <c r="H1176">
        <v>1.2946271725940668</v>
      </c>
      <c r="I1176" t="s">
        <v>3536</v>
      </c>
    </row>
    <row r="1177" spans="1:9" x14ac:dyDescent="0.25">
      <c r="A1177" t="s">
        <v>2575</v>
      </c>
      <c r="B1177">
        <v>1</v>
      </c>
      <c r="C1177">
        <v>0.13800000000000001</v>
      </c>
      <c r="D1177" t="s">
        <v>2576</v>
      </c>
      <c r="E1177" t="s">
        <v>10</v>
      </c>
      <c r="F1177" t="s">
        <v>11</v>
      </c>
      <c r="G1177">
        <v>7.2463768115942022</v>
      </c>
      <c r="H1177">
        <v>1.9805015938249322</v>
      </c>
      <c r="I1177" t="s">
        <v>3536</v>
      </c>
    </row>
    <row r="1178" spans="1:9" x14ac:dyDescent="0.25">
      <c r="A1178" t="s">
        <v>2577</v>
      </c>
      <c r="B1178">
        <v>1</v>
      </c>
      <c r="C1178">
        <v>0.23599999999999999</v>
      </c>
      <c r="D1178" t="s">
        <v>1183</v>
      </c>
      <c r="E1178" t="s">
        <v>10</v>
      </c>
      <c r="F1178" t="s">
        <v>11</v>
      </c>
      <c r="G1178">
        <v>4.2372881355932206</v>
      </c>
      <c r="H1178">
        <v>1.443923473956527</v>
      </c>
      <c r="I1178" t="s">
        <v>3536</v>
      </c>
    </row>
    <row r="1179" spans="1:9" x14ac:dyDescent="0.25">
      <c r="A1179" t="s">
        <v>2578</v>
      </c>
      <c r="B1179">
        <v>1</v>
      </c>
      <c r="C1179">
        <v>0.33700000000000002</v>
      </c>
      <c r="D1179" t="s">
        <v>2579</v>
      </c>
      <c r="E1179" t="s">
        <v>10</v>
      </c>
      <c r="F1179" t="s">
        <v>11</v>
      </c>
      <c r="G1179">
        <v>2.9673590504451037</v>
      </c>
      <c r="H1179">
        <v>1.0876723486297752</v>
      </c>
      <c r="I1179" t="s">
        <v>3536</v>
      </c>
    </row>
    <row r="1180" spans="1:9" x14ac:dyDescent="0.25">
      <c r="A1180" t="s">
        <v>2580</v>
      </c>
      <c r="B1180">
        <v>1</v>
      </c>
      <c r="C1180">
        <v>0.32300000000000001</v>
      </c>
      <c r="D1180" t="s">
        <v>2581</v>
      </c>
      <c r="E1180" t="s">
        <v>10</v>
      </c>
      <c r="F1180" t="s">
        <v>11</v>
      </c>
      <c r="G1180">
        <v>3.0959752321981422</v>
      </c>
      <c r="H1180">
        <v>1.1301029557594804</v>
      </c>
      <c r="I1180" t="s">
        <v>3536</v>
      </c>
    </row>
    <row r="1181" spans="1:9" x14ac:dyDescent="0.25">
      <c r="A1181" t="s">
        <v>2582</v>
      </c>
      <c r="B1181">
        <v>1</v>
      </c>
      <c r="C1181">
        <v>0.15</v>
      </c>
      <c r="D1181" t="s">
        <v>2583</v>
      </c>
      <c r="E1181" t="s">
        <v>10</v>
      </c>
      <c r="F1181" t="s">
        <v>11</v>
      </c>
      <c r="G1181">
        <v>6.666666666666667</v>
      </c>
      <c r="H1181">
        <v>1.8971199848858813</v>
      </c>
      <c r="I1181" t="s">
        <v>3536</v>
      </c>
    </row>
    <row r="1182" spans="1:9" x14ac:dyDescent="0.25">
      <c r="A1182" t="s">
        <v>2584</v>
      </c>
      <c r="B1182">
        <v>1</v>
      </c>
      <c r="C1182">
        <v>0.151</v>
      </c>
      <c r="D1182" t="s">
        <v>2586</v>
      </c>
      <c r="E1182" t="s">
        <v>10</v>
      </c>
      <c r="F1182" t="s">
        <v>11</v>
      </c>
      <c r="G1182">
        <v>6.6225165562913908</v>
      </c>
      <c r="H1182">
        <v>1.8904754421672127</v>
      </c>
      <c r="I1182" t="s">
        <v>3536</v>
      </c>
    </row>
    <row r="1183" spans="1:9" x14ac:dyDescent="0.25">
      <c r="A1183" t="s">
        <v>2587</v>
      </c>
      <c r="B1183">
        <v>1</v>
      </c>
      <c r="C1183">
        <v>0.39500000000000002</v>
      </c>
      <c r="D1183" t="s">
        <v>2588</v>
      </c>
      <c r="E1183" t="s">
        <v>20</v>
      </c>
      <c r="F1183" t="s">
        <v>21</v>
      </c>
      <c r="G1183">
        <v>2.5316455696202529</v>
      </c>
      <c r="H1183">
        <v>0.92886951408101504</v>
      </c>
      <c r="I1183" t="s">
        <v>3536</v>
      </c>
    </row>
    <row r="1184" spans="1:9" x14ac:dyDescent="0.25">
      <c r="A1184" t="s">
        <v>2589</v>
      </c>
      <c r="B1184">
        <v>1</v>
      </c>
      <c r="C1184">
        <v>3.1E-2</v>
      </c>
      <c r="D1184" t="s">
        <v>2591</v>
      </c>
      <c r="E1184" t="s">
        <v>20</v>
      </c>
      <c r="F1184" t="s">
        <v>21</v>
      </c>
      <c r="G1184">
        <v>32.258064516129032</v>
      </c>
      <c r="H1184">
        <v>3.473768074496991</v>
      </c>
      <c r="I1184" t="s">
        <v>3536</v>
      </c>
    </row>
    <row r="1185" spans="1:9" x14ac:dyDescent="0.25">
      <c r="A1185" t="s">
        <v>2592</v>
      </c>
      <c r="B1185">
        <v>1</v>
      </c>
      <c r="C1185">
        <v>0.312</v>
      </c>
      <c r="D1185" t="s">
        <v>66</v>
      </c>
      <c r="E1185" t="s">
        <v>187</v>
      </c>
      <c r="F1185" t="s">
        <v>50</v>
      </c>
      <c r="G1185">
        <v>3.2051282051282053</v>
      </c>
      <c r="H1185">
        <v>1.1647520911726548</v>
      </c>
      <c r="I1185" t="s">
        <v>3536</v>
      </c>
    </row>
    <row r="1186" spans="1:9" x14ac:dyDescent="0.25">
      <c r="A1186" t="s">
        <v>2594</v>
      </c>
      <c r="B1186">
        <v>1</v>
      </c>
      <c r="C1186">
        <v>0.14199999999999999</v>
      </c>
      <c r="D1186" t="s">
        <v>2595</v>
      </c>
      <c r="E1186" t="s">
        <v>20</v>
      </c>
      <c r="F1186" t="s">
        <v>21</v>
      </c>
      <c r="G1186">
        <v>7.042253521126761</v>
      </c>
      <c r="H1186">
        <v>1.9519282213808764</v>
      </c>
      <c r="I1186" t="s">
        <v>3536</v>
      </c>
    </row>
    <row r="1187" spans="1:9" x14ac:dyDescent="0.25">
      <c r="A1187" t="s">
        <v>2596</v>
      </c>
      <c r="B1187">
        <v>1</v>
      </c>
      <c r="C1187">
        <v>0.27100000000000002</v>
      </c>
      <c r="D1187" t="s">
        <v>2597</v>
      </c>
      <c r="E1187" t="s">
        <v>787</v>
      </c>
      <c r="F1187" t="s">
        <v>50</v>
      </c>
      <c r="G1187">
        <v>3.6900369003690034</v>
      </c>
      <c r="H1187">
        <v>1.305636458102436</v>
      </c>
      <c r="I1187" t="s">
        <v>3536</v>
      </c>
    </row>
    <row r="1188" spans="1:9" x14ac:dyDescent="0.25">
      <c r="A1188" t="s">
        <v>2598</v>
      </c>
      <c r="B1188">
        <v>1</v>
      </c>
      <c r="C1188">
        <v>0.29899999999999999</v>
      </c>
      <c r="D1188" t="s">
        <v>731</v>
      </c>
      <c r="E1188" t="s">
        <v>20</v>
      </c>
      <c r="F1188" t="s">
        <v>21</v>
      </c>
      <c r="G1188">
        <v>3.3444816053511706</v>
      </c>
      <c r="H1188">
        <v>1.2073117055914506</v>
      </c>
      <c r="I1188" t="s">
        <v>3536</v>
      </c>
    </row>
    <row r="1189" spans="1:9" x14ac:dyDescent="0.25">
      <c r="A1189" t="s">
        <v>2599</v>
      </c>
      <c r="B1189">
        <v>1</v>
      </c>
      <c r="C1189">
        <v>0.19500000000000001</v>
      </c>
      <c r="D1189" t="s">
        <v>731</v>
      </c>
      <c r="E1189" t="s">
        <v>20</v>
      </c>
      <c r="F1189" t="s">
        <v>21</v>
      </c>
      <c r="G1189">
        <v>5.1282051282051277</v>
      </c>
      <c r="H1189">
        <v>1.6347557204183902</v>
      </c>
      <c r="I1189" t="s">
        <v>3536</v>
      </c>
    </row>
    <row r="1190" spans="1:9" x14ac:dyDescent="0.25">
      <c r="A1190" t="s">
        <v>2600</v>
      </c>
      <c r="B1190">
        <v>1</v>
      </c>
      <c r="C1190">
        <v>0.27600000000000002</v>
      </c>
      <c r="D1190" t="s">
        <v>79</v>
      </c>
      <c r="E1190" t="s">
        <v>10</v>
      </c>
      <c r="F1190" t="s">
        <v>11</v>
      </c>
      <c r="G1190">
        <v>3.6231884057971011</v>
      </c>
      <c r="H1190">
        <v>1.287354413264987</v>
      </c>
      <c r="I1190" t="s">
        <v>3536</v>
      </c>
    </row>
    <row r="1191" spans="1:9" x14ac:dyDescent="0.25">
      <c r="A1191" t="s">
        <v>2601</v>
      </c>
      <c r="B1191">
        <v>1</v>
      </c>
      <c r="C1191">
        <v>0.39600000000000002</v>
      </c>
      <c r="D1191" t="s">
        <v>2603</v>
      </c>
      <c r="E1191" t="s">
        <v>20</v>
      </c>
      <c r="F1191" t="s">
        <v>21</v>
      </c>
      <c r="G1191">
        <v>2.5252525252525251</v>
      </c>
      <c r="H1191">
        <v>0.92634106772765645</v>
      </c>
      <c r="I1191" t="s">
        <v>3536</v>
      </c>
    </row>
    <row r="1192" spans="1:9" x14ac:dyDescent="0.25">
      <c r="A1192" t="s">
        <v>2604</v>
      </c>
      <c r="B1192">
        <v>1</v>
      </c>
      <c r="C1192">
        <v>0.35099999999999998</v>
      </c>
      <c r="D1192" t="s">
        <v>2605</v>
      </c>
      <c r="E1192" t="s">
        <v>10</v>
      </c>
      <c r="F1192" t="s">
        <v>11</v>
      </c>
      <c r="G1192">
        <v>2.8490028490028494</v>
      </c>
      <c r="H1192">
        <v>1.0469690555162714</v>
      </c>
      <c r="I1192" t="s">
        <v>3536</v>
      </c>
    </row>
    <row r="1193" spans="1:9" x14ac:dyDescent="0.25">
      <c r="A1193" t="s">
        <v>2606</v>
      </c>
      <c r="B1193">
        <v>1</v>
      </c>
      <c r="C1193">
        <v>0.14799999999999999</v>
      </c>
      <c r="D1193" t="s">
        <v>1760</v>
      </c>
      <c r="E1193" t="s">
        <v>10</v>
      </c>
      <c r="F1193" t="s">
        <v>11</v>
      </c>
      <c r="G1193">
        <v>6.756756756756757</v>
      </c>
      <c r="H1193">
        <v>1.9105430052180221</v>
      </c>
      <c r="I1193" t="s">
        <v>3536</v>
      </c>
    </row>
    <row r="1194" spans="1:9" x14ac:dyDescent="0.25">
      <c r="A1194" t="s">
        <v>2607</v>
      </c>
      <c r="B1194">
        <v>1</v>
      </c>
      <c r="C1194">
        <v>3.3000000000000002E-2</v>
      </c>
      <c r="D1194" t="s">
        <v>2609</v>
      </c>
      <c r="E1194" t="s">
        <v>294</v>
      </c>
      <c r="F1194" t="s">
        <v>21</v>
      </c>
      <c r="G1194">
        <v>30.303030303030301</v>
      </c>
      <c r="H1194">
        <v>3.4112477175156566</v>
      </c>
      <c r="I1194" t="s">
        <v>3536</v>
      </c>
    </row>
    <row r="1195" spans="1:9" x14ac:dyDescent="0.25">
      <c r="A1195" t="s">
        <v>2610</v>
      </c>
      <c r="B1195">
        <v>1</v>
      </c>
      <c r="C1195">
        <v>0.19900000000000001</v>
      </c>
      <c r="D1195" t="s">
        <v>2611</v>
      </c>
      <c r="E1195" t="s">
        <v>20</v>
      </c>
      <c r="F1195" t="s">
        <v>21</v>
      </c>
      <c r="G1195">
        <v>5.0251256281407031</v>
      </c>
      <c r="H1195">
        <v>1.6144504542576446</v>
      </c>
      <c r="I1195" t="s">
        <v>3536</v>
      </c>
    </row>
    <row r="1196" spans="1:9" x14ac:dyDescent="0.25">
      <c r="A1196" t="s">
        <v>2612</v>
      </c>
      <c r="B1196">
        <v>1</v>
      </c>
      <c r="C1196">
        <v>0</v>
      </c>
      <c r="D1196" t="s">
        <v>2613</v>
      </c>
      <c r="E1196" t="s">
        <v>20</v>
      </c>
      <c r="F1196" t="s">
        <v>21</v>
      </c>
      <c r="G1196" t="s">
        <v>3535</v>
      </c>
      <c r="H1196" t="s">
        <v>3535</v>
      </c>
      <c r="I1196" t="s">
        <v>3537</v>
      </c>
    </row>
    <row r="1197" spans="1:9" x14ac:dyDescent="0.25">
      <c r="A1197" t="s">
        <v>2614</v>
      </c>
      <c r="B1197">
        <v>1</v>
      </c>
      <c r="C1197">
        <v>0.20100000000000001</v>
      </c>
      <c r="D1197" t="s">
        <v>2615</v>
      </c>
      <c r="E1197" t="s">
        <v>10</v>
      </c>
      <c r="F1197" t="s">
        <v>11</v>
      </c>
      <c r="G1197">
        <v>4.9751243781094523</v>
      </c>
      <c r="H1197">
        <v>1.6044503709230613</v>
      </c>
      <c r="I1197" t="s">
        <v>3536</v>
      </c>
    </row>
    <row r="1198" spans="1:9" x14ac:dyDescent="0.25">
      <c r="A1198" t="s">
        <v>2616</v>
      </c>
      <c r="B1198">
        <v>1</v>
      </c>
      <c r="C1198">
        <v>0.24299999999999999</v>
      </c>
      <c r="D1198" t="s">
        <v>2344</v>
      </c>
      <c r="E1198" t="s">
        <v>1008</v>
      </c>
      <c r="F1198" t="s">
        <v>11</v>
      </c>
      <c r="G1198">
        <v>4.1152263374485596</v>
      </c>
      <c r="H1198">
        <v>1.4146938356415886</v>
      </c>
      <c r="I1198" t="s">
        <v>3536</v>
      </c>
    </row>
    <row r="1199" spans="1:9" x14ac:dyDescent="0.25">
      <c r="A1199" t="s">
        <v>2618</v>
      </c>
      <c r="B1199">
        <v>1</v>
      </c>
      <c r="C1199">
        <v>0.1</v>
      </c>
      <c r="D1199" t="s">
        <v>1183</v>
      </c>
      <c r="E1199" t="s">
        <v>1195</v>
      </c>
      <c r="F1199" t="s">
        <v>50</v>
      </c>
      <c r="G1199">
        <v>10</v>
      </c>
      <c r="H1199">
        <v>2.3025850929940459</v>
      </c>
      <c r="I1199" t="s">
        <v>3536</v>
      </c>
    </row>
    <row r="1200" spans="1:9" x14ac:dyDescent="0.25">
      <c r="A1200" t="s">
        <v>2619</v>
      </c>
      <c r="B1200">
        <v>1</v>
      </c>
      <c r="C1200">
        <v>0.2</v>
      </c>
      <c r="D1200" t="s">
        <v>2620</v>
      </c>
      <c r="E1200" t="s">
        <v>10</v>
      </c>
      <c r="F1200" t="s">
        <v>11</v>
      </c>
      <c r="G1200">
        <v>5</v>
      </c>
      <c r="H1200">
        <v>1.6094379124341003</v>
      </c>
      <c r="I1200" t="s">
        <v>3536</v>
      </c>
    </row>
    <row r="1201" spans="1:9" x14ac:dyDescent="0.25">
      <c r="A1201" t="s">
        <v>2621</v>
      </c>
      <c r="B1201">
        <v>1</v>
      </c>
      <c r="C1201">
        <v>0.371</v>
      </c>
      <c r="D1201" t="s">
        <v>2622</v>
      </c>
      <c r="E1201" t="s">
        <v>10</v>
      </c>
      <c r="F1201" t="s">
        <v>11</v>
      </c>
      <c r="G1201">
        <v>2.6954177897574123</v>
      </c>
      <c r="H1201">
        <v>0.99155321637470184</v>
      </c>
      <c r="I1201" t="s">
        <v>3536</v>
      </c>
    </row>
    <row r="1202" spans="1:9" x14ac:dyDescent="0.25">
      <c r="A1202" t="s">
        <v>2623</v>
      </c>
      <c r="B1202">
        <v>1</v>
      </c>
      <c r="C1202">
        <v>0.10199999999999999</v>
      </c>
      <c r="D1202" t="s">
        <v>2624</v>
      </c>
      <c r="E1202" t="s">
        <v>187</v>
      </c>
      <c r="F1202" t="s">
        <v>50</v>
      </c>
      <c r="G1202">
        <v>9.8039215686274517</v>
      </c>
      <c r="H1202">
        <v>2.2827824656978661</v>
      </c>
      <c r="I1202" t="s">
        <v>3536</v>
      </c>
    </row>
    <row r="1203" spans="1:9" x14ac:dyDescent="0.25">
      <c r="A1203" t="s">
        <v>2625</v>
      </c>
      <c r="B1203">
        <v>1</v>
      </c>
      <c r="C1203">
        <v>0.11</v>
      </c>
      <c r="D1203" t="s">
        <v>719</v>
      </c>
      <c r="E1203" t="s">
        <v>10</v>
      </c>
      <c r="F1203" t="s">
        <v>11</v>
      </c>
      <c r="G1203">
        <v>9.0909090909090917</v>
      </c>
      <c r="H1203">
        <v>2.2072749131897211</v>
      </c>
      <c r="I1203" t="s">
        <v>3536</v>
      </c>
    </row>
    <row r="1204" spans="1:9" x14ac:dyDescent="0.25">
      <c r="A1204" t="s">
        <v>2626</v>
      </c>
      <c r="B1204">
        <v>1</v>
      </c>
      <c r="C1204">
        <v>0.16200000000000001</v>
      </c>
      <c r="D1204" t="s">
        <v>245</v>
      </c>
      <c r="E1204" t="s">
        <v>10</v>
      </c>
      <c r="F1204" t="s">
        <v>11</v>
      </c>
      <c r="G1204">
        <v>6.1728395061728394</v>
      </c>
      <c r="H1204">
        <v>1.820158943749753</v>
      </c>
      <c r="I1204" t="s">
        <v>3536</v>
      </c>
    </row>
    <row r="1205" spans="1:9" x14ac:dyDescent="0.25">
      <c r="A1205" t="s">
        <v>2628</v>
      </c>
      <c r="B1205">
        <v>1</v>
      </c>
      <c r="C1205">
        <v>0.189</v>
      </c>
      <c r="D1205" t="s">
        <v>517</v>
      </c>
      <c r="E1205" t="s">
        <v>10</v>
      </c>
      <c r="F1205" t="s">
        <v>11</v>
      </c>
      <c r="G1205">
        <v>5.2910052910052912</v>
      </c>
      <c r="H1205">
        <v>1.6660082639224947</v>
      </c>
      <c r="I1205" t="s">
        <v>3536</v>
      </c>
    </row>
    <row r="1206" spans="1:9" x14ac:dyDescent="0.25">
      <c r="A1206" t="s">
        <v>2629</v>
      </c>
      <c r="B1206">
        <v>1</v>
      </c>
      <c r="C1206">
        <v>0.222</v>
      </c>
      <c r="D1206" t="s">
        <v>2631</v>
      </c>
      <c r="E1206" t="s">
        <v>10</v>
      </c>
      <c r="F1206" t="s">
        <v>11</v>
      </c>
      <c r="G1206">
        <v>4.5045045045045047</v>
      </c>
      <c r="H1206">
        <v>1.5050778971098577</v>
      </c>
      <c r="I1206" t="s">
        <v>3536</v>
      </c>
    </row>
    <row r="1207" spans="1:9" x14ac:dyDescent="0.25">
      <c r="A1207" t="s">
        <v>2632</v>
      </c>
      <c r="B1207">
        <v>1</v>
      </c>
      <c r="C1207">
        <v>0.159</v>
      </c>
      <c r="D1207" t="s">
        <v>2634</v>
      </c>
      <c r="E1207" t="s">
        <v>62</v>
      </c>
      <c r="F1207" t="s">
        <v>63</v>
      </c>
      <c r="G1207">
        <v>6.2893081761006284</v>
      </c>
      <c r="H1207">
        <v>1.8388510767619055</v>
      </c>
      <c r="I1207" t="s">
        <v>3536</v>
      </c>
    </row>
    <row r="1208" spans="1:9" x14ac:dyDescent="0.25">
      <c r="A1208" t="s">
        <v>2635</v>
      </c>
      <c r="B1208">
        <v>1</v>
      </c>
      <c r="C1208">
        <v>0.36699999999999999</v>
      </c>
      <c r="D1208" t="s">
        <v>454</v>
      </c>
      <c r="E1208" t="s">
        <v>10</v>
      </c>
      <c r="F1208" t="s">
        <v>11</v>
      </c>
      <c r="G1208">
        <v>2.7247956403269757</v>
      </c>
      <c r="H1208">
        <v>1.0023934309275668</v>
      </c>
      <c r="I1208" t="s">
        <v>3536</v>
      </c>
    </row>
    <row r="1209" spans="1:9" x14ac:dyDescent="0.25">
      <c r="A1209" t="s">
        <v>2636</v>
      </c>
      <c r="B1209">
        <v>1</v>
      </c>
      <c r="C1209">
        <v>5.1999999999999998E-2</v>
      </c>
      <c r="D1209" t="s">
        <v>2638</v>
      </c>
      <c r="E1209" t="s">
        <v>1279</v>
      </c>
      <c r="F1209" t="s">
        <v>11</v>
      </c>
      <c r="G1209">
        <v>19.23076923076923</v>
      </c>
      <c r="H1209">
        <v>2.9565115604007097</v>
      </c>
      <c r="I1209" t="s">
        <v>3536</v>
      </c>
    </row>
    <row r="1210" spans="1:9" x14ac:dyDescent="0.25">
      <c r="A1210" t="s">
        <v>2639</v>
      </c>
      <c r="B1210">
        <v>1</v>
      </c>
      <c r="C1210">
        <v>0.30599999999999999</v>
      </c>
      <c r="D1210" t="s">
        <v>177</v>
      </c>
      <c r="E1210" t="s">
        <v>170</v>
      </c>
      <c r="F1210" t="s">
        <v>50</v>
      </c>
      <c r="G1210">
        <v>3.2679738562091503</v>
      </c>
      <c r="H1210">
        <v>1.1841701770297564</v>
      </c>
      <c r="I1210" t="s">
        <v>3536</v>
      </c>
    </row>
    <row r="1211" spans="1:9" x14ac:dyDescent="0.25">
      <c r="A1211" t="s">
        <v>2640</v>
      </c>
      <c r="B1211">
        <v>1</v>
      </c>
      <c r="C1211">
        <v>3</v>
      </c>
      <c r="D1211" t="s">
        <v>2641</v>
      </c>
      <c r="E1211" t="s">
        <v>20</v>
      </c>
      <c r="F1211" t="s">
        <v>21</v>
      </c>
      <c r="G1211">
        <v>0.33333333333333331</v>
      </c>
      <c r="H1211">
        <v>-1.0986122886681098</v>
      </c>
      <c r="I1211" t="s">
        <v>3536</v>
      </c>
    </row>
    <row r="1212" spans="1:9" x14ac:dyDescent="0.25">
      <c r="A1212" t="s">
        <v>2642</v>
      </c>
      <c r="B1212">
        <v>1</v>
      </c>
      <c r="C1212">
        <v>0.14000000000000001</v>
      </c>
      <c r="D1212" t="s">
        <v>476</v>
      </c>
      <c r="E1212" t="s">
        <v>10</v>
      </c>
      <c r="F1212" t="s">
        <v>11</v>
      </c>
      <c r="G1212">
        <v>7.1428571428571423</v>
      </c>
      <c r="H1212">
        <v>1.9661128563728327</v>
      </c>
      <c r="I1212" t="s">
        <v>3536</v>
      </c>
    </row>
    <row r="1213" spans="1:9" x14ac:dyDescent="0.25">
      <c r="A1213" t="s">
        <v>2644</v>
      </c>
      <c r="B1213">
        <v>1</v>
      </c>
      <c r="C1213">
        <v>0.193</v>
      </c>
      <c r="D1213" t="s">
        <v>66</v>
      </c>
      <c r="E1213" t="s">
        <v>44</v>
      </c>
      <c r="F1213" t="s">
        <v>21</v>
      </c>
      <c r="G1213">
        <v>5.1813471502590671</v>
      </c>
      <c r="H1213">
        <v>1.6450650900772514</v>
      </c>
      <c r="I1213" t="s">
        <v>3536</v>
      </c>
    </row>
    <row r="1214" spans="1:9" x14ac:dyDescent="0.25">
      <c r="A1214" t="s">
        <v>2646</v>
      </c>
      <c r="B1214">
        <v>1</v>
      </c>
      <c r="C1214">
        <v>0.40600000000000003</v>
      </c>
      <c r="D1214" t="s">
        <v>1256</v>
      </c>
      <c r="E1214" t="s">
        <v>10</v>
      </c>
      <c r="F1214" t="s">
        <v>11</v>
      </c>
      <c r="G1214">
        <v>2.4630541871921179</v>
      </c>
      <c r="H1214">
        <v>0.90140211938040427</v>
      </c>
      <c r="I1214" t="s">
        <v>3536</v>
      </c>
    </row>
    <row r="1215" spans="1:9" x14ac:dyDescent="0.25">
      <c r="A1215" t="s">
        <v>2648</v>
      </c>
      <c r="B1215">
        <v>1</v>
      </c>
      <c r="C1215">
        <v>0.17100000000000001</v>
      </c>
      <c r="D1215" t="s">
        <v>2650</v>
      </c>
      <c r="E1215" t="s">
        <v>10</v>
      </c>
      <c r="F1215" t="s">
        <v>11</v>
      </c>
      <c r="G1215">
        <v>5.8479532163742682</v>
      </c>
      <c r="H1215">
        <v>1.766091722479477</v>
      </c>
      <c r="I1215" t="s">
        <v>3536</v>
      </c>
    </row>
    <row r="1216" spans="1:9" x14ac:dyDescent="0.25">
      <c r="A1216" t="s">
        <v>2651</v>
      </c>
      <c r="B1216">
        <v>1</v>
      </c>
      <c r="C1216">
        <v>0.25800000000000001</v>
      </c>
      <c r="D1216" t="s">
        <v>2652</v>
      </c>
      <c r="E1216" t="s">
        <v>10</v>
      </c>
      <c r="F1216" t="s">
        <v>11</v>
      </c>
      <c r="G1216">
        <v>3.8759689922480618</v>
      </c>
      <c r="H1216">
        <v>1.3547956940605195</v>
      </c>
      <c r="I1216" t="s">
        <v>3536</v>
      </c>
    </row>
    <row r="1217" spans="1:9" x14ac:dyDescent="0.25">
      <c r="A1217" t="s">
        <v>2653</v>
      </c>
      <c r="B1217">
        <v>1</v>
      </c>
      <c r="C1217">
        <v>0.376</v>
      </c>
      <c r="D1217" t="s">
        <v>2655</v>
      </c>
      <c r="E1217" t="s">
        <v>1035</v>
      </c>
      <c r="F1217" t="s">
        <v>21</v>
      </c>
      <c r="G1217">
        <v>2.6595744680851063</v>
      </c>
      <c r="H1217">
        <v>0.97816613559224252</v>
      </c>
      <c r="I1217" t="s">
        <v>3536</v>
      </c>
    </row>
    <row r="1218" spans="1:9" x14ac:dyDescent="0.25">
      <c r="A1218" t="s">
        <v>2656</v>
      </c>
      <c r="B1218">
        <v>1</v>
      </c>
      <c r="C1218">
        <v>0.2</v>
      </c>
      <c r="D1218" t="s">
        <v>2657</v>
      </c>
      <c r="E1218" t="s">
        <v>10</v>
      </c>
      <c r="F1218" t="s">
        <v>11</v>
      </c>
      <c r="G1218">
        <v>5</v>
      </c>
      <c r="H1218">
        <v>1.6094379124341003</v>
      </c>
      <c r="I1218" t="s">
        <v>3536</v>
      </c>
    </row>
    <row r="1219" spans="1:9" x14ac:dyDescent="0.25">
      <c r="A1219" t="s">
        <v>2658</v>
      </c>
      <c r="B1219">
        <v>1</v>
      </c>
      <c r="C1219">
        <v>0.186</v>
      </c>
      <c r="D1219" t="s">
        <v>2660</v>
      </c>
      <c r="E1219" t="s">
        <v>365</v>
      </c>
      <c r="F1219" t="s">
        <v>11</v>
      </c>
      <c r="G1219">
        <v>5.376344086021505</v>
      </c>
      <c r="H1219">
        <v>1.6820086052689358</v>
      </c>
      <c r="I1219" t="s">
        <v>3536</v>
      </c>
    </row>
    <row r="1220" spans="1:9" x14ac:dyDescent="0.25">
      <c r="A1220" t="s">
        <v>2661</v>
      </c>
      <c r="B1220">
        <v>1</v>
      </c>
      <c r="C1220">
        <v>0.20499999999999999</v>
      </c>
      <c r="D1220" t="s">
        <v>2663</v>
      </c>
      <c r="E1220" t="s">
        <v>10</v>
      </c>
      <c r="F1220" t="s">
        <v>11</v>
      </c>
      <c r="G1220">
        <v>4.8780487804878048</v>
      </c>
      <c r="H1220">
        <v>1.5847452998437288</v>
      </c>
      <c r="I1220" t="s">
        <v>3536</v>
      </c>
    </row>
    <row r="1221" spans="1:9" x14ac:dyDescent="0.25">
      <c r="A1221" t="s">
        <v>2664</v>
      </c>
      <c r="B1221">
        <v>1</v>
      </c>
      <c r="C1221">
        <v>0.28199999999999997</v>
      </c>
      <c r="D1221" t="s">
        <v>2665</v>
      </c>
      <c r="E1221" t="s">
        <v>49</v>
      </c>
      <c r="F1221" t="s">
        <v>50</v>
      </c>
      <c r="G1221">
        <v>3.5460992907801421</v>
      </c>
      <c r="H1221">
        <v>1.2658482080440234</v>
      </c>
      <c r="I1221" t="s">
        <v>3536</v>
      </c>
    </row>
    <row r="1222" spans="1:9" x14ac:dyDescent="0.25">
      <c r="A1222" t="s">
        <v>2666</v>
      </c>
      <c r="B1222">
        <v>1</v>
      </c>
      <c r="C1222">
        <v>0.45800000000000002</v>
      </c>
      <c r="D1222" t="s">
        <v>177</v>
      </c>
      <c r="E1222" t="s">
        <v>44</v>
      </c>
      <c r="F1222" t="s">
        <v>21</v>
      </c>
      <c r="G1222">
        <v>2.1834061135371177</v>
      </c>
      <c r="H1222">
        <v>0.78088609486795202</v>
      </c>
      <c r="I1222" t="s">
        <v>3536</v>
      </c>
    </row>
    <row r="1223" spans="1:9" x14ac:dyDescent="0.25">
      <c r="A1223" t="s">
        <v>2667</v>
      </c>
      <c r="B1223">
        <v>1</v>
      </c>
      <c r="C1223">
        <v>0.16900000000000001</v>
      </c>
      <c r="D1223" t="s">
        <v>2668</v>
      </c>
      <c r="E1223" t="s">
        <v>10</v>
      </c>
      <c r="F1223" t="s">
        <v>11</v>
      </c>
      <c r="G1223">
        <v>5.9171597633136095</v>
      </c>
      <c r="H1223">
        <v>1.7778565640590636</v>
      </c>
      <c r="I1223" t="s">
        <v>3536</v>
      </c>
    </row>
    <row r="1224" spans="1:9" x14ac:dyDescent="0.25">
      <c r="A1224" t="s">
        <v>2669</v>
      </c>
      <c r="B1224">
        <v>1</v>
      </c>
      <c r="C1224">
        <v>0.21</v>
      </c>
      <c r="D1224" t="s">
        <v>2670</v>
      </c>
      <c r="E1224" t="s">
        <v>10</v>
      </c>
      <c r="F1224" t="s">
        <v>11</v>
      </c>
      <c r="G1224">
        <v>4.7619047619047619</v>
      </c>
      <c r="H1224">
        <v>1.5606477482646683</v>
      </c>
      <c r="I1224" t="s">
        <v>3536</v>
      </c>
    </row>
    <row r="1225" spans="1:9" x14ac:dyDescent="0.25">
      <c r="A1225" t="s">
        <v>2671</v>
      </c>
      <c r="B1225">
        <v>1</v>
      </c>
      <c r="C1225">
        <v>0.183</v>
      </c>
      <c r="D1225" t="s">
        <v>2672</v>
      </c>
      <c r="E1225" t="s">
        <v>10</v>
      </c>
      <c r="F1225" t="s">
        <v>11</v>
      </c>
      <c r="G1225">
        <v>5.4644808743169397</v>
      </c>
      <c r="H1225">
        <v>1.6982691261407161</v>
      </c>
      <c r="I1225" t="s">
        <v>3536</v>
      </c>
    </row>
    <row r="1226" spans="1:9" x14ac:dyDescent="0.25">
      <c r="A1226" t="s">
        <v>2673</v>
      </c>
      <c r="B1226">
        <v>1</v>
      </c>
      <c r="C1226">
        <v>0.433</v>
      </c>
      <c r="D1226" t="s">
        <v>407</v>
      </c>
      <c r="E1226" t="s">
        <v>10</v>
      </c>
      <c r="F1226" t="s">
        <v>11</v>
      </c>
      <c r="G1226">
        <v>2.3094688221709005</v>
      </c>
      <c r="H1226">
        <v>0.83701755097964714</v>
      </c>
      <c r="I1226" t="s">
        <v>3536</v>
      </c>
    </row>
    <row r="1227" spans="1:9" x14ac:dyDescent="0.25">
      <c r="A1227" t="s">
        <v>2674</v>
      </c>
      <c r="B1227">
        <v>1</v>
      </c>
      <c r="C1227">
        <v>0.185</v>
      </c>
      <c r="D1227" t="s">
        <v>2676</v>
      </c>
      <c r="E1227" t="s">
        <v>44</v>
      </c>
      <c r="F1227" t="s">
        <v>21</v>
      </c>
      <c r="G1227">
        <v>5.4054054054054053</v>
      </c>
      <c r="H1227">
        <v>1.6873994539038122</v>
      </c>
      <c r="I1227" t="s">
        <v>3536</v>
      </c>
    </row>
    <row r="1228" spans="1:9" x14ac:dyDescent="0.25">
      <c r="A1228" t="s">
        <v>2677</v>
      </c>
      <c r="B1228">
        <v>1</v>
      </c>
      <c r="C1228">
        <v>0.51100000000000001</v>
      </c>
      <c r="D1228" t="s">
        <v>576</v>
      </c>
      <c r="E1228" t="s">
        <v>20</v>
      </c>
      <c r="F1228" t="s">
        <v>21</v>
      </c>
      <c r="G1228">
        <v>1.9569471624266144</v>
      </c>
      <c r="H1228">
        <v>0.67138568877843252</v>
      </c>
      <c r="I1228" t="s">
        <v>3536</v>
      </c>
    </row>
    <row r="1229" spans="1:9" x14ac:dyDescent="0.25">
      <c r="A1229" t="s">
        <v>2678</v>
      </c>
      <c r="B1229">
        <v>1</v>
      </c>
      <c r="C1229">
        <v>0.40400000000000003</v>
      </c>
      <c r="D1229" t="s">
        <v>2679</v>
      </c>
      <c r="E1229" t="s">
        <v>10</v>
      </c>
      <c r="F1229" t="s">
        <v>11</v>
      </c>
      <c r="G1229">
        <v>2.4752475247524752</v>
      </c>
      <c r="H1229">
        <v>0.90634040102098701</v>
      </c>
      <c r="I1229" t="s">
        <v>3536</v>
      </c>
    </row>
    <row r="1230" spans="1:9" x14ac:dyDescent="0.25">
      <c r="A1230" t="s">
        <v>2680</v>
      </c>
      <c r="B1230">
        <v>1</v>
      </c>
      <c r="C1230">
        <v>0.16600000000000001</v>
      </c>
      <c r="D1230" t="s">
        <v>2681</v>
      </c>
      <c r="E1230" t="s">
        <v>44</v>
      </c>
      <c r="F1230" t="s">
        <v>21</v>
      </c>
      <c r="G1230">
        <v>6.0240963855421681</v>
      </c>
      <c r="H1230">
        <v>1.7957674906255938</v>
      </c>
      <c r="I1230" t="s">
        <v>3536</v>
      </c>
    </row>
    <row r="1231" spans="1:9" x14ac:dyDescent="0.25">
      <c r="A1231" t="s">
        <v>2682</v>
      </c>
      <c r="B1231">
        <v>1</v>
      </c>
      <c r="C1231">
        <v>0.23899999999999999</v>
      </c>
      <c r="D1231" t="s">
        <v>1398</v>
      </c>
      <c r="E1231" t="s">
        <v>10</v>
      </c>
      <c r="F1231" t="s">
        <v>11</v>
      </c>
      <c r="G1231">
        <v>4.1841004184100417</v>
      </c>
      <c r="H1231">
        <v>1.4312917270506262</v>
      </c>
      <c r="I1231" t="s">
        <v>3536</v>
      </c>
    </row>
    <row r="1232" spans="1:9" x14ac:dyDescent="0.25">
      <c r="A1232" t="s">
        <v>2684</v>
      </c>
      <c r="B1232">
        <v>1</v>
      </c>
      <c r="C1232">
        <v>0.3</v>
      </c>
      <c r="D1232" t="s">
        <v>2685</v>
      </c>
      <c r="E1232" t="s">
        <v>49</v>
      </c>
      <c r="F1232" t="s">
        <v>50</v>
      </c>
      <c r="G1232">
        <v>3.3333333333333335</v>
      </c>
      <c r="H1232">
        <v>1.2039728043259361</v>
      </c>
      <c r="I1232" t="s">
        <v>3536</v>
      </c>
    </row>
    <row r="1233" spans="1:9" x14ac:dyDescent="0.25">
      <c r="A1233" t="s">
        <v>2686</v>
      </c>
      <c r="B1233">
        <v>1</v>
      </c>
      <c r="C1233">
        <v>0.215</v>
      </c>
      <c r="D1233" t="s">
        <v>1175</v>
      </c>
      <c r="E1233" t="s">
        <v>10</v>
      </c>
      <c r="F1233" t="s">
        <v>11</v>
      </c>
      <c r="G1233">
        <v>4.6511627906976747</v>
      </c>
      <c r="H1233">
        <v>1.5371172508544744</v>
      </c>
      <c r="I1233" t="s">
        <v>3536</v>
      </c>
    </row>
    <row r="1234" spans="1:9" x14ac:dyDescent="0.25">
      <c r="A1234" t="s">
        <v>2688</v>
      </c>
      <c r="B1234">
        <v>1</v>
      </c>
      <c r="C1234">
        <v>0.16900000000000001</v>
      </c>
      <c r="D1234" t="s">
        <v>1282</v>
      </c>
      <c r="E1234" t="s">
        <v>10</v>
      </c>
      <c r="F1234" t="s">
        <v>11</v>
      </c>
      <c r="G1234">
        <v>5.9171597633136095</v>
      </c>
      <c r="H1234">
        <v>1.7778565640590636</v>
      </c>
      <c r="I1234" t="s">
        <v>3536</v>
      </c>
    </row>
    <row r="1235" spans="1:9" x14ac:dyDescent="0.25">
      <c r="A1235" t="s">
        <v>2689</v>
      </c>
      <c r="B1235">
        <v>1</v>
      </c>
      <c r="C1235">
        <v>0.247</v>
      </c>
      <c r="D1235" t="s">
        <v>2690</v>
      </c>
      <c r="E1235" t="s">
        <v>170</v>
      </c>
      <c r="F1235" t="s">
        <v>50</v>
      </c>
      <c r="G1235">
        <v>4.048582995951417</v>
      </c>
      <c r="H1235">
        <v>1.3983669423541598</v>
      </c>
      <c r="I1235" t="s">
        <v>3536</v>
      </c>
    </row>
    <row r="1236" spans="1:9" x14ac:dyDescent="0.25">
      <c r="A1236" t="s">
        <v>2691</v>
      </c>
      <c r="B1236">
        <v>1</v>
      </c>
      <c r="C1236">
        <v>0.185</v>
      </c>
      <c r="D1236" t="s">
        <v>2692</v>
      </c>
      <c r="E1236" t="s">
        <v>49</v>
      </c>
      <c r="F1236" t="s">
        <v>50</v>
      </c>
      <c r="G1236">
        <v>5.4054054054054053</v>
      </c>
      <c r="H1236">
        <v>1.6873994539038122</v>
      </c>
      <c r="I1236" t="s">
        <v>3536</v>
      </c>
    </row>
    <row r="1237" spans="1:9" x14ac:dyDescent="0.25">
      <c r="A1237" t="s">
        <v>2693</v>
      </c>
      <c r="B1237">
        <v>1</v>
      </c>
      <c r="C1237">
        <v>0.03</v>
      </c>
      <c r="D1237" t="s">
        <v>2695</v>
      </c>
      <c r="E1237" t="s">
        <v>20</v>
      </c>
      <c r="F1237" t="s">
        <v>21</v>
      </c>
      <c r="G1237">
        <v>33.333333333333336</v>
      </c>
      <c r="H1237">
        <v>3.5065578973199818</v>
      </c>
      <c r="I1237" t="s">
        <v>3536</v>
      </c>
    </row>
    <row r="1238" spans="1:9" x14ac:dyDescent="0.25">
      <c r="A1238" t="s">
        <v>2696</v>
      </c>
      <c r="B1238">
        <v>1</v>
      </c>
      <c r="C1238">
        <v>0.27100000000000002</v>
      </c>
      <c r="D1238" t="s">
        <v>2697</v>
      </c>
      <c r="E1238" t="s">
        <v>170</v>
      </c>
      <c r="F1238" t="s">
        <v>50</v>
      </c>
      <c r="G1238">
        <v>3.6900369003690034</v>
      </c>
      <c r="H1238">
        <v>1.305636458102436</v>
      </c>
      <c r="I1238" t="s">
        <v>3536</v>
      </c>
    </row>
    <row r="1239" spans="1:9" x14ac:dyDescent="0.25">
      <c r="A1239" t="s">
        <v>2698</v>
      </c>
      <c r="B1239">
        <v>1</v>
      </c>
      <c r="C1239">
        <v>0.94599999999999995</v>
      </c>
      <c r="D1239" t="s">
        <v>2700</v>
      </c>
      <c r="E1239" t="s">
        <v>652</v>
      </c>
      <c r="F1239" t="s">
        <v>50</v>
      </c>
      <c r="G1239">
        <v>1.0570824524312896</v>
      </c>
      <c r="H1239">
        <v>5.5512709930258759E-2</v>
      </c>
      <c r="I1239" t="s">
        <v>3536</v>
      </c>
    </row>
    <row r="1240" spans="1:9" x14ac:dyDescent="0.25">
      <c r="A1240" t="s">
        <v>2701</v>
      </c>
      <c r="B1240">
        <v>1</v>
      </c>
      <c r="C1240">
        <v>5.2999999999999999E-2</v>
      </c>
      <c r="D1240" t="s">
        <v>2703</v>
      </c>
      <c r="E1240" t="s">
        <v>20</v>
      </c>
      <c r="F1240" t="s">
        <v>21</v>
      </c>
      <c r="G1240">
        <v>18.867924528301888</v>
      </c>
      <c r="H1240">
        <v>2.9374633654300153</v>
      </c>
      <c r="I1240" t="s">
        <v>3536</v>
      </c>
    </row>
    <row r="1241" spans="1:9" x14ac:dyDescent="0.25">
      <c r="A1241" t="s">
        <v>2704</v>
      </c>
      <c r="B1241">
        <v>1</v>
      </c>
      <c r="C1241">
        <v>9.8000000000000004E-2</v>
      </c>
      <c r="D1241" t="s">
        <v>496</v>
      </c>
      <c r="E1241" t="s">
        <v>350</v>
      </c>
      <c r="F1241" t="s">
        <v>21</v>
      </c>
      <c r="G1241">
        <v>10.204081632653061</v>
      </c>
      <c r="H1241">
        <v>2.322787800311565</v>
      </c>
      <c r="I1241" t="s">
        <v>3536</v>
      </c>
    </row>
    <row r="1242" spans="1:9" x14ac:dyDescent="0.25">
      <c r="A1242" t="s">
        <v>2706</v>
      </c>
      <c r="B1242">
        <v>1</v>
      </c>
      <c r="C1242">
        <v>0.51500000000000001</v>
      </c>
      <c r="D1242" t="s">
        <v>2708</v>
      </c>
      <c r="E1242" t="s">
        <v>787</v>
      </c>
      <c r="F1242" t="s">
        <v>50</v>
      </c>
      <c r="G1242">
        <v>1.941747572815534</v>
      </c>
      <c r="H1242">
        <v>0.6635883783184009</v>
      </c>
      <c r="I1242" t="s">
        <v>3536</v>
      </c>
    </row>
    <row r="1243" spans="1:9" x14ac:dyDescent="0.25">
      <c r="A1243" t="s">
        <v>2709</v>
      </c>
      <c r="B1243">
        <v>1</v>
      </c>
      <c r="C1243">
        <v>0.112</v>
      </c>
      <c r="D1243" t="s">
        <v>2711</v>
      </c>
      <c r="E1243" t="s">
        <v>10</v>
      </c>
      <c r="F1243" t="s">
        <v>11</v>
      </c>
      <c r="G1243">
        <v>8.9285714285714288</v>
      </c>
      <c r="H1243">
        <v>2.1892564076870427</v>
      </c>
      <c r="I1243" t="s">
        <v>3536</v>
      </c>
    </row>
    <row r="1244" spans="1:9" x14ac:dyDescent="0.25">
      <c r="A1244" t="s">
        <v>2712</v>
      </c>
      <c r="B1244">
        <v>1</v>
      </c>
      <c r="C1244">
        <v>0.26900000000000002</v>
      </c>
      <c r="D1244" t="s">
        <v>2714</v>
      </c>
      <c r="E1244" t="s">
        <v>44</v>
      </c>
      <c r="F1244" t="s">
        <v>21</v>
      </c>
      <c r="G1244">
        <v>3.7174721189591078</v>
      </c>
      <c r="H1244">
        <v>1.313043899380298</v>
      </c>
      <c r="I1244" t="s">
        <v>3536</v>
      </c>
    </row>
    <row r="1245" spans="1:9" x14ac:dyDescent="0.25">
      <c r="A1245" t="s">
        <v>2715</v>
      </c>
      <c r="B1245">
        <v>1</v>
      </c>
      <c r="C1245">
        <v>0</v>
      </c>
      <c r="D1245" t="s">
        <v>2716</v>
      </c>
      <c r="E1245" t="s">
        <v>187</v>
      </c>
      <c r="F1245" t="s">
        <v>50</v>
      </c>
      <c r="G1245" t="s">
        <v>3535</v>
      </c>
      <c r="H1245" t="s">
        <v>3535</v>
      </c>
      <c r="I1245" t="s">
        <v>3537</v>
      </c>
    </row>
    <row r="1246" spans="1:9" x14ac:dyDescent="0.25">
      <c r="A1246" t="s">
        <v>2717</v>
      </c>
      <c r="B1246">
        <v>1</v>
      </c>
      <c r="C1246">
        <v>0.107</v>
      </c>
      <c r="D1246" t="s">
        <v>2719</v>
      </c>
      <c r="E1246" t="s">
        <v>10</v>
      </c>
      <c r="F1246" t="s">
        <v>11</v>
      </c>
      <c r="G1246">
        <v>9.3457943925233646</v>
      </c>
      <c r="H1246">
        <v>2.234926444520231</v>
      </c>
      <c r="I1246" t="s">
        <v>3536</v>
      </c>
    </row>
    <row r="1247" spans="1:9" x14ac:dyDescent="0.25">
      <c r="A1247" t="s">
        <v>2720</v>
      </c>
      <c r="B1247">
        <v>1</v>
      </c>
      <c r="C1247">
        <v>0.2</v>
      </c>
      <c r="D1247" t="s">
        <v>2721</v>
      </c>
      <c r="E1247" t="s">
        <v>49</v>
      </c>
      <c r="F1247" t="s">
        <v>50</v>
      </c>
      <c r="G1247">
        <v>5</v>
      </c>
      <c r="H1247">
        <v>1.6094379124341003</v>
      </c>
      <c r="I1247" t="s">
        <v>3536</v>
      </c>
    </row>
    <row r="1248" spans="1:9" x14ac:dyDescent="0.25">
      <c r="A1248" t="s">
        <v>2722</v>
      </c>
      <c r="B1248">
        <v>1</v>
      </c>
      <c r="C1248">
        <v>0.124</v>
      </c>
      <c r="D1248" t="s">
        <v>2723</v>
      </c>
      <c r="E1248" t="s">
        <v>20</v>
      </c>
      <c r="F1248" t="s">
        <v>21</v>
      </c>
      <c r="G1248">
        <v>8.064516129032258</v>
      </c>
      <c r="H1248">
        <v>2.0874737133771002</v>
      </c>
      <c r="I1248" t="s">
        <v>3536</v>
      </c>
    </row>
    <row r="1249" spans="1:9" x14ac:dyDescent="0.25">
      <c r="A1249" t="s">
        <v>2724</v>
      </c>
      <c r="B1249">
        <v>1</v>
      </c>
      <c r="C1249">
        <v>0.27300000000000002</v>
      </c>
      <c r="D1249" t="s">
        <v>2725</v>
      </c>
      <c r="E1249" t="s">
        <v>44</v>
      </c>
      <c r="F1249" t="s">
        <v>21</v>
      </c>
      <c r="G1249">
        <v>3.6630036630036629</v>
      </c>
      <c r="H1249">
        <v>1.2982834837971773</v>
      </c>
      <c r="I1249" t="s">
        <v>3536</v>
      </c>
    </row>
    <row r="1250" spans="1:9" x14ac:dyDescent="0.25">
      <c r="A1250" t="s">
        <v>2726</v>
      </c>
      <c r="B1250">
        <v>1</v>
      </c>
      <c r="C1250">
        <v>0.29399999999999998</v>
      </c>
      <c r="D1250" t="s">
        <v>2727</v>
      </c>
      <c r="E1250" t="s">
        <v>20</v>
      </c>
      <c r="F1250" t="s">
        <v>21</v>
      </c>
      <c r="G1250">
        <v>3.4013605442176873</v>
      </c>
      <c r="H1250">
        <v>1.2241755116434556</v>
      </c>
      <c r="I1250" t="s">
        <v>3536</v>
      </c>
    </row>
    <row r="1251" spans="1:9" x14ac:dyDescent="0.25">
      <c r="A1251" t="s">
        <v>2728</v>
      </c>
      <c r="B1251">
        <v>1</v>
      </c>
      <c r="C1251">
        <v>0.25</v>
      </c>
      <c r="D1251" t="s">
        <v>752</v>
      </c>
      <c r="E1251" t="s">
        <v>20</v>
      </c>
      <c r="F1251" t="s">
        <v>21</v>
      </c>
      <c r="G1251">
        <v>4</v>
      </c>
      <c r="H1251">
        <v>1.3862943611198906</v>
      </c>
      <c r="I1251" t="s">
        <v>3536</v>
      </c>
    </row>
    <row r="1252" spans="1:9" x14ac:dyDescent="0.25">
      <c r="A1252" t="s">
        <v>2729</v>
      </c>
      <c r="B1252">
        <v>1</v>
      </c>
      <c r="C1252">
        <v>0.217</v>
      </c>
      <c r="D1252" t="s">
        <v>1155</v>
      </c>
      <c r="E1252" t="s">
        <v>10</v>
      </c>
      <c r="F1252" t="s">
        <v>11</v>
      </c>
      <c r="G1252">
        <v>4.6082949308755765</v>
      </c>
      <c r="H1252">
        <v>1.5278579254416775</v>
      </c>
      <c r="I1252" t="s">
        <v>3536</v>
      </c>
    </row>
    <row r="1253" spans="1:9" x14ac:dyDescent="0.25">
      <c r="A1253" t="s">
        <v>2730</v>
      </c>
      <c r="B1253">
        <v>1</v>
      </c>
      <c r="C1253">
        <v>0.27700000000000002</v>
      </c>
      <c r="D1253" t="s">
        <v>2731</v>
      </c>
      <c r="E1253" t="s">
        <v>10</v>
      </c>
      <c r="F1253" t="s">
        <v>11</v>
      </c>
      <c r="G1253">
        <v>3.6101083032490973</v>
      </c>
      <c r="H1253">
        <v>1.2837377727947985</v>
      </c>
      <c r="I1253" t="s">
        <v>3536</v>
      </c>
    </row>
    <row r="1254" spans="1:9" x14ac:dyDescent="0.25">
      <c r="A1254" t="s">
        <v>2732</v>
      </c>
      <c r="B1254">
        <v>1</v>
      </c>
      <c r="C1254">
        <v>0.221</v>
      </c>
      <c r="D1254" t="s">
        <v>2733</v>
      </c>
      <c r="E1254" t="s">
        <v>10</v>
      </c>
      <c r="F1254" t="s">
        <v>11</v>
      </c>
      <c r="G1254">
        <v>4.5248868778280542</v>
      </c>
      <c r="H1254">
        <v>1.5095925774643841</v>
      </c>
      <c r="I1254" t="s">
        <v>3536</v>
      </c>
    </row>
    <row r="1255" spans="1:9" x14ac:dyDescent="0.25">
      <c r="A1255" t="s">
        <v>777</v>
      </c>
      <c r="B1255">
        <v>1</v>
      </c>
      <c r="C1255">
        <v>0.23</v>
      </c>
      <c r="D1255" t="s">
        <v>2734</v>
      </c>
      <c r="E1255" t="s">
        <v>10</v>
      </c>
      <c r="F1255" t="s">
        <v>11</v>
      </c>
      <c r="G1255">
        <v>4.3478260869565215</v>
      </c>
      <c r="H1255">
        <v>1.4696759700589417</v>
      </c>
      <c r="I1255" t="s">
        <v>3536</v>
      </c>
    </row>
    <row r="1256" spans="1:9" x14ac:dyDescent="0.25">
      <c r="A1256" t="s">
        <v>2735</v>
      </c>
      <c r="B1256">
        <v>1</v>
      </c>
      <c r="C1256">
        <v>0.14399999999999999</v>
      </c>
      <c r="D1256" t="s">
        <v>2737</v>
      </c>
      <c r="E1256" t="s">
        <v>20</v>
      </c>
      <c r="F1256" t="s">
        <v>21</v>
      </c>
      <c r="G1256">
        <v>6.9444444444444446</v>
      </c>
      <c r="H1256">
        <v>1.9379419794061366</v>
      </c>
      <c r="I1256" t="s">
        <v>3536</v>
      </c>
    </row>
    <row r="1257" spans="1:9" x14ac:dyDescent="0.25">
      <c r="A1257" t="s">
        <v>2738</v>
      </c>
      <c r="B1257">
        <v>1</v>
      </c>
      <c r="C1257">
        <v>0.152</v>
      </c>
      <c r="D1257" t="s">
        <v>832</v>
      </c>
      <c r="E1257" t="s">
        <v>20</v>
      </c>
      <c r="F1257" t="s">
        <v>21</v>
      </c>
      <c r="G1257">
        <v>6.5789473684210531</v>
      </c>
      <c r="H1257">
        <v>1.8838747581358608</v>
      </c>
      <c r="I1257" t="s">
        <v>3536</v>
      </c>
    </row>
    <row r="1258" spans="1:9" x14ac:dyDescent="0.25">
      <c r="A1258" t="s">
        <v>2739</v>
      </c>
      <c r="B1258">
        <v>1</v>
      </c>
      <c r="C1258">
        <v>0.97399999999999998</v>
      </c>
      <c r="D1258" t="s">
        <v>2741</v>
      </c>
      <c r="E1258" t="s">
        <v>49</v>
      </c>
      <c r="F1258" t="s">
        <v>50</v>
      </c>
      <c r="G1258">
        <v>1.0266940451745381</v>
      </c>
      <c r="H1258">
        <v>2.6343975339602067E-2</v>
      </c>
      <c r="I1258" t="s">
        <v>3536</v>
      </c>
    </row>
    <row r="1259" spans="1:9" x14ac:dyDescent="0.25">
      <c r="A1259" t="s">
        <v>2742</v>
      </c>
      <c r="B1259">
        <v>1</v>
      </c>
      <c r="C1259">
        <v>0.67800000000000005</v>
      </c>
      <c r="D1259" t="s">
        <v>389</v>
      </c>
      <c r="E1259" t="s">
        <v>10</v>
      </c>
      <c r="F1259" t="s">
        <v>11</v>
      </c>
      <c r="G1259">
        <v>1.4749262536873156</v>
      </c>
      <c r="H1259">
        <v>0.38860799104174143</v>
      </c>
      <c r="I1259" t="s">
        <v>3536</v>
      </c>
    </row>
    <row r="1260" spans="1:9" x14ac:dyDescent="0.25">
      <c r="A1260" t="s">
        <v>2743</v>
      </c>
      <c r="B1260">
        <v>1</v>
      </c>
      <c r="C1260">
        <v>0.30299999999999999</v>
      </c>
      <c r="D1260" t="s">
        <v>2744</v>
      </c>
      <c r="E1260" t="s">
        <v>20</v>
      </c>
      <c r="F1260" t="s">
        <v>21</v>
      </c>
      <c r="G1260">
        <v>3.3003300330033003</v>
      </c>
      <c r="H1260">
        <v>1.1940224734727678</v>
      </c>
      <c r="I1260" t="s">
        <v>3536</v>
      </c>
    </row>
    <row r="1261" spans="1:9" x14ac:dyDescent="0.25">
      <c r="A1261" t="s">
        <v>2745</v>
      </c>
      <c r="B1261">
        <v>1</v>
      </c>
      <c r="C1261">
        <v>0.55300000000000005</v>
      </c>
      <c r="D1261" t="s">
        <v>2746</v>
      </c>
      <c r="E1261" t="s">
        <v>20</v>
      </c>
      <c r="F1261" t="s">
        <v>21</v>
      </c>
      <c r="G1261">
        <v>1.8083182640144664</v>
      </c>
      <c r="H1261">
        <v>0.5923972774598022</v>
      </c>
      <c r="I1261" t="s">
        <v>3536</v>
      </c>
    </row>
    <row r="1262" spans="1:9" x14ac:dyDescent="0.25">
      <c r="A1262" t="s">
        <v>2747</v>
      </c>
      <c r="B1262">
        <v>1</v>
      </c>
      <c r="C1262">
        <v>0.219</v>
      </c>
      <c r="D1262" t="s">
        <v>2746</v>
      </c>
      <c r="E1262" t="s">
        <v>20</v>
      </c>
      <c r="F1262" t="s">
        <v>21</v>
      </c>
      <c r="G1262">
        <v>4.5662100456621006</v>
      </c>
      <c r="H1262">
        <v>1.5186835491656363</v>
      </c>
      <c r="I1262" t="s">
        <v>3536</v>
      </c>
    </row>
    <row r="1263" spans="1:9" x14ac:dyDescent="0.25">
      <c r="A1263" t="s">
        <v>2748</v>
      </c>
      <c r="B1263">
        <v>1</v>
      </c>
      <c r="C1263">
        <v>1</v>
      </c>
      <c r="E1263" t="s">
        <v>10</v>
      </c>
      <c r="F1263" t="s">
        <v>11</v>
      </c>
      <c r="G1263">
        <v>1</v>
      </c>
      <c r="H1263">
        <v>0</v>
      </c>
      <c r="I1263" t="s">
        <v>3536</v>
      </c>
    </row>
    <row r="1264" spans="1:9" x14ac:dyDescent="0.25">
      <c r="A1264" t="s">
        <v>2749</v>
      </c>
      <c r="B1264">
        <v>1</v>
      </c>
      <c r="C1264">
        <v>0.14599999999999999</v>
      </c>
      <c r="D1264" t="s">
        <v>2751</v>
      </c>
      <c r="E1264" t="s">
        <v>20</v>
      </c>
      <c r="F1264" t="s">
        <v>21</v>
      </c>
      <c r="G1264">
        <v>6.8493150684931514</v>
      </c>
      <c r="H1264">
        <v>1.9241486572738007</v>
      </c>
      <c r="I1264" t="s">
        <v>3536</v>
      </c>
    </row>
    <row r="1265" spans="1:9" x14ac:dyDescent="0.25">
      <c r="A1265" t="s">
        <v>2752</v>
      </c>
      <c r="B1265">
        <v>1</v>
      </c>
      <c r="C1265">
        <v>0.14099999999999999</v>
      </c>
      <c r="D1265" t="s">
        <v>2753</v>
      </c>
      <c r="E1265" t="s">
        <v>20</v>
      </c>
      <c r="F1265" t="s">
        <v>21</v>
      </c>
      <c r="G1265">
        <v>7.0921985815602842</v>
      </c>
      <c r="H1265">
        <v>1.9589953886039688</v>
      </c>
      <c r="I1265" t="s">
        <v>3536</v>
      </c>
    </row>
    <row r="1266" spans="1:9" x14ac:dyDescent="0.25">
      <c r="A1266" t="s">
        <v>2754</v>
      </c>
      <c r="B1266">
        <v>1</v>
      </c>
      <c r="C1266">
        <v>0.94599999999999995</v>
      </c>
      <c r="D1266" t="s">
        <v>2755</v>
      </c>
      <c r="E1266" t="s">
        <v>20</v>
      </c>
      <c r="F1266" t="s">
        <v>21</v>
      </c>
      <c r="G1266">
        <v>1.0570824524312896</v>
      </c>
      <c r="H1266">
        <v>5.5512709930258759E-2</v>
      </c>
      <c r="I1266" t="s">
        <v>3536</v>
      </c>
    </row>
    <row r="1267" spans="1:9" x14ac:dyDescent="0.25">
      <c r="A1267" t="s">
        <v>2756</v>
      </c>
      <c r="B1267">
        <v>1</v>
      </c>
      <c r="C1267">
        <v>0.32</v>
      </c>
      <c r="D1267" t="s">
        <v>2757</v>
      </c>
      <c r="E1267" t="s">
        <v>44</v>
      </c>
      <c r="F1267" t="s">
        <v>21</v>
      </c>
      <c r="G1267">
        <v>3.125</v>
      </c>
      <c r="H1267">
        <v>1.1394342831883648</v>
      </c>
      <c r="I1267" t="s">
        <v>3536</v>
      </c>
    </row>
    <row r="1268" spans="1:9" x14ac:dyDescent="0.25">
      <c r="A1268" t="s">
        <v>2758</v>
      </c>
      <c r="B1268">
        <v>1</v>
      </c>
      <c r="C1268">
        <v>9.0999999999999998E-2</v>
      </c>
      <c r="D1268" t="s">
        <v>2759</v>
      </c>
      <c r="E1268" t="s">
        <v>10</v>
      </c>
      <c r="F1268" t="s">
        <v>11</v>
      </c>
      <c r="G1268">
        <v>10.989010989010989</v>
      </c>
      <c r="H1268">
        <v>2.3968957724652871</v>
      </c>
      <c r="I1268" t="s">
        <v>3536</v>
      </c>
    </row>
    <row r="1269" spans="1:9" x14ac:dyDescent="0.25">
      <c r="A1269" t="s">
        <v>2760</v>
      </c>
      <c r="B1269">
        <v>1</v>
      </c>
      <c r="C1269">
        <v>0.18</v>
      </c>
      <c r="D1269" t="s">
        <v>1507</v>
      </c>
      <c r="E1269" t="s">
        <v>10</v>
      </c>
      <c r="F1269" t="s">
        <v>11</v>
      </c>
      <c r="G1269">
        <v>5.5555555555555554</v>
      </c>
      <c r="H1269">
        <v>1.7147984280919266</v>
      </c>
      <c r="I1269" t="s">
        <v>3536</v>
      </c>
    </row>
    <row r="1270" spans="1:9" x14ac:dyDescent="0.25">
      <c r="A1270" t="s">
        <v>2761</v>
      </c>
      <c r="B1270">
        <v>1</v>
      </c>
      <c r="C1270">
        <v>0.35899999999999999</v>
      </c>
      <c r="D1270" t="s">
        <v>2763</v>
      </c>
      <c r="E1270" t="s">
        <v>20</v>
      </c>
      <c r="F1270" t="s">
        <v>21</v>
      </c>
      <c r="G1270">
        <v>2.785515320334262</v>
      </c>
      <c r="H1270">
        <v>1.0244328904938582</v>
      </c>
      <c r="I1270" t="s">
        <v>3536</v>
      </c>
    </row>
    <row r="1271" spans="1:9" x14ac:dyDescent="0.25">
      <c r="A1271" t="s">
        <v>2764</v>
      </c>
      <c r="B1271">
        <v>1</v>
      </c>
      <c r="C1271">
        <v>0.104</v>
      </c>
      <c r="D1271" t="s">
        <v>2766</v>
      </c>
      <c r="E1271" t="s">
        <v>20</v>
      </c>
      <c r="F1271" t="s">
        <v>21</v>
      </c>
      <c r="G1271">
        <v>9.615384615384615</v>
      </c>
      <c r="H1271">
        <v>2.2633643798407643</v>
      </c>
      <c r="I1271" t="s">
        <v>3536</v>
      </c>
    </row>
    <row r="1272" spans="1:9" x14ac:dyDescent="0.25">
      <c r="A1272" t="s">
        <v>2767</v>
      </c>
      <c r="B1272">
        <v>1</v>
      </c>
      <c r="C1272">
        <v>0.39500000000000002</v>
      </c>
      <c r="D1272" t="s">
        <v>2768</v>
      </c>
      <c r="E1272" t="s">
        <v>20</v>
      </c>
      <c r="F1272" t="s">
        <v>21</v>
      </c>
      <c r="G1272">
        <v>2.5316455696202529</v>
      </c>
      <c r="H1272">
        <v>0.92886951408101504</v>
      </c>
      <c r="I1272" t="s">
        <v>3536</v>
      </c>
    </row>
    <row r="1273" spans="1:9" x14ac:dyDescent="0.25">
      <c r="A1273" t="s">
        <v>2769</v>
      </c>
      <c r="B1273">
        <v>1</v>
      </c>
      <c r="C1273">
        <v>0.08</v>
      </c>
      <c r="D1273" t="s">
        <v>2771</v>
      </c>
      <c r="E1273" t="s">
        <v>20</v>
      </c>
      <c r="F1273" t="s">
        <v>21</v>
      </c>
      <c r="G1273">
        <v>12.5</v>
      </c>
      <c r="H1273">
        <v>2.5257286443082556</v>
      </c>
      <c r="I1273" t="s">
        <v>3536</v>
      </c>
    </row>
    <row r="1274" spans="1:9" x14ac:dyDescent="0.25">
      <c r="A1274" t="s">
        <v>2772</v>
      </c>
      <c r="B1274">
        <v>1</v>
      </c>
      <c r="C1274">
        <v>0.252</v>
      </c>
      <c r="D1274" t="s">
        <v>2773</v>
      </c>
      <c r="E1274" t="s">
        <v>20</v>
      </c>
      <c r="F1274" t="s">
        <v>21</v>
      </c>
      <c r="G1274">
        <v>3.9682539682539684</v>
      </c>
      <c r="H1274">
        <v>1.3783261914707137</v>
      </c>
      <c r="I1274" t="s">
        <v>3536</v>
      </c>
    </row>
    <row r="1275" spans="1:9" x14ac:dyDescent="0.25">
      <c r="A1275" t="s">
        <v>2774</v>
      </c>
      <c r="B1275">
        <v>1</v>
      </c>
      <c r="C1275">
        <v>0.435</v>
      </c>
      <c r="D1275" t="s">
        <v>1228</v>
      </c>
      <c r="E1275" t="s">
        <v>44</v>
      </c>
      <c r="F1275" t="s">
        <v>21</v>
      </c>
      <c r="G1275">
        <v>2.2988505747126435</v>
      </c>
      <c r="H1275">
        <v>0.83240924789345294</v>
      </c>
      <c r="I1275" t="s">
        <v>3536</v>
      </c>
    </row>
    <row r="1276" spans="1:9" x14ac:dyDescent="0.25">
      <c r="A1276" t="s">
        <v>2775</v>
      </c>
      <c r="B1276">
        <v>1</v>
      </c>
      <c r="C1276">
        <v>0.23499999999999999</v>
      </c>
      <c r="D1276" t="s">
        <v>2776</v>
      </c>
      <c r="E1276" t="s">
        <v>20</v>
      </c>
      <c r="F1276" t="s">
        <v>21</v>
      </c>
      <c r="G1276">
        <v>4.2553191489361701</v>
      </c>
      <c r="H1276">
        <v>1.4481697648379781</v>
      </c>
      <c r="I1276" t="s">
        <v>3536</v>
      </c>
    </row>
    <row r="1277" spans="1:9" x14ac:dyDescent="0.25">
      <c r="A1277" t="s">
        <v>2777</v>
      </c>
      <c r="B1277">
        <v>1</v>
      </c>
      <c r="C1277">
        <v>0.46800000000000003</v>
      </c>
      <c r="D1277" t="s">
        <v>2778</v>
      </c>
      <c r="E1277" t="s">
        <v>10</v>
      </c>
      <c r="F1277" t="s">
        <v>11</v>
      </c>
      <c r="G1277">
        <v>2.1367521367521367</v>
      </c>
      <c r="H1277">
        <v>0.75928698306449027</v>
      </c>
      <c r="I1277" t="s">
        <v>3536</v>
      </c>
    </row>
    <row r="1278" spans="1:9" x14ac:dyDescent="0.25">
      <c r="A1278" t="s">
        <v>2779</v>
      </c>
      <c r="B1278">
        <v>1</v>
      </c>
      <c r="C1278">
        <v>0.21199999999999999</v>
      </c>
      <c r="D1278" t="s">
        <v>2780</v>
      </c>
      <c r="E1278" t="s">
        <v>10</v>
      </c>
      <c r="F1278" t="s">
        <v>11</v>
      </c>
      <c r="G1278">
        <v>4.716981132075472</v>
      </c>
      <c r="H1278">
        <v>1.5511690043101247</v>
      </c>
      <c r="I1278" t="s">
        <v>3536</v>
      </c>
    </row>
    <row r="1279" spans="1:9" x14ac:dyDescent="0.25">
      <c r="A1279" t="s">
        <v>2781</v>
      </c>
      <c r="B1279">
        <v>1</v>
      </c>
      <c r="C1279">
        <v>0.32500000000000001</v>
      </c>
      <c r="D1279" t="s">
        <v>2663</v>
      </c>
      <c r="E1279" t="s">
        <v>350</v>
      </c>
      <c r="F1279" t="s">
        <v>21</v>
      </c>
      <c r="G1279">
        <v>3.0769230769230766</v>
      </c>
      <c r="H1279">
        <v>1.1239300966523995</v>
      </c>
      <c r="I1279" t="s">
        <v>3536</v>
      </c>
    </row>
    <row r="1280" spans="1:9" x14ac:dyDescent="0.25">
      <c r="A1280" t="s">
        <v>2782</v>
      </c>
      <c r="B1280">
        <v>1</v>
      </c>
      <c r="C1280">
        <v>2</v>
      </c>
      <c r="D1280" t="s">
        <v>2783</v>
      </c>
      <c r="E1280" t="s">
        <v>242</v>
      </c>
      <c r="F1280" t="s">
        <v>21</v>
      </c>
      <c r="G1280">
        <v>0.5</v>
      </c>
      <c r="H1280">
        <v>-0.69314718055994529</v>
      </c>
      <c r="I1280" t="s">
        <v>3536</v>
      </c>
    </row>
    <row r="1281" spans="1:9" x14ac:dyDescent="0.25">
      <c r="A1281" t="s">
        <v>2784</v>
      </c>
      <c r="B1281">
        <v>1</v>
      </c>
      <c r="C1281">
        <v>0.371</v>
      </c>
      <c r="D1281" t="s">
        <v>500</v>
      </c>
      <c r="E1281" t="s">
        <v>10</v>
      </c>
      <c r="F1281" t="s">
        <v>11</v>
      </c>
      <c r="G1281">
        <v>2.6954177897574123</v>
      </c>
      <c r="H1281">
        <v>0.99155321637470184</v>
      </c>
      <c r="I1281" t="s">
        <v>3536</v>
      </c>
    </row>
    <row r="1282" spans="1:9" x14ac:dyDescent="0.25">
      <c r="A1282" t="s">
        <v>2785</v>
      </c>
      <c r="B1282">
        <v>1</v>
      </c>
      <c r="C1282">
        <v>0.182</v>
      </c>
      <c r="D1282" t="s">
        <v>66</v>
      </c>
      <c r="E1282" t="s">
        <v>350</v>
      </c>
      <c r="F1282" t="s">
        <v>21</v>
      </c>
      <c r="G1282">
        <v>5.4945054945054945</v>
      </c>
      <c r="H1282">
        <v>1.7037485919053417</v>
      </c>
      <c r="I1282" t="s">
        <v>3536</v>
      </c>
    </row>
    <row r="1283" spans="1:9" x14ac:dyDescent="0.25">
      <c r="A1283" t="s">
        <v>2786</v>
      </c>
      <c r="B1283">
        <v>1</v>
      </c>
      <c r="C1283">
        <v>0.30099999999999999</v>
      </c>
      <c r="D1283" t="s">
        <v>2274</v>
      </c>
      <c r="E1283" t="s">
        <v>10</v>
      </c>
      <c r="F1283" t="s">
        <v>11</v>
      </c>
      <c r="G1283">
        <v>3.3222591362126246</v>
      </c>
      <c r="H1283">
        <v>1.2006450142332614</v>
      </c>
      <c r="I1283" t="s">
        <v>3536</v>
      </c>
    </row>
    <row r="1284" spans="1:9" x14ac:dyDescent="0.25">
      <c r="A1284" t="s">
        <v>2788</v>
      </c>
      <c r="B1284">
        <v>1</v>
      </c>
      <c r="C1284">
        <v>0.28299999999999997</v>
      </c>
      <c r="D1284" t="s">
        <v>2790</v>
      </c>
      <c r="E1284" t="s">
        <v>170</v>
      </c>
      <c r="F1284" t="s">
        <v>50</v>
      </c>
      <c r="G1284">
        <v>3.5335689045936398</v>
      </c>
      <c r="H1284">
        <v>1.2623083813388996</v>
      </c>
      <c r="I1284" t="s">
        <v>3536</v>
      </c>
    </row>
    <row r="1285" spans="1:9" x14ac:dyDescent="0.25">
      <c r="A1285" t="s">
        <v>2791</v>
      </c>
      <c r="B1285">
        <v>1</v>
      </c>
      <c r="C1285">
        <v>0.31900000000000001</v>
      </c>
      <c r="D1285" t="s">
        <v>2792</v>
      </c>
      <c r="E1285" t="s">
        <v>10</v>
      </c>
      <c r="F1285" t="s">
        <v>11</v>
      </c>
      <c r="G1285">
        <v>3.134796238244514</v>
      </c>
      <c r="H1285">
        <v>1.1425641761972924</v>
      </c>
      <c r="I1285" t="s">
        <v>3536</v>
      </c>
    </row>
    <row r="1286" spans="1:9" x14ac:dyDescent="0.25">
      <c r="A1286" t="s">
        <v>2793</v>
      </c>
      <c r="B1286">
        <v>1</v>
      </c>
      <c r="C1286">
        <v>0.13700000000000001</v>
      </c>
      <c r="D1286" t="s">
        <v>316</v>
      </c>
      <c r="E1286" t="s">
        <v>44</v>
      </c>
      <c r="F1286" t="s">
        <v>21</v>
      </c>
      <c r="G1286">
        <v>7.2992700729926998</v>
      </c>
      <c r="H1286">
        <v>1.987774353154012</v>
      </c>
      <c r="I1286" t="s">
        <v>3536</v>
      </c>
    </row>
    <row r="1287" spans="1:9" x14ac:dyDescent="0.25">
      <c r="A1287" t="s">
        <v>2795</v>
      </c>
      <c r="B1287">
        <v>1</v>
      </c>
      <c r="C1287">
        <v>0.17399999999999999</v>
      </c>
      <c r="D1287" t="s">
        <v>148</v>
      </c>
      <c r="E1287" t="s">
        <v>10</v>
      </c>
      <c r="F1287" t="s">
        <v>11</v>
      </c>
      <c r="G1287">
        <v>5.7471264367816097</v>
      </c>
      <c r="H1287">
        <v>1.7486999797676082</v>
      </c>
      <c r="I1287" t="s">
        <v>3536</v>
      </c>
    </row>
    <row r="1288" spans="1:9" x14ac:dyDescent="0.25">
      <c r="A1288" t="s">
        <v>2796</v>
      </c>
      <c r="B1288">
        <v>1</v>
      </c>
      <c r="C1288">
        <v>0.65500000000000003</v>
      </c>
      <c r="D1288" t="s">
        <v>2797</v>
      </c>
      <c r="E1288" t="s">
        <v>1035</v>
      </c>
      <c r="F1288" t="s">
        <v>21</v>
      </c>
      <c r="G1288">
        <v>1.5267175572519083</v>
      </c>
      <c r="H1288">
        <v>0.42312004334688508</v>
      </c>
      <c r="I1288" t="s">
        <v>3536</v>
      </c>
    </row>
    <row r="1289" spans="1:9" x14ac:dyDescent="0.25">
      <c r="A1289" t="s">
        <v>2798</v>
      </c>
      <c r="B1289">
        <v>1</v>
      </c>
      <c r="C1289">
        <v>0.26</v>
      </c>
      <c r="D1289" t="s">
        <v>2799</v>
      </c>
      <c r="E1289" t="s">
        <v>49</v>
      </c>
      <c r="F1289" t="s">
        <v>50</v>
      </c>
      <c r="G1289">
        <v>3.8461538461538458</v>
      </c>
      <c r="H1289">
        <v>1.3470736479666092</v>
      </c>
      <c r="I1289" t="s">
        <v>3536</v>
      </c>
    </row>
    <row r="1290" spans="1:9" x14ac:dyDescent="0.25">
      <c r="A1290" t="s">
        <v>2800</v>
      </c>
      <c r="B1290">
        <v>1</v>
      </c>
      <c r="C1290">
        <v>0.30299999999999999</v>
      </c>
      <c r="D1290" t="s">
        <v>2801</v>
      </c>
      <c r="E1290" t="s">
        <v>44</v>
      </c>
      <c r="F1290" t="s">
        <v>21</v>
      </c>
      <c r="G1290">
        <v>3.3003300330033003</v>
      </c>
      <c r="H1290">
        <v>1.1940224734727678</v>
      </c>
      <c r="I1290" t="s">
        <v>3536</v>
      </c>
    </row>
    <row r="1291" spans="1:9" x14ac:dyDescent="0.25">
      <c r="A1291" t="s">
        <v>2802</v>
      </c>
      <c r="B1291">
        <v>1</v>
      </c>
      <c r="C1291">
        <v>0.33</v>
      </c>
      <c r="D1291" t="s">
        <v>169</v>
      </c>
      <c r="E1291" t="s">
        <v>170</v>
      </c>
      <c r="F1291" t="s">
        <v>50</v>
      </c>
      <c r="G1291">
        <v>3.0303030303030303</v>
      </c>
      <c r="H1291">
        <v>1.1086626245216111</v>
      </c>
      <c r="I1291" t="s">
        <v>3536</v>
      </c>
    </row>
    <row r="1292" spans="1:9" x14ac:dyDescent="0.25">
      <c r="A1292" t="s">
        <v>2803</v>
      </c>
      <c r="B1292">
        <v>1</v>
      </c>
      <c r="C1292">
        <v>0.13</v>
      </c>
      <c r="D1292" t="s">
        <v>2804</v>
      </c>
      <c r="E1292" t="s">
        <v>10</v>
      </c>
      <c r="F1292" t="s">
        <v>11</v>
      </c>
      <c r="G1292">
        <v>7.6923076923076916</v>
      </c>
      <c r="H1292">
        <v>2.0402208285265546</v>
      </c>
      <c r="I1292" t="s">
        <v>3536</v>
      </c>
    </row>
    <row r="1293" spans="1:9" x14ac:dyDescent="0.25">
      <c r="A1293" t="s">
        <v>2805</v>
      </c>
      <c r="B1293">
        <v>1</v>
      </c>
      <c r="C1293">
        <v>0.38100000000000001</v>
      </c>
      <c r="D1293" t="s">
        <v>2806</v>
      </c>
      <c r="E1293" t="s">
        <v>170</v>
      </c>
      <c r="F1293" t="s">
        <v>50</v>
      </c>
      <c r="G1293">
        <v>2.6246719160104988</v>
      </c>
      <c r="H1293">
        <v>0.96495590385543617</v>
      </c>
      <c r="I1293" t="s">
        <v>3536</v>
      </c>
    </row>
    <row r="1294" spans="1:9" x14ac:dyDescent="0.25">
      <c r="A1294" t="s">
        <v>2807</v>
      </c>
      <c r="B1294">
        <v>1</v>
      </c>
      <c r="C1294">
        <v>1E-3</v>
      </c>
      <c r="D1294" t="s">
        <v>2808</v>
      </c>
      <c r="E1294" t="s">
        <v>10</v>
      </c>
      <c r="F1294" t="s">
        <v>11</v>
      </c>
      <c r="G1294">
        <v>1000</v>
      </c>
      <c r="H1294">
        <v>6.9077552789821368</v>
      </c>
      <c r="I1294" t="s">
        <v>3536</v>
      </c>
    </row>
    <row r="1295" spans="1:9" x14ac:dyDescent="0.25">
      <c r="A1295" t="s">
        <v>2809</v>
      </c>
      <c r="B1295">
        <v>1</v>
      </c>
      <c r="C1295">
        <v>0.33600000000000002</v>
      </c>
      <c r="D1295" t="s">
        <v>2810</v>
      </c>
      <c r="E1295" t="s">
        <v>10</v>
      </c>
      <c r="F1295" t="s">
        <v>11</v>
      </c>
      <c r="G1295">
        <v>2.9761904761904758</v>
      </c>
      <c r="H1295">
        <v>1.0906441190189327</v>
      </c>
      <c r="I1295" t="s">
        <v>3536</v>
      </c>
    </row>
    <row r="1296" spans="1:9" x14ac:dyDescent="0.25">
      <c r="A1296" t="s">
        <v>2811</v>
      </c>
      <c r="B1296">
        <v>1</v>
      </c>
      <c r="C1296">
        <v>0.26400000000000001</v>
      </c>
      <c r="D1296" t="s">
        <v>2812</v>
      </c>
      <c r="E1296" t="s">
        <v>20</v>
      </c>
      <c r="F1296" t="s">
        <v>21</v>
      </c>
      <c r="G1296">
        <v>3.7878787878787876</v>
      </c>
      <c r="H1296">
        <v>1.3318061758358208</v>
      </c>
      <c r="I1296" t="s">
        <v>3536</v>
      </c>
    </row>
    <row r="1297" spans="1:9" x14ac:dyDescent="0.25">
      <c r="A1297" t="s">
        <v>2813</v>
      </c>
      <c r="B1297">
        <v>1</v>
      </c>
      <c r="C1297">
        <v>0.14399999999999999</v>
      </c>
      <c r="D1297" t="s">
        <v>66</v>
      </c>
      <c r="E1297" t="s">
        <v>20</v>
      </c>
      <c r="F1297" t="s">
        <v>21</v>
      </c>
      <c r="G1297">
        <v>6.9444444444444446</v>
      </c>
      <c r="H1297">
        <v>1.9379419794061366</v>
      </c>
      <c r="I1297" t="s">
        <v>3536</v>
      </c>
    </row>
    <row r="1298" spans="1:9" x14ac:dyDescent="0.25">
      <c r="A1298" t="s">
        <v>2814</v>
      </c>
      <c r="B1298">
        <v>1</v>
      </c>
      <c r="C1298">
        <v>0.379</v>
      </c>
      <c r="D1298" t="s">
        <v>2816</v>
      </c>
      <c r="E1298" t="s">
        <v>20</v>
      </c>
      <c r="F1298" t="s">
        <v>21</v>
      </c>
      <c r="G1298">
        <v>2.6385224274406331</v>
      </c>
      <c r="H1298">
        <v>0.97021907389971063</v>
      </c>
      <c r="I1298" t="s">
        <v>3536</v>
      </c>
    </row>
    <row r="1299" spans="1:9" x14ac:dyDescent="0.25">
      <c r="A1299" t="s">
        <v>2817</v>
      </c>
      <c r="B1299">
        <v>1</v>
      </c>
      <c r="C1299">
        <v>0.42599999999999999</v>
      </c>
      <c r="D1299" t="s">
        <v>2818</v>
      </c>
      <c r="E1299" t="s">
        <v>20</v>
      </c>
      <c r="F1299" t="s">
        <v>21</v>
      </c>
      <c r="G1299">
        <v>2.347417840375587</v>
      </c>
      <c r="H1299">
        <v>0.85331593271276673</v>
      </c>
      <c r="I1299" t="s">
        <v>3536</v>
      </c>
    </row>
    <row r="1300" spans="1:9" x14ac:dyDescent="0.25">
      <c r="A1300" t="s">
        <v>2819</v>
      </c>
      <c r="B1300">
        <v>1</v>
      </c>
      <c r="C1300">
        <v>0.247</v>
      </c>
      <c r="D1300" t="s">
        <v>2820</v>
      </c>
      <c r="E1300" t="s">
        <v>20</v>
      </c>
      <c r="F1300" t="s">
        <v>21</v>
      </c>
      <c r="G1300">
        <v>4.048582995951417</v>
      </c>
      <c r="H1300">
        <v>1.3983669423541598</v>
      </c>
      <c r="I1300" t="s">
        <v>3536</v>
      </c>
    </row>
    <row r="1301" spans="1:9" x14ac:dyDescent="0.25">
      <c r="A1301" t="s">
        <v>2821</v>
      </c>
      <c r="B1301">
        <v>1</v>
      </c>
      <c r="C1301">
        <v>0.38800000000000001</v>
      </c>
      <c r="D1301" t="s">
        <v>2822</v>
      </c>
      <c r="E1301" t="s">
        <v>20</v>
      </c>
      <c r="F1301" t="s">
        <v>21</v>
      </c>
      <c r="G1301">
        <v>2.5773195876288657</v>
      </c>
      <c r="H1301">
        <v>0.94674993935886353</v>
      </c>
      <c r="I1301" t="s">
        <v>3536</v>
      </c>
    </row>
    <row r="1302" spans="1:9" x14ac:dyDescent="0.25">
      <c r="A1302" t="s">
        <v>2823</v>
      </c>
      <c r="B1302">
        <v>1</v>
      </c>
      <c r="C1302">
        <v>0.75</v>
      </c>
      <c r="D1302" t="s">
        <v>2824</v>
      </c>
      <c r="E1302" t="s">
        <v>20</v>
      </c>
      <c r="F1302" t="s">
        <v>21</v>
      </c>
      <c r="G1302">
        <v>1.3333333333333333</v>
      </c>
      <c r="H1302">
        <v>0.28768207245178085</v>
      </c>
      <c r="I1302" t="s">
        <v>3536</v>
      </c>
    </row>
    <row r="1303" spans="1:9" x14ac:dyDescent="0.25">
      <c r="A1303" t="s">
        <v>2825</v>
      </c>
      <c r="B1303">
        <v>1</v>
      </c>
      <c r="C1303">
        <v>0.13</v>
      </c>
      <c r="D1303" t="s">
        <v>752</v>
      </c>
      <c r="E1303" t="s">
        <v>20</v>
      </c>
      <c r="F1303" t="s">
        <v>21</v>
      </c>
      <c r="G1303">
        <v>7.6923076923076916</v>
      </c>
      <c r="H1303">
        <v>2.0402208285265546</v>
      </c>
      <c r="I1303" t="s">
        <v>3536</v>
      </c>
    </row>
    <row r="1304" spans="1:9" x14ac:dyDescent="0.25">
      <c r="A1304" t="s">
        <v>2826</v>
      </c>
      <c r="B1304">
        <v>1</v>
      </c>
      <c r="C1304">
        <v>0.154</v>
      </c>
      <c r="D1304" t="s">
        <v>1282</v>
      </c>
      <c r="E1304" t="s">
        <v>10</v>
      </c>
      <c r="F1304" t="s">
        <v>11</v>
      </c>
      <c r="G1304">
        <v>6.4935064935064934</v>
      </c>
      <c r="H1304">
        <v>1.870802676568508</v>
      </c>
      <c r="I1304" t="s">
        <v>3536</v>
      </c>
    </row>
    <row r="1305" spans="1:9" x14ac:dyDescent="0.25">
      <c r="A1305" t="s">
        <v>2827</v>
      </c>
      <c r="B1305">
        <v>1</v>
      </c>
      <c r="C1305">
        <v>4</v>
      </c>
      <c r="D1305" t="s">
        <v>2828</v>
      </c>
      <c r="E1305" t="s">
        <v>10</v>
      </c>
      <c r="F1305" t="s">
        <v>11</v>
      </c>
      <c r="G1305">
        <v>0.25</v>
      </c>
      <c r="H1305">
        <v>-1.3862943611198906</v>
      </c>
      <c r="I1305" t="s">
        <v>3536</v>
      </c>
    </row>
    <row r="1306" spans="1:9" x14ac:dyDescent="0.25">
      <c r="A1306" t="s">
        <v>2829</v>
      </c>
      <c r="B1306">
        <v>1</v>
      </c>
      <c r="C1306">
        <v>0.39700000000000002</v>
      </c>
      <c r="D1306" t="s">
        <v>146</v>
      </c>
      <c r="E1306" t="s">
        <v>20</v>
      </c>
      <c r="F1306" t="s">
        <v>21</v>
      </c>
      <c r="G1306">
        <v>2.5188916876574305</v>
      </c>
      <c r="H1306">
        <v>0.92381899829494651</v>
      </c>
      <c r="I1306" t="s">
        <v>3536</v>
      </c>
    </row>
    <row r="1307" spans="1:9" x14ac:dyDescent="0.25">
      <c r="A1307" t="s">
        <v>2830</v>
      </c>
      <c r="B1307">
        <v>1</v>
      </c>
      <c r="C1307">
        <v>0.188</v>
      </c>
      <c r="D1307" t="s">
        <v>2523</v>
      </c>
      <c r="E1307" t="s">
        <v>44</v>
      </c>
      <c r="F1307" t="s">
        <v>21</v>
      </c>
      <c r="G1307">
        <v>5.3191489361702127</v>
      </c>
      <c r="H1307">
        <v>1.6713133161521878</v>
      </c>
      <c r="I1307" t="s">
        <v>3536</v>
      </c>
    </row>
    <row r="1308" spans="1:9" x14ac:dyDescent="0.25">
      <c r="A1308" t="s">
        <v>2831</v>
      </c>
      <c r="B1308">
        <v>1</v>
      </c>
      <c r="C1308">
        <v>0.26300000000000001</v>
      </c>
      <c r="D1308" t="s">
        <v>2104</v>
      </c>
      <c r="E1308" t="s">
        <v>10</v>
      </c>
      <c r="F1308" t="s">
        <v>11</v>
      </c>
      <c r="G1308">
        <v>3.8022813688212924</v>
      </c>
      <c r="H1308">
        <v>1.3356012468043723</v>
      </c>
      <c r="I1308" t="s">
        <v>3536</v>
      </c>
    </row>
    <row r="1309" spans="1:9" x14ac:dyDescent="0.25">
      <c r="A1309" t="s">
        <v>2833</v>
      </c>
      <c r="B1309">
        <v>1</v>
      </c>
      <c r="C1309">
        <v>0.26700000000000002</v>
      </c>
      <c r="D1309" t="s">
        <v>380</v>
      </c>
      <c r="E1309" t="s">
        <v>10</v>
      </c>
      <c r="F1309" t="s">
        <v>11</v>
      </c>
      <c r="G1309">
        <v>3.7453183520599249</v>
      </c>
      <c r="H1309">
        <v>1.3205066205818874</v>
      </c>
      <c r="I1309" t="s">
        <v>3536</v>
      </c>
    </row>
    <row r="1310" spans="1:9" x14ac:dyDescent="0.25">
      <c r="A1310" t="s">
        <v>2834</v>
      </c>
      <c r="B1310">
        <v>1</v>
      </c>
      <c r="C1310">
        <v>2</v>
      </c>
      <c r="D1310" t="s">
        <v>2835</v>
      </c>
      <c r="E1310" t="s">
        <v>20</v>
      </c>
      <c r="F1310" t="s">
        <v>21</v>
      </c>
      <c r="G1310">
        <v>0.5</v>
      </c>
      <c r="H1310">
        <v>-0.69314718055994529</v>
      </c>
      <c r="I1310" t="s">
        <v>3536</v>
      </c>
    </row>
    <row r="1311" spans="1:9" x14ac:dyDescent="0.25">
      <c r="A1311" t="s">
        <v>2836</v>
      </c>
      <c r="B1311">
        <v>1</v>
      </c>
      <c r="C1311">
        <v>0.14000000000000001</v>
      </c>
      <c r="D1311" t="s">
        <v>2837</v>
      </c>
      <c r="E1311" t="s">
        <v>20</v>
      </c>
      <c r="F1311" t="s">
        <v>21</v>
      </c>
      <c r="G1311">
        <v>7.1428571428571423</v>
      </c>
      <c r="H1311">
        <v>1.9661128563728327</v>
      </c>
      <c r="I1311" t="s">
        <v>3536</v>
      </c>
    </row>
    <row r="1312" spans="1:9" x14ac:dyDescent="0.25">
      <c r="A1312" t="s">
        <v>2838</v>
      </c>
      <c r="B1312">
        <v>1</v>
      </c>
      <c r="C1312">
        <v>0.57499999999999996</v>
      </c>
      <c r="D1312" t="s">
        <v>2839</v>
      </c>
      <c r="E1312" t="s">
        <v>10</v>
      </c>
      <c r="F1312" t="s">
        <v>11</v>
      </c>
      <c r="G1312">
        <v>1.7391304347826089</v>
      </c>
      <c r="H1312">
        <v>0.55338523818478669</v>
      </c>
      <c r="I1312" t="s">
        <v>3536</v>
      </c>
    </row>
    <row r="1313" spans="1:9" x14ac:dyDescent="0.25">
      <c r="A1313" t="s">
        <v>2840</v>
      </c>
      <c r="B1313">
        <v>1</v>
      </c>
      <c r="C1313">
        <v>7.1999999999999995E-2</v>
      </c>
      <c r="D1313" t="s">
        <v>2842</v>
      </c>
      <c r="E1313" t="s">
        <v>10</v>
      </c>
      <c r="F1313" t="s">
        <v>11</v>
      </c>
      <c r="G1313">
        <v>13.888888888888889</v>
      </c>
      <c r="H1313">
        <v>2.6310891599660819</v>
      </c>
      <c r="I1313" t="s">
        <v>3536</v>
      </c>
    </row>
    <row r="1314" spans="1:9" x14ac:dyDescent="0.25">
      <c r="A1314" t="s">
        <v>2843</v>
      </c>
      <c r="B1314">
        <v>1</v>
      </c>
      <c r="C1314">
        <v>0.34699999999999998</v>
      </c>
      <c r="D1314" t="s">
        <v>1577</v>
      </c>
      <c r="E1314" t="s">
        <v>10</v>
      </c>
      <c r="F1314" t="s">
        <v>11</v>
      </c>
      <c r="G1314">
        <v>2.8818443804034586</v>
      </c>
      <c r="H1314">
        <v>1.058430499035278</v>
      </c>
      <c r="I1314" t="s">
        <v>3536</v>
      </c>
    </row>
    <row r="1315" spans="1:9" x14ac:dyDescent="0.25">
      <c r="A1315" t="s">
        <v>2844</v>
      </c>
      <c r="B1315">
        <v>1</v>
      </c>
      <c r="C1315">
        <v>7.9000000000000001E-2</v>
      </c>
      <c r="D1315" t="s">
        <v>148</v>
      </c>
      <c r="E1315" t="s">
        <v>360</v>
      </c>
      <c r="F1315" t="s">
        <v>50</v>
      </c>
      <c r="G1315">
        <v>12.658227848101266</v>
      </c>
      <c r="H1315">
        <v>2.5383074265151158</v>
      </c>
      <c r="I1315" t="s">
        <v>3536</v>
      </c>
    </row>
    <row r="1316" spans="1:9" x14ac:dyDescent="0.25">
      <c r="A1316" t="s">
        <v>2846</v>
      </c>
      <c r="B1316">
        <v>1</v>
      </c>
      <c r="C1316">
        <v>0</v>
      </c>
      <c r="D1316" t="s">
        <v>1186</v>
      </c>
      <c r="E1316" t="s">
        <v>273</v>
      </c>
      <c r="F1316" t="s">
        <v>21</v>
      </c>
      <c r="G1316" t="s">
        <v>3535</v>
      </c>
      <c r="H1316" t="s">
        <v>3535</v>
      </c>
      <c r="I1316" t="s">
        <v>3537</v>
      </c>
    </row>
    <row r="1317" spans="1:9" x14ac:dyDescent="0.25">
      <c r="A1317" t="s">
        <v>2847</v>
      </c>
      <c r="B1317">
        <v>1</v>
      </c>
      <c r="C1317">
        <v>0</v>
      </c>
      <c r="D1317" t="s">
        <v>2848</v>
      </c>
      <c r="E1317" t="s">
        <v>10</v>
      </c>
      <c r="F1317" t="s">
        <v>11</v>
      </c>
      <c r="G1317" t="s">
        <v>3535</v>
      </c>
      <c r="H1317" t="s">
        <v>3535</v>
      </c>
      <c r="I1317" t="s">
        <v>3537</v>
      </c>
    </row>
    <row r="1318" spans="1:9" x14ac:dyDescent="0.25">
      <c r="A1318" t="s">
        <v>2849</v>
      </c>
      <c r="B1318">
        <v>1</v>
      </c>
      <c r="C1318">
        <v>0.152</v>
      </c>
      <c r="D1318" t="s">
        <v>130</v>
      </c>
      <c r="E1318" t="s">
        <v>10</v>
      </c>
      <c r="F1318" t="s">
        <v>11</v>
      </c>
      <c r="G1318">
        <v>6.5789473684210531</v>
      </c>
      <c r="H1318">
        <v>1.8838747581358608</v>
      </c>
      <c r="I1318" t="s">
        <v>3536</v>
      </c>
    </row>
    <row r="1319" spans="1:9" x14ac:dyDescent="0.25">
      <c r="A1319" t="s">
        <v>2850</v>
      </c>
      <c r="B1319">
        <v>1</v>
      </c>
      <c r="C1319">
        <v>0.29199999999999998</v>
      </c>
      <c r="D1319" t="s">
        <v>2851</v>
      </c>
      <c r="E1319" t="s">
        <v>49</v>
      </c>
      <c r="F1319" t="s">
        <v>50</v>
      </c>
      <c r="G1319">
        <v>3.4246575342465757</v>
      </c>
      <c r="H1319">
        <v>1.2310014767138555</v>
      </c>
      <c r="I1319" t="s">
        <v>3536</v>
      </c>
    </row>
    <row r="1320" spans="1:9" x14ac:dyDescent="0.25">
      <c r="A1320" t="s">
        <v>2852</v>
      </c>
      <c r="B1320">
        <v>1</v>
      </c>
      <c r="C1320">
        <v>0.32200000000000001</v>
      </c>
      <c r="D1320" t="s">
        <v>1671</v>
      </c>
      <c r="E1320" t="s">
        <v>10</v>
      </c>
      <c r="F1320" t="s">
        <v>11</v>
      </c>
      <c r="G1320">
        <v>3.1055900621118013</v>
      </c>
      <c r="H1320">
        <v>1.1332037334377287</v>
      </c>
      <c r="I1320" t="s">
        <v>3536</v>
      </c>
    </row>
    <row r="1321" spans="1:9" x14ac:dyDescent="0.25">
      <c r="A1321" t="s">
        <v>2853</v>
      </c>
      <c r="B1321">
        <v>1</v>
      </c>
      <c r="C1321">
        <v>0.42499999999999999</v>
      </c>
      <c r="D1321" t="s">
        <v>2855</v>
      </c>
      <c r="E1321" t="s">
        <v>10</v>
      </c>
      <c r="F1321" t="s">
        <v>11</v>
      </c>
      <c r="G1321">
        <v>2.3529411764705883</v>
      </c>
      <c r="H1321">
        <v>0.85566611005772031</v>
      </c>
      <c r="I1321" t="s">
        <v>3536</v>
      </c>
    </row>
    <row r="1322" spans="1:9" x14ac:dyDescent="0.25">
      <c r="A1322" t="s">
        <v>2856</v>
      </c>
      <c r="B1322">
        <v>1</v>
      </c>
      <c r="C1322">
        <v>0.25</v>
      </c>
      <c r="E1322" t="s">
        <v>10</v>
      </c>
      <c r="F1322" t="s">
        <v>11</v>
      </c>
      <c r="G1322">
        <v>4</v>
      </c>
      <c r="H1322">
        <v>1.3862943611198906</v>
      </c>
      <c r="I1322" t="s">
        <v>3536</v>
      </c>
    </row>
    <row r="1323" spans="1:9" x14ac:dyDescent="0.25">
      <c r="A1323" t="s">
        <v>2857</v>
      </c>
      <c r="B1323">
        <v>1</v>
      </c>
      <c r="C1323">
        <v>0.59099999999999997</v>
      </c>
      <c r="D1323" t="s">
        <v>2859</v>
      </c>
      <c r="E1323" t="s">
        <v>10</v>
      </c>
      <c r="F1323" t="s">
        <v>11</v>
      </c>
      <c r="G1323">
        <v>1.6920473773265652</v>
      </c>
      <c r="H1323">
        <v>0.52593926157603887</v>
      </c>
      <c r="I1323" t="s">
        <v>3536</v>
      </c>
    </row>
    <row r="1324" spans="1:9" x14ac:dyDescent="0.25">
      <c r="A1324" t="s">
        <v>2860</v>
      </c>
      <c r="B1324">
        <v>1</v>
      </c>
      <c r="C1324">
        <v>0.432</v>
      </c>
      <c r="D1324" t="s">
        <v>2861</v>
      </c>
      <c r="E1324" t="s">
        <v>365</v>
      </c>
      <c r="F1324" t="s">
        <v>11</v>
      </c>
      <c r="G1324">
        <v>2.3148148148148149</v>
      </c>
      <c r="H1324">
        <v>0.83932969073802677</v>
      </c>
      <c r="I1324" t="s">
        <v>3536</v>
      </c>
    </row>
    <row r="1325" spans="1:9" x14ac:dyDescent="0.25">
      <c r="A1325" t="s">
        <v>2862</v>
      </c>
      <c r="B1325">
        <v>1</v>
      </c>
      <c r="C1325">
        <v>1</v>
      </c>
      <c r="D1325" t="s">
        <v>2863</v>
      </c>
      <c r="E1325" t="s">
        <v>10</v>
      </c>
      <c r="F1325" t="s">
        <v>11</v>
      </c>
      <c r="G1325">
        <v>1</v>
      </c>
      <c r="H1325">
        <v>0</v>
      </c>
      <c r="I1325" t="s">
        <v>3536</v>
      </c>
    </row>
    <row r="1326" spans="1:9" x14ac:dyDescent="0.25">
      <c r="A1326" t="s">
        <v>2864</v>
      </c>
      <c r="B1326">
        <v>1</v>
      </c>
      <c r="C1326">
        <v>0.13100000000000001</v>
      </c>
      <c r="D1326" t="s">
        <v>2865</v>
      </c>
      <c r="E1326" t="s">
        <v>10</v>
      </c>
      <c r="F1326" t="s">
        <v>11</v>
      </c>
      <c r="G1326">
        <v>7.6335877862595414</v>
      </c>
      <c r="H1326">
        <v>2.0325579557809856</v>
      </c>
      <c r="I1326" t="s">
        <v>3536</v>
      </c>
    </row>
    <row r="1327" spans="1:9" x14ac:dyDescent="0.25">
      <c r="A1327" t="s">
        <v>2866</v>
      </c>
      <c r="B1327">
        <v>1</v>
      </c>
      <c r="C1327">
        <v>0.88300000000000001</v>
      </c>
      <c r="D1327" t="s">
        <v>2868</v>
      </c>
      <c r="E1327" t="s">
        <v>10</v>
      </c>
      <c r="F1327" t="s">
        <v>11</v>
      </c>
      <c r="G1327">
        <v>1.1325028312570782</v>
      </c>
      <c r="H1327">
        <v>0.12443007837817707</v>
      </c>
      <c r="I1327" t="s">
        <v>3536</v>
      </c>
    </row>
    <row r="1328" spans="1:9" x14ac:dyDescent="0.25">
      <c r="A1328" t="s">
        <v>2869</v>
      </c>
      <c r="B1328">
        <v>1</v>
      </c>
      <c r="C1328">
        <v>0.48</v>
      </c>
      <c r="D1328" t="s">
        <v>2870</v>
      </c>
      <c r="E1328" t="s">
        <v>2056</v>
      </c>
      <c r="F1328" t="s">
        <v>526</v>
      </c>
      <c r="G1328">
        <v>2.0833333333333335</v>
      </c>
      <c r="H1328">
        <v>0.73396917508020054</v>
      </c>
      <c r="I1328" t="s">
        <v>3536</v>
      </c>
    </row>
    <row r="1329" spans="1:9" x14ac:dyDescent="0.25">
      <c r="A1329" t="s">
        <v>2871</v>
      </c>
      <c r="B1329">
        <v>1</v>
      </c>
      <c r="C1329">
        <v>0.221</v>
      </c>
      <c r="D1329" t="s">
        <v>2872</v>
      </c>
      <c r="E1329" t="s">
        <v>10</v>
      </c>
      <c r="F1329" t="s">
        <v>11</v>
      </c>
      <c r="G1329">
        <v>4.5248868778280542</v>
      </c>
      <c r="H1329">
        <v>1.5095925774643841</v>
      </c>
      <c r="I1329" t="s">
        <v>3536</v>
      </c>
    </row>
    <row r="1330" spans="1:9" x14ac:dyDescent="0.25">
      <c r="A1330" t="s">
        <v>2873</v>
      </c>
      <c r="B1330">
        <v>1</v>
      </c>
      <c r="C1330">
        <v>0.318</v>
      </c>
      <c r="D1330" t="s">
        <v>2874</v>
      </c>
      <c r="E1330" t="s">
        <v>49</v>
      </c>
      <c r="F1330" t="s">
        <v>50</v>
      </c>
      <c r="G1330">
        <v>3.1446540880503142</v>
      </c>
      <c r="H1330">
        <v>1.1457038962019601</v>
      </c>
      <c r="I1330" t="s">
        <v>3536</v>
      </c>
    </row>
    <row r="1331" spans="1:9" x14ac:dyDescent="0.25">
      <c r="A1331" t="s">
        <v>2875</v>
      </c>
      <c r="B1331">
        <v>1</v>
      </c>
      <c r="C1331">
        <v>0.9</v>
      </c>
      <c r="D1331" t="s">
        <v>469</v>
      </c>
      <c r="E1331" t="s">
        <v>10</v>
      </c>
      <c r="F1331" t="s">
        <v>11</v>
      </c>
      <c r="G1331">
        <v>1.1111111111111112</v>
      </c>
      <c r="H1331">
        <v>0.10536051565782635</v>
      </c>
      <c r="I1331" t="s">
        <v>3536</v>
      </c>
    </row>
    <row r="1332" spans="1:9" x14ac:dyDescent="0.25">
      <c r="A1332" t="s">
        <v>2876</v>
      </c>
      <c r="B1332">
        <v>1</v>
      </c>
      <c r="C1332">
        <v>0.184</v>
      </c>
      <c r="D1332" t="s">
        <v>2877</v>
      </c>
      <c r="E1332" t="s">
        <v>10</v>
      </c>
      <c r="F1332" t="s">
        <v>11</v>
      </c>
      <c r="G1332">
        <v>5.4347826086956523</v>
      </c>
      <c r="H1332">
        <v>1.6928195213731514</v>
      </c>
      <c r="I1332" t="s">
        <v>3536</v>
      </c>
    </row>
    <row r="1333" spans="1:9" x14ac:dyDescent="0.25">
      <c r="A1333" t="s">
        <v>2878</v>
      </c>
      <c r="B1333">
        <v>1</v>
      </c>
      <c r="C1333">
        <v>0.47</v>
      </c>
      <c r="D1333" t="s">
        <v>722</v>
      </c>
      <c r="E1333" t="s">
        <v>49</v>
      </c>
      <c r="F1333" t="s">
        <v>50</v>
      </c>
      <c r="G1333">
        <v>2.1276595744680851</v>
      </c>
      <c r="H1333">
        <v>0.75502258427803282</v>
      </c>
      <c r="I1333" t="s">
        <v>3536</v>
      </c>
    </row>
    <row r="1334" spans="1:9" x14ac:dyDescent="0.25">
      <c r="A1334" t="s">
        <v>2880</v>
      </c>
      <c r="B1334">
        <v>1</v>
      </c>
      <c r="C1334">
        <v>0.72099999999999997</v>
      </c>
      <c r="D1334" t="s">
        <v>2881</v>
      </c>
      <c r="E1334" t="s">
        <v>20</v>
      </c>
      <c r="F1334" t="s">
        <v>21</v>
      </c>
      <c r="G1334">
        <v>1.3869625520110958</v>
      </c>
      <c r="H1334">
        <v>0.327116141697188</v>
      </c>
      <c r="I1334" t="s">
        <v>3536</v>
      </c>
    </row>
    <row r="1335" spans="1:9" x14ac:dyDescent="0.25">
      <c r="A1335" t="s">
        <v>2882</v>
      </c>
      <c r="B1335">
        <v>1</v>
      </c>
      <c r="C1335">
        <v>0.249</v>
      </c>
      <c r="D1335" t="s">
        <v>2883</v>
      </c>
      <c r="E1335" t="s">
        <v>49</v>
      </c>
      <c r="F1335" t="s">
        <v>50</v>
      </c>
      <c r="G1335">
        <v>4.0160642570281126</v>
      </c>
      <c r="H1335">
        <v>1.3903023825174294</v>
      </c>
      <c r="I1335" t="s">
        <v>3536</v>
      </c>
    </row>
    <row r="1336" spans="1:9" x14ac:dyDescent="0.25">
      <c r="A1336" t="s">
        <v>2884</v>
      </c>
      <c r="B1336">
        <v>1</v>
      </c>
      <c r="C1336">
        <v>0.51500000000000001</v>
      </c>
      <c r="D1336" t="s">
        <v>2783</v>
      </c>
      <c r="E1336" t="s">
        <v>10</v>
      </c>
      <c r="F1336" t="s">
        <v>11</v>
      </c>
      <c r="G1336">
        <v>1.941747572815534</v>
      </c>
      <c r="H1336">
        <v>0.6635883783184009</v>
      </c>
      <c r="I1336" t="s">
        <v>3536</v>
      </c>
    </row>
    <row r="1337" spans="1:9" x14ac:dyDescent="0.25">
      <c r="A1337" t="s">
        <v>2885</v>
      </c>
      <c r="B1337">
        <v>1</v>
      </c>
      <c r="C1337">
        <v>0.32600000000000001</v>
      </c>
      <c r="D1337" t="s">
        <v>2886</v>
      </c>
      <c r="E1337" t="s">
        <v>10</v>
      </c>
      <c r="F1337" t="s">
        <v>11</v>
      </c>
      <c r="G1337">
        <v>3.0674846625766872</v>
      </c>
      <c r="H1337">
        <v>1.1208578976154295</v>
      </c>
      <c r="I1337" t="s">
        <v>3536</v>
      </c>
    </row>
    <row r="1338" spans="1:9" x14ac:dyDescent="0.25">
      <c r="A1338" t="s">
        <v>2887</v>
      </c>
      <c r="B1338">
        <v>1</v>
      </c>
      <c r="C1338">
        <v>0</v>
      </c>
      <c r="D1338" t="s">
        <v>2888</v>
      </c>
      <c r="E1338" t="s">
        <v>275</v>
      </c>
      <c r="F1338" t="s">
        <v>21</v>
      </c>
      <c r="G1338" t="s">
        <v>3535</v>
      </c>
      <c r="H1338" t="s">
        <v>3535</v>
      </c>
      <c r="I1338" t="s">
        <v>3537</v>
      </c>
    </row>
    <row r="1339" spans="1:9" x14ac:dyDescent="0.25">
      <c r="A1339" t="s">
        <v>2889</v>
      </c>
      <c r="B1339">
        <v>1</v>
      </c>
      <c r="C1339">
        <v>0.22600000000000001</v>
      </c>
      <c r="D1339" t="s">
        <v>2891</v>
      </c>
      <c r="E1339" t="s">
        <v>10</v>
      </c>
      <c r="F1339" t="s">
        <v>11</v>
      </c>
      <c r="G1339">
        <v>4.4247787610619467</v>
      </c>
      <c r="H1339">
        <v>1.487220279709851</v>
      </c>
      <c r="I1339" t="s">
        <v>3536</v>
      </c>
    </row>
    <row r="1340" spans="1:9" x14ac:dyDescent="0.25">
      <c r="A1340" t="s">
        <v>2892</v>
      </c>
      <c r="B1340">
        <v>1</v>
      </c>
      <c r="C1340">
        <v>0.23699999999999999</v>
      </c>
      <c r="D1340" t="s">
        <v>1843</v>
      </c>
      <c r="E1340" t="s">
        <v>10</v>
      </c>
      <c r="F1340" t="s">
        <v>11</v>
      </c>
      <c r="G1340">
        <v>4.2194092827004219</v>
      </c>
      <c r="H1340">
        <v>1.4396951378470058</v>
      </c>
      <c r="I1340" t="s">
        <v>3536</v>
      </c>
    </row>
    <row r="1341" spans="1:9" x14ac:dyDescent="0.25">
      <c r="A1341" t="s">
        <v>2893</v>
      </c>
      <c r="B1341">
        <v>1</v>
      </c>
      <c r="C1341">
        <v>0.26600000000000001</v>
      </c>
      <c r="D1341" t="s">
        <v>816</v>
      </c>
      <c r="E1341" t="s">
        <v>10</v>
      </c>
      <c r="F1341" t="s">
        <v>11</v>
      </c>
      <c r="G1341">
        <v>3.7593984962406015</v>
      </c>
      <c r="H1341">
        <v>1.3242589702004379</v>
      </c>
      <c r="I1341" t="s">
        <v>3536</v>
      </c>
    </row>
    <row r="1342" spans="1:9" x14ac:dyDescent="0.25">
      <c r="A1342" t="s">
        <v>2894</v>
      </c>
      <c r="B1342">
        <v>1</v>
      </c>
      <c r="C1342">
        <v>0</v>
      </c>
      <c r="E1342" t="s">
        <v>10</v>
      </c>
      <c r="F1342" t="s">
        <v>11</v>
      </c>
      <c r="G1342" t="s">
        <v>3535</v>
      </c>
      <c r="H1342" t="s">
        <v>3535</v>
      </c>
      <c r="I1342" t="s">
        <v>3537</v>
      </c>
    </row>
    <row r="1343" spans="1:9" x14ac:dyDescent="0.25">
      <c r="A1343" t="s">
        <v>2895</v>
      </c>
      <c r="B1343">
        <v>1</v>
      </c>
      <c r="C1343">
        <v>0.111</v>
      </c>
      <c r="D1343" t="s">
        <v>2896</v>
      </c>
      <c r="E1343" t="s">
        <v>273</v>
      </c>
      <c r="F1343" t="s">
        <v>21</v>
      </c>
      <c r="G1343">
        <v>9.0090090090090094</v>
      </c>
      <c r="H1343">
        <v>2.1982250776698029</v>
      </c>
      <c r="I1343" t="s">
        <v>3536</v>
      </c>
    </row>
    <row r="1344" spans="1:9" x14ac:dyDescent="0.25">
      <c r="A1344" t="s">
        <v>2897</v>
      </c>
      <c r="B1344">
        <v>1</v>
      </c>
      <c r="C1344">
        <v>0.113</v>
      </c>
      <c r="D1344" t="s">
        <v>1735</v>
      </c>
      <c r="E1344" t="s">
        <v>10</v>
      </c>
      <c r="F1344" t="s">
        <v>11</v>
      </c>
      <c r="G1344">
        <v>8.8495575221238933</v>
      </c>
      <c r="H1344">
        <v>2.1803674602697964</v>
      </c>
      <c r="I1344" t="s">
        <v>3536</v>
      </c>
    </row>
    <row r="1345" spans="1:9" x14ac:dyDescent="0.25">
      <c r="A1345" t="s">
        <v>2898</v>
      </c>
      <c r="B1345">
        <v>1</v>
      </c>
      <c r="C1345">
        <v>0.18099999999999999</v>
      </c>
      <c r="D1345" t="s">
        <v>2899</v>
      </c>
      <c r="E1345" t="s">
        <v>10</v>
      </c>
      <c r="F1345" t="s">
        <v>11</v>
      </c>
      <c r="G1345">
        <v>5.5248618784530388</v>
      </c>
      <c r="H1345">
        <v>1.7092582477163114</v>
      </c>
      <c r="I1345" t="s">
        <v>3536</v>
      </c>
    </row>
    <row r="1346" spans="1:9" x14ac:dyDescent="0.25">
      <c r="A1346" t="s">
        <v>2900</v>
      </c>
      <c r="B1346">
        <v>1</v>
      </c>
      <c r="C1346">
        <v>9.2999999999999999E-2</v>
      </c>
      <c r="D1346" t="s">
        <v>2901</v>
      </c>
      <c r="E1346" t="s">
        <v>44</v>
      </c>
      <c r="F1346" t="s">
        <v>21</v>
      </c>
      <c r="G1346">
        <v>10.75268817204301</v>
      </c>
      <c r="H1346">
        <v>2.375155785828881</v>
      </c>
      <c r="I1346" t="s">
        <v>3536</v>
      </c>
    </row>
    <row r="1347" spans="1:9" x14ac:dyDescent="0.25">
      <c r="A1347" t="s">
        <v>2902</v>
      </c>
      <c r="B1347">
        <v>1</v>
      </c>
      <c r="C1347">
        <v>0.182</v>
      </c>
      <c r="D1347" t="s">
        <v>2903</v>
      </c>
      <c r="E1347" t="s">
        <v>10</v>
      </c>
      <c r="F1347" t="s">
        <v>11</v>
      </c>
      <c r="G1347">
        <v>5.4945054945054945</v>
      </c>
      <c r="H1347">
        <v>1.7037485919053417</v>
      </c>
      <c r="I1347" t="s">
        <v>3536</v>
      </c>
    </row>
    <row r="1348" spans="1:9" x14ac:dyDescent="0.25">
      <c r="A1348" t="s">
        <v>2904</v>
      </c>
      <c r="B1348">
        <v>1</v>
      </c>
      <c r="C1348">
        <v>0.10199999999999999</v>
      </c>
      <c r="D1348" t="s">
        <v>225</v>
      </c>
      <c r="E1348" t="s">
        <v>49</v>
      </c>
      <c r="F1348" t="s">
        <v>50</v>
      </c>
      <c r="G1348">
        <v>9.8039215686274517</v>
      </c>
      <c r="H1348">
        <v>2.2827824656978661</v>
      </c>
      <c r="I1348" t="s">
        <v>3536</v>
      </c>
    </row>
    <row r="1349" spans="1:9" x14ac:dyDescent="0.25">
      <c r="A1349" t="s">
        <v>2905</v>
      </c>
      <c r="B1349">
        <v>1</v>
      </c>
      <c r="C1349">
        <v>1</v>
      </c>
      <c r="D1349" t="s">
        <v>1068</v>
      </c>
      <c r="E1349" t="s">
        <v>10</v>
      </c>
      <c r="F1349" t="s">
        <v>11</v>
      </c>
      <c r="G1349">
        <v>1</v>
      </c>
      <c r="H1349">
        <v>0</v>
      </c>
      <c r="I1349" t="s">
        <v>3536</v>
      </c>
    </row>
    <row r="1350" spans="1:9" x14ac:dyDescent="0.25">
      <c r="A1350" t="s">
        <v>2906</v>
      </c>
      <c r="B1350">
        <v>1</v>
      </c>
      <c r="C1350">
        <v>0.255</v>
      </c>
      <c r="D1350" t="s">
        <v>469</v>
      </c>
      <c r="E1350" t="s">
        <v>10</v>
      </c>
      <c r="F1350" t="s">
        <v>11</v>
      </c>
      <c r="G1350">
        <v>3.9215686274509802</v>
      </c>
      <c r="H1350">
        <v>1.3664917338237108</v>
      </c>
      <c r="I1350" t="s">
        <v>3536</v>
      </c>
    </row>
    <row r="1351" spans="1:9" x14ac:dyDescent="0.25">
      <c r="A1351" t="s">
        <v>2907</v>
      </c>
      <c r="B1351">
        <v>1</v>
      </c>
      <c r="C1351">
        <v>1.9E-2</v>
      </c>
      <c r="D1351" t="s">
        <v>1398</v>
      </c>
      <c r="E1351" t="s">
        <v>10</v>
      </c>
      <c r="F1351" t="s">
        <v>11</v>
      </c>
      <c r="G1351">
        <v>52.631578947368425</v>
      </c>
      <c r="H1351">
        <v>3.9633162998156966</v>
      </c>
      <c r="I1351" t="s">
        <v>3536</v>
      </c>
    </row>
    <row r="1352" spans="1:9" x14ac:dyDescent="0.25">
      <c r="A1352" t="s">
        <v>2909</v>
      </c>
      <c r="B1352">
        <v>1</v>
      </c>
      <c r="C1352">
        <v>0.19800000000000001</v>
      </c>
      <c r="D1352" t="s">
        <v>786</v>
      </c>
      <c r="E1352" t="s">
        <v>2910</v>
      </c>
      <c r="F1352" t="s">
        <v>63</v>
      </c>
      <c r="G1352">
        <v>5.0505050505050502</v>
      </c>
      <c r="H1352">
        <v>1.6194882482876019</v>
      </c>
      <c r="I1352" t="s">
        <v>3536</v>
      </c>
    </row>
    <row r="1353" spans="1:9" x14ac:dyDescent="0.25">
      <c r="A1353" t="s">
        <v>2911</v>
      </c>
      <c r="B1353">
        <v>1</v>
      </c>
      <c r="C1353">
        <v>0.32200000000000001</v>
      </c>
      <c r="D1353" t="s">
        <v>2912</v>
      </c>
      <c r="E1353" t="s">
        <v>10</v>
      </c>
      <c r="F1353" t="s">
        <v>11</v>
      </c>
      <c r="G1353">
        <v>3.1055900621118013</v>
      </c>
      <c r="H1353">
        <v>1.1332037334377287</v>
      </c>
      <c r="I1353" t="s">
        <v>3536</v>
      </c>
    </row>
    <row r="1354" spans="1:9" x14ac:dyDescent="0.25">
      <c r="A1354" t="s">
        <v>2913</v>
      </c>
      <c r="B1354">
        <v>1</v>
      </c>
      <c r="C1354">
        <v>0.28499999999999998</v>
      </c>
      <c r="D1354" t="s">
        <v>2914</v>
      </c>
      <c r="E1354" t="s">
        <v>44</v>
      </c>
      <c r="F1354" t="s">
        <v>21</v>
      </c>
      <c r="G1354">
        <v>3.5087719298245617</v>
      </c>
      <c r="H1354">
        <v>1.2552660987134865</v>
      </c>
      <c r="I1354" t="s">
        <v>3536</v>
      </c>
    </row>
    <row r="1355" spans="1:9" x14ac:dyDescent="0.25">
      <c r="A1355" t="s">
        <v>2915</v>
      </c>
      <c r="B1355">
        <v>1</v>
      </c>
      <c r="C1355">
        <v>0.13900000000000001</v>
      </c>
      <c r="D1355" t="s">
        <v>2916</v>
      </c>
      <c r="E1355" t="s">
        <v>652</v>
      </c>
      <c r="F1355" t="s">
        <v>50</v>
      </c>
      <c r="G1355">
        <v>7.1942446043165464</v>
      </c>
      <c r="H1355">
        <v>1.9732813458514453</v>
      </c>
      <c r="I1355" t="s">
        <v>3536</v>
      </c>
    </row>
    <row r="1356" spans="1:9" x14ac:dyDescent="0.25">
      <c r="A1356" t="s">
        <v>2917</v>
      </c>
      <c r="B1356">
        <v>1</v>
      </c>
      <c r="C1356">
        <v>0.42</v>
      </c>
      <c r="D1356" t="s">
        <v>2918</v>
      </c>
      <c r="E1356" t="s">
        <v>170</v>
      </c>
      <c r="F1356" t="s">
        <v>50</v>
      </c>
      <c r="G1356">
        <v>2.3809523809523809</v>
      </c>
      <c r="H1356">
        <v>0.86750056770472306</v>
      </c>
      <c r="I1356" t="s">
        <v>3536</v>
      </c>
    </row>
    <row r="1357" spans="1:9" x14ac:dyDescent="0.25">
      <c r="A1357" t="s">
        <v>2919</v>
      </c>
      <c r="B1357">
        <v>1</v>
      </c>
      <c r="C1357">
        <v>2.9000000000000001E-2</v>
      </c>
      <c r="D1357" t="s">
        <v>1642</v>
      </c>
      <c r="E1357" t="s">
        <v>242</v>
      </c>
      <c r="F1357" t="s">
        <v>21</v>
      </c>
      <c r="G1357">
        <v>34.482758620689651</v>
      </c>
      <c r="H1357">
        <v>3.5404594489956631</v>
      </c>
      <c r="I1357" t="s">
        <v>3536</v>
      </c>
    </row>
    <row r="1358" spans="1:9" x14ac:dyDescent="0.25">
      <c r="A1358" t="s">
        <v>2921</v>
      </c>
      <c r="B1358">
        <v>1</v>
      </c>
      <c r="C1358">
        <v>0.30499999999999999</v>
      </c>
      <c r="D1358" t="s">
        <v>316</v>
      </c>
      <c r="E1358" t="s">
        <v>10</v>
      </c>
      <c r="F1358" t="s">
        <v>11</v>
      </c>
      <c r="G1358">
        <v>3.278688524590164</v>
      </c>
      <c r="H1358">
        <v>1.1874435023747254</v>
      </c>
      <c r="I1358" t="s">
        <v>3536</v>
      </c>
    </row>
    <row r="1359" spans="1:9" x14ac:dyDescent="0.25">
      <c r="A1359" t="s">
        <v>2922</v>
      </c>
      <c r="B1359">
        <v>1</v>
      </c>
      <c r="C1359">
        <v>0.28699999999999998</v>
      </c>
      <c r="D1359" t="s">
        <v>595</v>
      </c>
      <c r="E1359" t="s">
        <v>10</v>
      </c>
      <c r="F1359" t="s">
        <v>11</v>
      </c>
      <c r="G1359">
        <v>3.4843205574912894</v>
      </c>
      <c r="H1359">
        <v>1.2482730632225161</v>
      </c>
      <c r="I1359" t="s">
        <v>3536</v>
      </c>
    </row>
    <row r="1360" spans="1:9" x14ac:dyDescent="0.25">
      <c r="A1360" t="s">
        <v>2924</v>
      </c>
      <c r="B1360">
        <v>1</v>
      </c>
      <c r="C1360">
        <v>0.17</v>
      </c>
      <c r="D1360" t="s">
        <v>2925</v>
      </c>
      <c r="E1360" t="s">
        <v>10</v>
      </c>
      <c r="F1360" t="s">
        <v>11</v>
      </c>
      <c r="G1360">
        <v>5.8823529411764701</v>
      </c>
      <c r="H1360">
        <v>1.7719568419318752</v>
      </c>
      <c r="I1360" t="s">
        <v>3536</v>
      </c>
    </row>
    <row r="1361" spans="1:9" x14ac:dyDescent="0.25">
      <c r="A1361" t="s">
        <v>2926</v>
      </c>
      <c r="B1361">
        <v>1</v>
      </c>
      <c r="C1361">
        <v>0.51700000000000002</v>
      </c>
      <c r="D1361" t="s">
        <v>2676</v>
      </c>
      <c r="E1361" t="s">
        <v>10</v>
      </c>
      <c r="F1361" t="s">
        <v>11</v>
      </c>
      <c r="G1361">
        <v>1.9342359767891681</v>
      </c>
      <c r="H1361">
        <v>0.65971240447370783</v>
      </c>
      <c r="I1361" t="s">
        <v>3536</v>
      </c>
    </row>
    <row r="1362" spans="1:9" x14ac:dyDescent="0.25">
      <c r="A1362" t="s">
        <v>2927</v>
      </c>
      <c r="B1362">
        <v>1</v>
      </c>
      <c r="C1362">
        <v>0.52200000000000002</v>
      </c>
      <c r="D1362" t="s">
        <v>2928</v>
      </c>
      <c r="E1362" t="s">
        <v>10</v>
      </c>
      <c r="F1362" t="s">
        <v>11</v>
      </c>
      <c r="G1362">
        <v>1.9157088122605364</v>
      </c>
      <c r="H1362">
        <v>0.65008769109949827</v>
      </c>
      <c r="I1362" t="s">
        <v>3536</v>
      </c>
    </row>
    <row r="1363" spans="1:9" x14ac:dyDescent="0.25">
      <c r="A1363" t="s">
        <v>2929</v>
      </c>
      <c r="B1363">
        <v>1</v>
      </c>
      <c r="C1363">
        <v>0.27500000000000002</v>
      </c>
      <c r="D1363" t="s">
        <v>2931</v>
      </c>
      <c r="E1363" t="s">
        <v>10</v>
      </c>
      <c r="F1363" t="s">
        <v>11</v>
      </c>
      <c r="G1363">
        <v>3.6363636363636362</v>
      </c>
      <c r="H1363">
        <v>1.2909841813155658</v>
      </c>
      <c r="I1363" t="s">
        <v>3536</v>
      </c>
    </row>
    <row r="1364" spans="1:9" x14ac:dyDescent="0.25">
      <c r="A1364" t="s">
        <v>2932</v>
      </c>
      <c r="B1364">
        <v>1</v>
      </c>
      <c r="C1364">
        <v>0.19400000000000001</v>
      </c>
      <c r="D1364" t="s">
        <v>2933</v>
      </c>
      <c r="E1364" t="s">
        <v>273</v>
      </c>
      <c r="F1364" t="s">
        <v>21</v>
      </c>
      <c r="G1364">
        <v>5.1546391752577314</v>
      </c>
      <c r="H1364">
        <v>1.6398971199188088</v>
      </c>
      <c r="I1364" t="s">
        <v>3536</v>
      </c>
    </row>
    <row r="1365" spans="1:9" x14ac:dyDescent="0.25">
      <c r="A1365" t="s">
        <v>2934</v>
      </c>
      <c r="B1365">
        <v>1</v>
      </c>
      <c r="C1365">
        <v>0.23400000000000001</v>
      </c>
      <c r="D1365" t="s">
        <v>2032</v>
      </c>
      <c r="E1365" t="s">
        <v>10</v>
      </c>
      <c r="F1365" t="s">
        <v>11</v>
      </c>
      <c r="G1365">
        <v>4.2735042735042734</v>
      </c>
      <c r="H1365">
        <v>1.4524341636244356</v>
      </c>
      <c r="I1365" t="s">
        <v>3536</v>
      </c>
    </row>
    <row r="1366" spans="1:9" x14ac:dyDescent="0.25">
      <c r="A1366" t="s">
        <v>2936</v>
      </c>
      <c r="B1366">
        <v>1</v>
      </c>
      <c r="C1366">
        <v>0.1</v>
      </c>
      <c r="D1366" t="s">
        <v>2937</v>
      </c>
      <c r="E1366" t="s">
        <v>10</v>
      </c>
      <c r="F1366" t="s">
        <v>11</v>
      </c>
      <c r="G1366">
        <v>10</v>
      </c>
      <c r="H1366">
        <v>2.3025850929940459</v>
      </c>
      <c r="I1366" t="s">
        <v>3536</v>
      </c>
    </row>
    <row r="1367" spans="1:9" x14ac:dyDescent="0.25">
      <c r="A1367" t="s">
        <v>2938</v>
      </c>
      <c r="B1367">
        <v>1</v>
      </c>
      <c r="C1367">
        <v>0.16400000000000001</v>
      </c>
      <c r="D1367" t="s">
        <v>1074</v>
      </c>
      <c r="E1367" t="s">
        <v>10</v>
      </c>
      <c r="F1367" t="s">
        <v>11</v>
      </c>
      <c r="G1367">
        <v>6.0975609756097562</v>
      </c>
      <c r="H1367">
        <v>1.8078888511579387</v>
      </c>
      <c r="I1367" t="s">
        <v>3536</v>
      </c>
    </row>
    <row r="1368" spans="1:9" x14ac:dyDescent="0.25">
      <c r="A1368" t="s">
        <v>2939</v>
      </c>
      <c r="B1368">
        <v>1</v>
      </c>
      <c r="C1368">
        <v>0</v>
      </c>
      <c r="D1368" t="s">
        <v>2940</v>
      </c>
      <c r="E1368" t="s">
        <v>2941</v>
      </c>
      <c r="F1368" t="s">
        <v>50</v>
      </c>
      <c r="G1368" t="s">
        <v>3535</v>
      </c>
      <c r="H1368" t="s">
        <v>3535</v>
      </c>
      <c r="I1368" t="s">
        <v>3537</v>
      </c>
    </row>
    <row r="1369" spans="1:9" x14ac:dyDescent="0.25">
      <c r="A1369" t="s">
        <v>2942</v>
      </c>
      <c r="B1369">
        <v>1</v>
      </c>
      <c r="C1369">
        <v>0.05</v>
      </c>
      <c r="E1369" t="s">
        <v>49</v>
      </c>
      <c r="F1369" t="s">
        <v>50</v>
      </c>
      <c r="G1369">
        <v>20</v>
      </c>
      <c r="H1369">
        <v>2.9957322735539909</v>
      </c>
      <c r="I1369" t="s">
        <v>3536</v>
      </c>
    </row>
    <row r="1370" spans="1:9" x14ac:dyDescent="0.25">
      <c r="A1370" t="s">
        <v>2943</v>
      </c>
      <c r="B1370">
        <v>1</v>
      </c>
      <c r="C1370">
        <v>0.1</v>
      </c>
      <c r="E1370" t="s">
        <v>10</v>
      </c>
      <c r="F1370" t="s">
        <v>11</v>
      </c>
      <c r="G1370">
        <v>10</v>
      </c>
      <c r="H1370">
        <v>2.3025850929940459</v>
      </c>
      <c r="I1370" t="s">
        <v>3536</v>
      </c>
    </row>
    <row r="1371" spans="1:9" x14ac:dyDescent="0.25">
      <c r="A1371" t="s">
        <v>2944</v>
      </c>
      <c r="B1371">
        <v>1</v>
      </c>
      <c r="C1371">
        <v>0.25</v>
      </c>
      <c r="D1371" t="s">
        <v>2945</v>
      </c>
      <c r="E1371" t="s">
        <v>365</v>
      </c>
      <c r="F1371" t="s">
        <v>11</v>
      </c>
      <c r="G1371">
        <v>4</v>
      </c>
      <c r="H1371">
        <v>1.3862943611198906</v>
      </c>
      <c r="I1371" t="s">
        <v>3536</v>
      </c>
    </row>
    <row r="1372" spans="1:9" x14ac:dyDescent="0.25">
      <c r="A1372" t="s">
        <v>2946</v>
      </c>
      <c r="B1372">
        <v>1</v>
      </c>
      <c r="C1372">
        <v>0.47599999999999998</v>
      </c>
      <c r="D1372" t="s">
        <v>2947</v>
      </c>
      <c r="E1372" t="s">
        <v>273</v>
      </c>
      <c r="F1372" t="s">
        <v>21</v>
      </c>
      <c r="G1372">
        <v>2.1008403361344539</v>
      </c>
      <c r="H1372">
        <v>0.74233742475071707</v>
      </c>
      <c r="I1372" t="s">
        <v>3536</v>
      </c>
    </row>
    <row r="1373" spans="1:9" x14ac:dyDescent="0.25">
      <c r="A1373" t="s">
        <v>2948</v>
      </c>
      <c r="B1373">
        <v>1</v>
      </c>
      <c r="C1373">
        <v>0.59899999999999998</v>
      </c>
      <c r="D1373" t="s">
        <v>2259</v>
      </c>
      <c r="E1373" t="s">
        <v>10</v>
      </c>
      <c r="F1373" t="s">
        <v>11</v>
      </c>
      <c r="G1373">
        <v>1.669449081803005</v>
      </c>
      <c r="H1373">
        <v>0.51249368086668767</v>
      </c>
      <c r="I1373" t="s">
        <v>3536</v>
      </c>
    </row>
    <row r="1374" spans="1:9" x14ac:dyDescent="0.25">
      <c r="A1374" t="s">
        <v>2949</v>
      </c>
      <c r="B1374">
        <v>1</v>
      </c>
      <c r="C1374">
        <v>6</v>
      </c>
      <c r="D1374" t="s">
        <v>2950</v>
      </c>
      <c r="E1374" t="s">
        <v>10</v>
      </c>
      <c r="F1374" t="s">
        <v>11</v>
      </c>
      <c r="G1374">
        <v>0.16666666666666666</v>
      </c>
      <c r="H1374">
        <v>-1.791759469228055</v>
      </c>
      <c r="I1374" t="s">
        <v>3536</v>
      </c>
    </row>
    <row r="1375" spans="1:9" x14ac:dyDescent="0.25">
      <c r="A1375" t="s">
        <v>2951</v>
      </c>
      <c r="B1375">
        <v>1</v>
      </c>
      <c r="C1375">
        <v>0.45500000000000002</v>
      </c>
      <c r="D1375" t="s">
        <v>2953</v>
      </c>
      <c r="E1375" t="s">
        <v>10</v>
      </c>
      <c r="F1375" t="s">
        <v>11</v>
      </c>
      <c r="G1375">
        <v>2.1978021978021975</v>
      </c>
      <c r="H1375">
        <v>0.78745786003118656</v>
      </c>
      <c r="I1375" t="s">
        <v>3536</v>
      </c>
    </row>
    <row r="1376" spans="1:9" x14ac:dyDescent="0.25">
      <c r="A1376" t="s">
        <v>2954</v>
      </c>
      <c r="B1376">
        <v>1</v>
      </c>
      <c r="C1376">
        <v>0.2</v>
      </c>
      <c r="D1376" t="s">
        <v>79</v>
      </c>
      <c r="E1376" t="s">
        <v>350</v>
      </c>
      <c r="F1376" t="s">
        <v>21</v>
      </c>
      <c r="G1376">
        <v>5</v>
      </c>
      <c r="H1376">
        <v>1.6094379124341003</v>
      </c>
      <c r="I1376" t="s">
        <v>3536</v>
      </c>
    </row>
    <row r="1377" spans="1:9" x14ac:dyDescent="0.25">
      <c r="A1377" t="s">
        <v>2955</v>
      </c>
      <c r="B1377">
        <v>1</v>
      </c>
      <c r="C1377">
        <v>0.1</v>
      </c>
      <c r="D1377" t="s">
        <v>2956</v>
      </c>
      <c r="E1377" t="s">
        <v>10</v>
      </c>
      <c r="F1377" t="s">
        <v>11</v>
      </c>
      <c r="G1377">
        <v>10</v>
      </c>
      <c r="H1377">
        <v>2.3025850929940459</v>
      </c>
      <c r="I1377" t="s">
        <v>3536</v>
      </c>
    </row>
    <row r="1378" spans="1:9" x14ac:dyDescent="0.25">
      <c r="A1378" t="s">
        <v>2957</v>
      </c>
      <c r="B1378">
        <v>1</v>
      </c>
      <c r="C1378">
        <v>0.56499999999999995</v>
      </c>
      <c r="D1378" t="s">
        <v>287</v>
      </c>
      <c r="E1378" t="s">
        <v>10</v>
      </c>
      <c r="F1378" t="s">
        <v>11</v>
      </c>
      <c r="G1378">
        <v>1.7699115044247788</v>
      </c>
      <c r="H1378">
        <v>0.57092954783569616</v>
      </c>
      <c r="I1378" t="s">
        <v>3536</v>
      </c>
    </row>
    <row r="1379" spans="1:9" x14ac:dyDescent="0.25">
      <c r="A1379" t="s">
        <v>2958</v>
      </c>
      <c r="B1379">
        <v>1</v>
      </c>
      <c r="C1379">
        <v>0.215</v>
      </c>
      <c r="D1379" t="s">
        <v>2959</v>
      </c>
      <c r="E1379" t="s">
        <v>20</v>
      </c>
      <c r="F1379" t="s">
        <v>21</v>
      </c>
      <c r="G1379">
        <v>4.6511627906976747</v>
      </c>
      <c r="H1379">
        <v>1.5371172508544744</v>
      </c>
      <c r="I1379" t="s">
        <v>3536</v>
      </c>
    </row>
    <row r="1380" spans="1:9" x14ac:dyDescent="0.25">
      <c r="A1380" t="s">
        <v>2960</v>
      </c>
      <c r="B1380">
        <v>1</v>
      </c>
      <c r="C1380">
        <v>0.29699999999999999</v>
      </c>
      <c r="D1380" t="s">
        <v>2962</v>
      </c>
      <c r="E1380" t="s">
        <v>10</v>
      </c>
      <c r="F1380" t="s">
        <v>11</v>
      </c>
      <c r="G1380">
        <v>3.3670033670033672</v>
      </c>
      <c r="H1380">
        <v>1.2140231401794375</v>
      </c>
      <c r="I1380" t="s">
        <v>3536</v>
      </c>
    </row>
    <row r="1381" spans="1:9" x14ac:dyDescent="0.25">
      <c r="A1381" t="s">
        <v>2963</v>
      </c>
      <c r="B1381">
        <v>1</v>
      </c>
      <c r="C1381">
        <v>0.30599999999999999</v>
      </c>
      <c r="D1381" t="s">
        <v>2964</v>
      </c>
      <c r="E1381" t="s">
        <v>10</v>
      </c>
      <c r="F1381" t="s">
        <v>11</v>
      </c>
      <c r="G1381">
        <v>3.2679738562091503</v>
      </c>
      <c r="H1381">
        <v>1.1841701770297564</v>
      </c>
      <c r="I1381" t="s">
        <v>3536</v>
      </c>
    </row>
    <row r="1382" spans="1:9" x14ac:dyDescent="0.25">
      <c r="A1382" t="s">
        <v>2965</v>
      </c>
      <c r="B1382">
        <v>1</v>
      </c>
      <c r="C1382">
        <v>0.3</v>
      </c>
      <c r="D1382" t="s">
        <v>2947</v>
      </c>
      <c r="E1382" t="s">
        <v>20</v>
      </c>
      <c r="F1382" t="s">
        <v>21</v>
      </c>
      <c r="G1382">
        <v>3.3333333333333335</v>
      </c>
      <c r="H1382">
        <v>1.2039728043259361</v>
      </c>
      <c r="I1382" t="s">
        <v>3536</v>
      </c>
    </row>
    <row r="1383" spans="1:9" x14ac:dyDescent="0.25">
      <c r="A1383" t="s">
        <v>2966</v>
      </c>
      <c r="B1383">
        <v>1</v>
      </c>
      <c r="C1383">
        <v>3.9E-2</v>
      </c>
      <c r="E1383" t="s">
        <v>294</v>
      </c>
      <c r="F1383" t="s">
        <v>21</v>
      </c>
      <c r="G1383">
        <v>25.641025641025642</v>
      </c>
      <c r="H1383">
        <v>3.2441936328524905</v>
      </c>
      <c r="I1383" t="s">
        <v>3536</v>
      </c>
    </row>
    <row r="1384" spans="1:9" x14ac:dyDescent="0.25">
      <c r="A1384" t="s">
        <v>2968</v>
      </c>
      <c r="B1384">
        <v>1</v>
      </c>
      <c r="C1384">
        <v>0.22700000000000001</v>
      </c>
      <c r="D1384" t="s">
        <v>2970</v>
      </c>
      <c r="E1384" t="s">
        <v>210</v>
      </c>
      <c r="F1384" t="s">
        <v>50</v>
      </c>
      <c r="G1384">
        <v>4.4052863436123344</v>
      </c>
      <c r="H1384">
        <v>1.4828052615007343</v>
      </c>
      <c r="I1384" t="s">
        <v>3536</v>
      </c>
    </row>
    <row r="1385" spans="1:9" x14ac:dyDescent="0.25">
      <c r="A1385" t="s">
        <v>2971</v>
      </c>
      <c r="B1385">
        <v>1</v>
      </c>
      <c r="C1385">
        <v>2.4E-2</v>
      </c>
      <c r="D1385" t="s">
        <v>1074</v>
      </c>
      <c r="E1385" t="s">
        <v>360</v>
      </c>
      <c r="F1385" t="s">
        <v>50</v>
      </c>
      <c r="G1385">
        <v>41.666666666666664</v>
      </c>
      <c r="H1385">
        <v>3.7297014486341915</v>
      </c>
      <c r="I1385" t="s">
        <v>3536</v>
      </c>
    </row>
    <row r="1386" spans="1:9" x14ac:dyDescent="0.25">
      <c r="A1386" t="s">
        <v>2973</v>
      </c>
      <c r="B1386">
        <v>1</v>
      </c>
      <c r="C1386">
        <v>0.316</v>
      </c>
      <c r="D1386" t="s">
        <v>2974</v>
      </c>
      <c r="E1386" t="s">
        <v>525</v>
      </c>
      <c r="F1386" t="s">
        <v>526</v>
      </c>
      <c r="G1386">
        <v>3.1645569620253164</v>
      </c>
      <c r="H1386">
        <v>1.152013065395225</v>
      </c>
      <c r="I1386" t="s">
        <v>3536</v>
      </c>
    </row>
    <row r="1387" spans="1:9" x14ac:dyDescent="0.25">
      <c r="A1387" t="s">
        <v>2975</v>
      </c>
      <c r="B1387">
        <v>1</v>
      </c>
      <c r="C1387">
        <v>0.22</v>
      </c>
      <c r="D1387" t="s">
        <v>2976</v>
      </c>
      <c r="E1387" t="s">
        <v>384</v>
      </c>
      <c r="F1387" t="s">
        <v>21</v>
      </c>
      <c r="G1387">
        <v>4.5454545454545459</v>
      </c>
      <c r="H1387">
        <v>1.5141277326297755</v>
      </c>
      <c r="I1387" t="s">
        <v>3536</v>
      </c>
    </row>
    <row r="1388" spans="1:9" x14ac:dyDescent="0.25">
      <c r="A1388" t="s">
        <v>2977</v>
      </c>
      <c r="B1388">
        <v>1</v>
      </c>
      <c r="C1388">
        <v>0.373</v>
      </c>
      <c r="D1388" t="s">
        <v>2978</v>
      </c>
      <c r="E1388" t="s">
        <v>10</v>
      </c>
      <c r="F1388" t="s">
        <v>11</v>
      </c>
      <c r="G1388">
        <v>2.6809651474530831</v>
      </c>
      <c r="H1388">
        <v>0.98617685933832155</v>
      </c>
      <c r="I1388" t="s">
        <v>3536</v>
      </c>
    </row>
    <row r="1389" spans="1:9" x14ac:dyDescent="0.25">
      <c r="A1389" t="s">
        <v>2979</v>
      </c>
      <c r="B1389">
        <v>1</v>
      </c>
      <c r="C1389">
        <v>0.13</v>
      </c>
      <c r="D1389" t="s">
        <v>2980</v>
      </c>
      <c r="E1389" t="s">
        <v>787</v>
      </c>
      <c r="F1389" t="s">
        <v>50</v>
      </c>
      <c r="G1389">
        <v>7.6923076923076916</v>
      </c>
      <c r="H1389">
        <v>2.0402208285265546</v>
      </c>
      <c r="I1389" t="s">
        <v>3536</v>
      </c>
    </row>
    <row r="1390" spans="1:9" x14ac:dyDescent="0.25">
      <c r="A1390" t="s">
        <v>2981</v>
      </c>
      <c r="B1390">
        <v>1</v>
      </c>
      <c r="C1390">
        <v>0.5</v>
      </c>
      <c r="D1390" t="s">
        <v>2982</v>
      </c>
      <c r="E1390" t="s">
        <v>10</v>
      </c>
      <c r="F1390" t="s">
        <v>11</v>
      </c>
      <c r="G1390">
        <v>2</v>
      </c>
      <c r="H1390">
        <v>0.69314718055994529</v>
      </c>
      <c r="I1390" t="s">
        <v>3536</v>
      </c>
    </row>
    <row r="1391" spans="1:9" x14ac:dyDescent="0.25">
      <c r="A1391" t="s">
        <v>2983</v>
      </c>
      <c r="B1391">
        <v>1</v>
      </c>
      <c r="C1391">
        <v>0.11899999999999999</v>
      </c>
      <c r="D1391" t="s">
        <v>2984</v>
      </c>
      <c r="E1391" t="s">
        <v>10</v>
      </c>
      <c r="F1391" t="s">
        <v>11</v>
      </c>
      <c r="G1391">
        <v>8.4033613445378155</v>
      </c>
      <c r="H1391">
        <v>2.1286317858706076</v>
      </c>
      <c r="I1391" t="s">
        <v>3536</v>
      </c>
    </row>
    <row r="1392" spans="1:9" x14ac:dyDescent="0.25">
      <c r="A1392" t="s">
        <v>2985</v>
      </c>
      <c r="B1392">
        <v>1</v>
      </c>
      <c r="C1392">
        <v>0.6</v>
      </c>
      <c r="E1392" t="s">
        <v>10</v>
      </c>
      <c r="F1392" t="s">
        <v>11</v>
      </c>
      <c r="G1392">
        <v>1.6666666666666667</v>
      </c>
      <c r="H1392">
        <v>0.51082562376599072</v>
      </c>
      <c r="I1392" t="s">
        <v>3536</v>
      </c>
    </row>
    <row r="1393" spans="1:9" x14ac:dyDescent="0.25">
      <c r="A1393" t="s">
        <v>2986</v>
      </c>
      <c r="B1393">
        <v>1</v>
      </c>
      <c r="C1393">
        <v>0.25800000000000001</v>
      </c>
      <c r="D1393" t="s">
        <v>2021</v>
      </c>
      <c r="E1393" t="s">
        <v>10</v>
      </c>
      <c r="F1393" t="s">
        <v>11</v>
      </c>
      <c r="G1393">
        <v>3.8759689922480618</v>
      </c>
      <c r="H1393">
        <v>1.3547956940605195</v>
      </c>
      <c r="I1393" t="s">
        <v>3536</v>
      </c>
    </row>
    <row r="1394" spans="1:9" x14ac:dyDescent="0.25">
      <c r="A1394" t="s">
        <v>2987</v>
      </c>
      <c r="B1394">
        <v>1</v>
      </c>
      <c r="C1394">
        <v>0.73299999999999998</v>
      </c>
      <c r="D1394" t="s">
        <v>2988</v>
      </c>
      <c r="E1394" t="s">
        <v>187</v>
      </c>
      <c r="F1394" t="s">
        <v>50</v>
      </c>
      <c r="G1394">
        <v>1.3642564802182811</v>
      </c>
      <c r="H1394">
        <v>0.31060957709548559</v>
      </c>
      <c r="I1394" t="s">
        <v>3536</v>
      </c>
    </row>
    <row r="1395" spans="1:9" x14ac:dyDescent="0.25">
      <c r="A1395" t="s">
        <v>2989</v>
      </c>
      <c r="B1395">
        <v>1</v>
      </c>
      <c r="C1395">
        <v>0.216</v>
      </c>
      <c r="D1395" t="s">
        <v>2990</v>
      </c>
      <c r="E1395" t="s">
        <v>10</v>
      </c>
      <c r="F1395" t="s">
        <v>11</v>
      </c>
      <c r="G1395">
        <v>4.6296296296296298</v>
      </c>
      <c r="H1395">
        <v>1.5324768712979722</v>
      </c>
      <c r="I1395" t="s">
        <v>3536</v>
      </c>
    </row>
    <row r="1396" spans="1:9" x14ac:dyDescent="0.25">
      <c r="A1396" t="s">
        <v>2991</v>
      </c>
      <c r="B1396">
        <v>1</v>
      </c>
      <c r="C1396">
        <v>0.26600000000000001</v>
      </c>
      <c r="D1396" t="s">
        <v>2992</v>
      </c>
      <c r="E1396" t="s">
        <v>10</v>
      </c>
      <c r="F1396" t="s">
        <v>11</v>
      </c>
      <c r="G1396">
        <v>3.7593984962406015</v>
      </c>
      <c r="H1396">
        <v>1.3242589702004379</v>
      </c>
      <c r="I1396" t="s">
        <v>3536</v>
      </c>
    </row>
    <row r="1397" spans="1:9" x14ac:dyDescent="0.25">
      <c r="A1397" t="s">
        <v>2993</v>
      </c>
      <c r="B1397">
        <v>1</v>
      </c>
      <c r="C1397">
        <v>2.9000000000000001E-2</v>
      </c>
      <c r="D1397" t="s">
        <v>2994</v>
      </c>
      <c r="E1397" t="s">
        <v>10</v>
      </c>
      <c r="F1397" t="s">
        <v>11</v>
      </c>
      <c r="G1397">
        <v>34.482758620689651</v>
      </c>
      <c r="H1397">
        <v>3.5404594489956631</v>
      </c>
      <c r="I1397" t="s">
        <v>3536</v>
      </c>
    </row>
    <row r="1398" spans="1:9" x14ac:dyDescent="0.25">
      <c r="A1398" t="s">
        <v>2995</v>
      </c>
      <c r="B1398">
        <v>1</v>
      </c>
      <c r="C1398">
        <v>0.376</v>
      </c>
      <c r="D1398" t="s">
        <v>2996</v>
      </c>
      <c r="E1398" t="s">
        <v>20</v>
      </c>
      <c r="F1398" t="s">
        <v>21</v>
      </c>
      <c r="G1398">
        <v>2.6595744680851063</v>
      </c>
      <c r="H1398">
        <v>0.97816613559224252</v>
      </c>
      <c r="I1398" t="s">
        <v>3536</v>
      </c>
    </row>
    <row r="1399" spans="1:9" x14ac:dyDescent="0.25">
      <c r="A1399" t="s">
        <v>2997</v>
      </c>
      <c r="B1399">
        <v>1</v>
      </c>
      <c r="C1399">
        <v>0.121</v>
      </c>
      <c r="D1399" t="s">
        <v>752</v>
      </c>
      <c r="E1399" t="s">
        <v>20</v>
      </c>
      <c r="F1399" t="s">
        <v>21</v>
      </c>
      <c r="G1399">
        <v>8.2644628099173563</v>
      </c>
      <c r="H1399">
        <v>2.1119647333853959</v>
      </c>
      <c r="I1399" t="s">
        <v>3536</v>
      </c>
    </row>
    <row r="1400" spans="1:9" x14ac:dyDescent="0.25">
      <c r="A1400" t="s">
        <v>2998</v>
      </c>
      <c r="B1400">
        <v>1</v>
      </c>
      <c r="C1400">
        <v>0.38300000000000001</v>
      </c>
      <c r="D1400" t="s">
        <v>3000</v>
      </c>
      <c r="E1400" t="s">
        <v>10</v>
      </c>
      <c r="F1400" t="s">
        <v>11</v>
      </c>
      <c r="G1400">
        <v>2.6109660574412534</v>
      </c>
      <c r="H1400">
        <v>0.95972028980149116</v>
      </c>
      <c r="I1400" t="s">
        <v>3536</v>
      </c>
    </row>
    <row r="1401" spans="1:9" x14ac:dyDescent="0.25">
      <c r="A1401" t="s">
        <v>3001</v>
      </c>
      <c r="B1401">
        <v>1</v>
      </c>
      <c r="C1401">
        <v>0.24199999999999999</v>
      </c>
      <c r="D1401" t="s">
        <v>2901</v>
      </c>
      <c r="E1401" t="s">
        <v>10</v>
      </c>
      <c r="F1401" t="s">
        <v>11</v>
      </c>
      <c r="G1401">
        <v>4.1322314049586781</v>
      </c>
      <c r="H1401">
        <v>1.4188175528254507</v>
      </c>
      <c r="I1401" t="s">
        <v>3536</v>
      </c>
    </row>
    <row r="1402" spans="1:9" x14ac:dyDescent="0.25">
      <c r="A1402" t="s">
        <v>3002</v>
      </c>
      <c r="B1402">
        <v>1</v>
      </c>
      <c r="C1402">
        <v>0.26300000000000001</v>
      </c>
      <c r="D1402" t="s">
        <v>1555</v>
      </c>
      <c r="E1402" t="s">
        <v>10</v>
      </c>
      <c r="F1402" t="s">
        <v>11</v>
      </c>
      <c r="G1402">
        <v>3.8022813688212924</v>
      </c>
      <c r="H1402">
        <v>1.3356012468043723</v>
      </c>
      <c r="I1402" t="s">
        <v>3536</v>
      </c>
    </row>
    <row r="1403" spans="1:9" x14ac:dyDescent="0.25">
      <c r="A1403" t="s">
        <v>3003</v>
      </c>
      <c r="B1403">
        <v>1</v>
      </c>
      <c r="C1403">
        <v>0.38700000000000001</v>
      </c>
      <c r="D1403" t="s">
        <v>3005</v>
      </c>
      <c r="E1403" t="s">
        <v>10</v>
      </c>
      <c r="F1403" t="s">
        <v>11</v>
      </c>
      <c r="G1403">
        <v>2.5839793281653747</v>
      </c>
      <c r="H1403">
        <v>0.9493305859523552</v>
      </c>
      <c r="I1403" t="s">
        <v>3536</v>
      </c>
    </row>
    <row r="1404" spans="1:9" x14ac:dyDescent="0.25">
      <c r="A1404" t="s">
        <v>3006</v>
      </c>
      <c r="B1404">
        <v>1</v>
      </c>
      <c r="C1404">
        <v>0.09</v>
      </c>
      <c r="D1404" t="s">
        <v>559</v>
      </c>
      <c r="E1404" t="s">
        <v>20</v>
      </c>
      <c r="F1404" t="s">
        <v>21</v>
      </c>
      <c r="G1404">
        <v>11.111111111111111</v>
      </c>
      <c r="H1404">
        <v>2.4079456086518718</v>
      </c>
      <c r="I1404" t="s">
        <v>3536</v>
      </c>
    </row>
    <row r="1405" spans="1:9" x14ac:dyDescent="0.25">
      <c r="A1405" t="s">
        <v>3008</v>
      </c>
      <c r="B1405">
        <v>1</v>
      </c>
      <c r="C1405">
        <v>0.1</v>
      </c>
      <c r="D1405" t="s">
        <v>3009</v>
      </c>
      <c r="E1405" t="s">
        <v>10</v>
      </c>
      <c r="F1405" t="s">
        <v>11</v>
      </c>
      <c r="G1405">
        <v>10</v>
      </c>
      <c r="H1405">
        <v>2.3025850929940459</v>
      </c>
      <c r="I1405" t="s">
        <v>3536</v>
      </c>
    </row>
    <row r="1406" spans="1:9" x14ac:dyDescent="0.25">
      <c r="A1406" t="s">
        <v>3010</v>
      </c>
      <c r="B1406">
        <v>1</v>
      </c>
      <c r="C1406">
        <v>0.06</v>
      </c>
      <c r="D1406" t="s">
        <v>1958</v>
      </c>
      <c r="E1406" t="s">
        <v>10</v>
      </c>
      <c r="F1406" t="s">
        <v>11</v>
      </c>
      <c r="G1406">
        <v>16.666666666666668</v>
      </c>
      <c r="H1406">
        <v>2.8134107167600364</v>
      </c>
      <c r="I1406" t="s">
        <v>3536</v>
      </c>
    </row>
    <row r="1407" spans="1:9" x14ac:dyDescent="0.25">
      <c r="A1407" t="s">
        <v>3011</v>
      </c>
      <c r="B1407">
        <v>1</v>
      </c>
      <c r="C1407">
        <v>9.8000000000000004E-2</v>
      </c>
      <c r="D1407" t="s">
        <v>2605</v>
      </c>
      <c r="E1407" t="s">
        <v>10</v>
      </c>
      <c r="F1407" t="s">
        <v>11</v>
      </c>
      <c r="G1407">
        <v>10.204081632653061</v>
      </c>
      <c r="H1407">
        <v>2.322787800311565</v>
      </c>
      <c r="I1407" t="s">
        <v>3536</v>
      </c>
    </row>
    <row r="1408" spans="1:9" x14ac:dyDescent="0.25">
      <c r="A1408" t="s">
        <v>3012</v>
      </c>
      <c r="B1408">
        <v>1</v>
      </c>
      <c r="C1408">
        <v>1</v>
      </c>
      <c r="D1408" t="s">
        <v>3013</v>
      </c>
      <c r="E1408" t="s">
        <v>10</v>
      </c>
      <c r="F1408" t="s">
        <v>11</v>
      </c>
      <c r="G1408">
        <v>1</v>
      </c>
      <c r="H1408">
        <v>0</v>
      </c>
      <c r="I1408" t="s">
        <v>3536</v>
      </c>
    </row>
    <row r="1409" spans="1:9" x14ac:dyDescent="0.25">
      <c r="A1409" t="s">
        <v>3014</v>
      </c>
      <c r="B1409">
        <v>1</v>
      </c>
      <c r="C1409">
        <v>0.373</v>
      </c>
      <c r="D1409" t="s">
        <v>3015</v>
      </c>
      <c r="E1409" t="s">
        <v>20</v>
      </c>
      <c r="F1409" t="s">
        <v>21</v>
      </c>
      <c r="G1409">
        <v>2.6809651474530831</v>
      </c>
      <c r="H1409">
        <v>0.98617685933832155</v>
      </c>
      <c r="I1409" t="s">
        <v>3536</v>
      </c>
    </row>
    <row r="1410" spans="1:9" x14ac:dyDescent="0.25">
      <c r="A1410" t="s">
        <v>3016</v>
      </c>
      <c r="B1410">
        <v>1</v>
      </c>
      <c r="C1410">
        <v>1</v>
      </c>
      <c r="D1410" t="s">
        <v>3017</v>
      </c>
      <c r="E1410" t="s">
        <v>10</v>
      </c>
      <c r="F1410" t="s">
        <v>11</v>
      </c>
      <c r="G1410">
        <v>1</v>
      </c>
      <c r="H1410">
        <v>0</v>
      </c>
      <c r="I1410" t="s">
        <v>3536</v>
      </c>
    </row>
    <row r="1411" spans="1:9" x14ac:dyDescent="0.25">
      <c r="A1411" t="s">
        <v>3018</v>
      </c>
      <c r="B1411">
        <v>1</v>
      </c>
      <c r="C1411">
        <v>4.2999999999999997E-2</v>
      </c>
      <c r="D1411" t="s">
        <v>3020</v>
      </c>
      <c r="E1411" t="s">
        <v>10</v>
      </c>
      <c r="F1411" t="s">
        <v>11</v>
      </c>
      <c r="G1411">
        <v>23.255813953488374</v>
      </c>
      <c r="H1411">
        <v>3.1465551632885749</v>
      </c>
      <c r="I1411" t="s">
        <v>3536</v>
      </c>
    </row>
    <row r="1412" spans="1:9" x14ac:dyDescent="0.25">
      <c r="A1412" t="s">
        <v>3021</v>
      </c>
      <c r="B1412">
        <v>1</v>
      </c>
      <c r="C1412">
        <v>1</v>
      </c>
      <c r="D1412" t="s">
        <v>3022</v>
      </c>
      <c r="E1412" t="s">
        <v>10</v>
      </c>
      <c r="F1412" t="s">
        <v>11</v>
      </c>
      <c r="G1412">
        <v>1</v>
      </c>
      <c r="H1412">
        <v>0</v>
      </c>
      <c r="I1412" t="s">
        <v>3536</v>
      </c>
    </row>
    <row r="1413" spans="1:9" x14ac:dyDescent="0.25">
      <c r="A1413" t="s">
        <v>3023</v>
      </c>
      <c r="B1413">
        <v>1</v>
      </c>
      <c r="C1413">
        <v>0.216</v>
      </c>
      <c r="D1413" t="s">
        <v>3024</v>
      </c>
      <c r="E1413" t="s">
        <v>10</v>
      </c>
      <c r="F1413" t="s">
        <v>11</v>
      </c>
      <c r="G1413">
        <v>4.6296296296296298</v>
      </c>
      <c r="H1413">
        <v>1.5324768712979722</v>
      </c>
      <c r="I1413" t="s">
        <v>3536</v>
      </c>
    </row>
    <row r="1414" spans="1:9" x14ac:dyDescent="0.25">
      <c r="A1414" t="s">
        <v>3025</v>
      </c>
      <c r="B1414">
        <v>1</v>
      </c>
      <c r="C1414">
        <v>0.375</v>
      </c>
      <c r="D1414" t="s">
        <v>3026</v>
      </c>
      <c r="E1414" t="s">
        <v>1488</v>
      </c>
      <c r="F1414" t="s">
        <v>21</v>
      </c>
      <c r="G1414">
        <v>2.6666666666666665</v>
      </c>
      <c r="H1414">
        <v>0.98082925301172619</v>
      </c>
      <c r="I1414" t="s">
        <v>3536</v>
      </c>
    </row>
    <row r="1415" spans="1:9" x14ac:dyDescent="0.25">
      <c r="A1415" t="s">
        <v>3027</v>
      </c>
      <c r="B1415">
        <v>1</v>
      </c>
      <c r="C1415">
        <v>0.53200000000000003</v>
      </c>
      <c r="D1415" t="s">
        <v>341</v>
      </c>
      <c r="E1415" t="s">
        <v>222</v>
      </c>
      <c r="F1415" t="s">
        <v>50</v>
      </c>
      <c r="G1415">
        <v>1.8796992481203008</v>
      </c>
      <c r="H1415">
        <v>0.63111178964049264</v>
      </c>
      <c r="I1415" t="s">
        <v>3536</v>
      </c>
    </row>
    <row r="1416" spans="1:9" x14ac:dyDescent="0.25">
      <c r="A1416" t="s">
        <v>3028</v>
      </c>
      <c r="B1416">
        <v>1</v>
      </c>
      <c r="C1416">
        <v>0.18099999999999999</v>
      </c>
      <c r="D1416" t="s">
        <v>3029</v>
      </c>
      <c r="E1416" t="s">
        <v>49</v>
      </c>
      <c r="F1416" t="s">
        <v>50</v>
      </c>
      <c r="G1416">
        <v>5.5248618784530388</v>
      </c>
      <c r="H1416">
        <v>1.7092582477163114</v>
      </c>
      <c r="I1416" t="s">
        <v>3536</v>
      </c>
    </row>
    <row r="1417" spans="1:9" x14ac:dyDescent="0.25">
      <c r="A1417" t="s">
        <v>3030</v>
      </c>
      <c r="B1417">
        <v>1</v>
      </c>
      <c r="C1417">
        <v>0.23100000000000001</v>
      </c>
      <c r="D1417" t="s">
        <v>2104</v>
      </c>
      <c r="E1417" t="s">
        <v>365</v>
      </c>
      <c r="F1417" t="s">
        <v>11</v>
      </c>
      <c r="G1417">
        <v>4.329004329004329</v>
      </c>
      <c r="H1417">
        <v>1.4653375684603436</v>
      </c>
      <c r="I1417" t="s">
        <v>3536</v>
      </c>
    </row>
    <row r="1418" spans="1:9" x14ac:dyDescent="0.25">
      <c r="A1418" t="s">
        <v>3032</v>
      </c>
      <c r="B1418">
        <v>1</v>
      </c>
      <c r="C1418">
        <v>0.503</v>
      </c>
      <c r="D1418" t="s">
        <v>254</v>
      </c>
      <c r="E1418" t="s">
        <v>10</v>
      </c>
      <c r="F1418" t="s">
        <v>11</v>
      </c>
      <c r="G1418">
        <v>1.9880715705765408</v>
      </c>
      <c r="H1418">
        <v>0.6871651088823979</v>
      </c>
      <c r="I1418" t="s">
        <v>3536</v>
      </c>
    </row>
    <row r="1419" spans="1:9" x14ac:dyDescent="0.25">
      <c r="A1419" t="s">
        <v>3033</v>
      </c>
      <c r="B1419">
        <v>1</v>
      </c>
      <c r="C1419">
        <v>0.62</v>
      </c>
      <c r="D1419" t="s">
        <v>3034</v>
      </c>
      <c r="E1419" t="s">
        <v>384</v>
      </c>
      <c r="F1419" t="s">
        <v>21</v>
      </c>
      <c r="G1419">
        <v>1.6129032258064517</v>
      </c>
      <c r="H1419">
        <v>0.47803580094299991</v>
      </c>
      <c r="I1419" t="s">
        <v>3536</v>
      </c>
    </row>
    <row r="1420" spans="1:9" x14ac:dyDescent="0.25">
      <c r="A1420" t="s">
        <v>3035</v>
      </c>
      <c r="B1420">
        <v>1</v>
      </c>
      <c r="C1420">
        <v>0.47799999999999998</v>
      </c>
      <c r="D1420" t="s">
        <v>3036</v>
      </c>
      <c r="E1420" t="s">
        <v>3037</v>
      </c>
      <c r="F1420" t="s">
        <v>109</v>
      </c>
      <c r="G1420">
        <v>2.0920502092050208</v>
      </c>
      <c r="H1420">
        <v>0.73814454649068106</v>
      </c>
      <c r="I1420" t="s">
        <v>3536</v>
      </c>
    </row>
    <row r="1421" spans="1:9" x14ac:dyDescent="0.25">
      <c r="A1421" t="s">
        <v>3038</v>
      </c>
      <c r="B1421">
        <v>1</v>
      </c>
      <c r="C1421">
        <v>0.19400000000000001</v>
      </c>
      <c r="D1421" t="s">
        <v>3039</v>
      </c>
      <c r="E1421" t="s">
        <v>10</v>
      </c>
      <c r="F1421" t="s">
        <v>11</v>
      </c>
      <c r="G1421">
        <v>5.1546391752577314</v>
      </c>
      <c r="H1421">
        <v>1.6398971199188088</v>
      </c>
      <c r="I1421" t="s">
        <v>3536</v>
      </c>
    </row>
    <row r="1422" spans="1:9" x14ac:dyDescent="0.25">
      <c r="A1422" t="s">
        <v>3040</v>
      </c>
      <c r="B1422">
        <v>1</v>
      </c>
      <c r="C1422">
        <v>0.27100000000000002</v>
      </c>
      <c r="D1422" t="s">
        <v>832</v>
      </c>
      <c r="E1422" t="s">
        <v>20</v>
      </c>
      <c r="F1422" t="s">
        <v>21</v>
      </c>
      <c r="G1422">
        <v>3.6900369003690034</v>
      </c>
      <c r="H1422">
        <v>1.305636458102436</v>
      </c>
      <c r="I1422" t="s">
        <v>3536</v>
      </c>
    </row>
    <row r="1423" spans="1:9" x14ac:dyDescent="0.25">
      <c r="A1423" t="s">
        <v>3041</v>
      </c>
      <c r="B1423">
        <v>1</v>
      </c>
      <c r="C1423">
        <v>0.15</v>
      </c>
      <c r="D1423" t="s">
        <v>15</v>
      </c>
      <c r="E1423" t="s">
        <v>10</v>
      </c>
      <c r="F1423" t="s">
        <v>11</v>
      </c>
      <c r="G1423">
        <v>6.666666666666667</v>
      </c>
      <c r="H1423">
        <v>1.8971199848858813</v>
      </c>
      <c r="I1423" t="s">
        <v>3536</v>
      </c>
    </row>
    <row r="1424" spans="1:9" x14ac:dyDescent="0.25">
      <c r="A1424" t="s">
        <v>3042</v>
      </c>
      <c r="B1424">
        <v>1</v>
      </c>
      <c r="C1424">
        <v>0.22</v>
      </c>
      <c r="D1424" t="s">
        <v>3043</v>
      </c>
      <c r="E1424" t="s">
        <v>20</v>
      </c>
      <c r="F1424" t="s">
        <v>21</v>
      </c>
      <c r="G1424">
        <v>4.5454545454545459</v>
      </c>
      <c r="H1424">
        <v>1.5141277326297755</v>
      </c>
      <c r="I1424" t="s">
        <v>3536</v>
      </c>
    </row>
    <row r="1425" spans="1:9" x14ac:dyDescent="0.25">
      <c r="A1425" t="s">
        <v>3044</v>
      </c>
      <c r="B1425">
        <v>1</v>
      </c>
      <c r="C1425">
        <v>0.41499999999999998</v>
      </c>
      <c r="D1425" t="s">
        <v>3045</v>
      </c>
      <c r="E1425" t="s">
        <v>10</v>
      </c>
      <c r="F1425" t="s">
        <v>11</v>
      </c>
      <c r="G1425">
        <v>2.4096385542168677</v>
      </c>
      <c r="H1425">
        <v>0.87947675875143883</v>
      </c>
      <c r="I1425" t="s">
        <v>3536</v>
      </c>
    </row>
    <row r="1426" spans="1:9" x14ac:dyDescent="0.25">
      <c r="A1426" t="s">
        <v>3046</v>
      </c>
      <c r="B1426">
        <v>1</v>
      </c>
      <c r="C1426">
        <v>0.52700000000000002</v>
      </c>
      <c r="D1426" t="s">
        <v>3047</v>
      </c>
      <c r="E1426" t="s">
        <v>230</v>
      </c>
      <c r="F1426" t="s">
        <v>50</v>
      </c>
      <c r="G1426">
        <v>1.8975332068311195</v>
      </c>
      <c r="H1426">
        <v>0.64055473044077471</v>
      </c>
      <c r="I1426" t="s">
        <v>3536</v>
      </c>
    </row>
    <row r="1427" spans="1:9" x14ac:dyDescent="0.25">
      <c r="A1427" t="s">
        <v>3048</v>
      </c>
      <c r="B1427">
        <v>1</v>
      </c>
      <c r="C1427">
        <v>0.19700000000000001</v>
      </c>
      <c r="D1427" t="s">
        <v>3049</v>
      </c>
      <c r="E1427" t="s">
        <v>1172</v>
      </c>
      <c r="F1427" t="s">
        <v>21</v>
      </c>
      <c r="G1427">
        <v>5.0761421319796955</v>
      </c>
      <c r="H1427">
        <v>1.6245515502441485</v>
      </c>
      <c r="I1427" t="s">
        <v>3536</v>
      </c>
    </row>
    <row r="1428" spans="1:9" x14ac:dyDescent="0.25">
      <c r="A1428" t="s">
        <v>3050</v>
      </c>
      <c r="B1428">
        <v>1</v>
      </c>
      <c r="C1428">
        <v>0.23499999999999999</v>
      </c>
      <c r="D1428" t="s">
        <v>3051</v>
      </c>
      <c r="E1428" t="s">
        <v>10</v>
      </c>
      <c r="F1428" t="s">
        <v>11</v>
      </c>
      <c r="G1428">
        <v>4.2553191489361701</v>
      </c>
      <c r="H1428">
        <v>1.4481697648379781</v>
      </c>
      <c r="I1428" t="s">
        <v>3536</v>
      </c>
    </row>
    <row r="1429" spans="1:9" x14ac:dyDescent="0.25">
      <c r="A1429" t="s">
        <v>3052</v>
      </c>
      <c r="B1429">
        <v>1</v>
      </c>
      <c r="C1429">
        <v>0.27600000000000002</v>
      </c>
      <c r="D1429" t="s">
        <v>177</v>
      </c>
      <c r="E1429" t="s">
        <v>49</v>
      </c>
      <c r="F1429" t="s">
        <v>50</v>
      </c>
      <c r="G1429">
        <v>3.6231884057971011</v>
      </c>
      <c r="H1429">
        <v>1.287354413264987</v>
      </c>
      <c r="I1429" t="s">
        <v>3536</v>
      </c>
    </row>
    <row r="1430" spans="1:9" x14ac:dyDescent="0.25">
      <c r="A1430" t="s">
        <v>3053</v>
      </c>
      <c r="B1430">
        <v>1</v>
      </c>
      <c r="C1430">
        <v>0.188</v>
      </c>
      <c r="D1430" t="s">
        <v>987</v>
      </c>
      <c r="E1430" t="s">
        <v>652</v>
      </c>
      <c r="F1430" t="s">
        <v>50</v>
      </c>
      <c r="G1430">
        <v>5.3191489361702127</v>
      </c>
      <c r="H1430">
        <v>1.6713133161521878</v>
      </c>
      <c r="I1430" t="s">
        <v>3536</v>
      </c>
    </row>
    <row r="1431" spans="1:9" x14ac:dyDescent="0.25">
      <c r="A1431" t="s">
        <v>3054</v>
      </c>
      <c r="B1431">
        <v>1</v>
      </c>
      <c r="C1431">
        <v>0.26300000000000001</v>
      </c>
      <c r="D1431" t="s">
        <v>3055</v>
      </c>
      <c r="E1431" t="s">
        <v>10</v>
      </c>
      <c r="F1431" t="s">
        <v>11</v>
      </c>
      <c r="G1431">
        <v>3.8022813688212924</v>
      </c>
      <c r="H1431">
        <v>1.3356012468043723</v>
      </c>
      <c r="I1431" t="s">
        <v>3536</v>
      </c>
    </row>
    <row r="1432" spans="1:9" x14ac:dyDescent="0.25">
      <c r="A1432" t="s">
        <v>3056</v>
      </c>
      <c r="B1432">
        <v>1</v>
      </c>
      <c r="C1432">
        <v>0.434</v>
      </c>
      <c r="D1432" t="s">
        <v>3057</v>
      </c>
      <c r="E1432" t="s">
        <v>20</v>
      </c>
      <c r="F1432" t="s">
        <v>21</v>
      </c>
      <c r="G1432">
        <v>2.3041474654377883</v>
      </c>
      <c r="H1432">
        <v>0.83471074488173225</v>
      </c>
      <c r="I1432" t="s">
        <v>3536</v>
      </c>
    </row>
    <row r="1433" spans="1:9" x14ac:dyDescent="0.25">
      <c r="A1433" t="s">
        <v>3058</v>
      </c>
      <c r="B1433">
        <v>1</v>
      </c>
      <c r="C1433">
        <v>0</v>
      </c>
      <c r="D1433" t="s">
        <v>517</v>
      </c>
      <c r="E1433" t="s">
        <v>10</v>
      </c>
      <c r="F1433" t="s">
        <v>11</v>
      </c>
      <c r="G1433" t="s">
        <v>3535</v>
      </c>
      <c r="H1433" t="s">
        <v>3535</v>
      </c>
      <c r="I1433" t="s">
        <v>3537</v>
      </c>
    </row>
    <row r="1434" spans="1:9" x14ac:dyDescent="0.25">
      <c r="A1434" t="s">
        <v>3059</v>
      </c>
      <c r="B1434">
        <v>1</v>
      </c>
      <c r="C1434">
        <v>0.29699999999999999</v>
      </c>
      <c r="D1434" t="s">
        <v>3060</v>
      </c>
      <c r="E1434" t="s">
        <v>10</v>
      </c>
      <c r="F1434" t="s">
        <v>11</v>
      </c>
      <c r="G1434">
        <v>3.3670033670033672</v>
      </c>
      <c r="H1434">
        <v>1.2140231401794375</v>
      </c>
      <c r="I1434" t="s">
        <v>3536</v>
      </c>
    </row>
    <row r="1435" spans="1:9" x14ac:dyDescent="0.25">
      <c r="A1435" t="s">
        <v>3061</v>
      </c>
      <c r="B1435">
        <v>1</v>
      </c>
      <c r="C1435">
        <v>0.1</v>
      </c>
      <c r="D1435" t="s">
        <v>413</v>
      </c>
      <c r="E1435" t="s">
        <v>10</v>
      </c>
      <c r="F1435" t="s">
        <v>11</v>
      </c>
      <c r="G1435">
        <v>10</v>
      </c>
      <c r="H1435">
        <v>2.3025850929940459</v>
      </c>
      <c r="I1435" t="s">
        <v>3536</v>
      </c>
    </row>
    <row r="1436" spans="1:9" x14ac:dyDescent="0.25">
      <c r="A1436" t="s">
        <v>3062</v>
      </c>
      <c r="B1436">
        <v>1</v>
      </c>
      <c r="C1436">
        <v>0.39200000000000002</v>
      </c>
      <c r="D1436" t="s">
        <v>3063</v>
      </c>
      <c r="E1436" t="s">
        <v>10</v>
      </c>
      <c r="F1436" t="s">
        <v>11</v>
      </c>
      <c r="G1436">
        <v>2.5510204081632653</v>
      </c>
      <c r="H1436">
        <v>0.93649343919167449</v>
      </c>
      <c r="I1436" t="s">
        <v>3536</v>
      </c>
    </row>
    <row r="1437" spans="1:9" x14ac:dyDescent="0.25">
      <c r="A1437" t="s">
        <v>3064</v>
      </c>
      <c r="B1437">
        <v>1</v>
      </c>
      <c r="C1437">
        <v>0.438</v>
      </c>
      <c r="D1437" t="s">
        <v>137</v>
      </c>
      <c r="E1437" t="s">
        <v>10</v>
      </c>
      <c r="F1437" t="s">
        <v>11</v>
      </c>
      <c r="G1437">
        <v>2.2831050228310503</v>
      </c>
      <c r="H1437">
        <v>0.82553636860569102</v>
      </c>
      <c r="I1437" t="s">
        <v>3536</v>
      </c>
    </row>
    <row r="1438" spans="1:9" x14ac:dyDescent="0.25">
      <c r="A1438" t="s">
        <v>3066</v>
      </c>
      <c r="B1438">
        <v>1</v>
      </c>
      <c r="C1438">
        <v>7.1999999999999995E-2</v>
      </c>
      <c r="D1438" t="s">
        <v>3067</v>
      </c>
      <c r="E1438" t="s">
        <v>384</v>
      </c>
      <c r="F1438" t="s">
        <v>21</v>
      </c>
      <c r="G1438">
        <v>13.888888888888889</v>
      </c>
      <c r="H1438">
        <v>2.6310891599660819</v>
      </c>
      <c r="I1438" t="s">
        <v>3536</v>
      </c>
    </row>
    <row r="1439" spans="1:9" x14ac:dyDescent="0.25">
      <c r="A1439" t="s">
        <v>3068</v>
      </c>
      <c r="B1439">
        <v>1</v>
      </c>
      <c r="C1439">
        <v>0.14000000000000001</v>
      </c>
      <c r="D1439" t="s">
        <v>3069</v>
      </c>
      <c r="E1439" t="s">
        <v>3070</v>
      </c>
      <c r="F1439" t="s">
        <v>50</v>
      </c>
      <c r="G1439">
        <v>7.1428571428571423</v>
      </c>
      <c r="H1439">
        <v>1.9661128563728327</v>
      </c>
      <c r="I1439" t="s">
        <v>3536</v>
      </c>
    </row>
    <row r="1440" spans="1:9" x14ac:dyDescent="0.25">
      <c r="A1440" t="s">
        <v>3071</v>
      </c>
      <c r="B1440">
        <v>1</v>
      </c>
      <c r="C1440">
        <v>6.5000000000000002E-2</v>
      </c>
      <c r="D1440" t="s">
        <v>3072</v>
      </c>
      <c r="E1440" t="s">
        <v>10</v>
      </c>
      <c r="F1440" t="s">
        <v>11</v>
      </c>
      <c r="G1440">
        <v>15.384615384615383</v>
      </c>
      <c r="H1440">
        <v>2.7333680090865</v>
      </c>
      <c r="I1440" t="s">
        <v>3536</v>
      </c>
    </row>
    <row r="1441" spans="1:9" x14ac:dyDescent="0.25">
      <c r="A1441" t="s">
        <v>3073</v>
      </c>
      <c r="B1441">
        <v>1</v>
      </c>
      <c r="C1441">
        <v>5.8000000000000003E-2</v>
      </c>
      <c r="D1441" t="s">
        <v>3074</v>
      </c>
      <c r="E1441" t="s">
        <v>10</v>
      </c>
      <c r="F1441" t="s">
        <v>11</v>
      </c>
      <c r="G1441">
        <v>17.241379310344826</v>
      </c>
      <c r="H1441">
        <v>2.8473122684357177</v>
      </c>
      <c r="I1441" t="s">
        <v>3536</v>
      </c>
    </row>
    <row r="1442" spans="1:9" x14ac:dyDescent="0.25">
      <c r="A1442" t="s">
        <v>3075</v>
      </c>
      <c r="B1442">
        <v>1</v>
      </c>
      <c r="C1442">
        <v>0.64700000000000002</v>
      </c>
      <c r="D1442" t="s">
        <v>3076</v>
      </c>
      <c r="E1442" t="s">
        <v>170</v>
      </c>
      <c r="F1442" t="s">
        <v>50</v>
      </c>
      <c r="G1442">
        <v>1.5455950540958268</v>
      </c>
      <c r="H1442">
        <v>0.43540898448123638</v>
      </c>
      <c r="I1442" t="s">
        <v>3536</v>
      </c>
    </row>
    <row r="1443" spans="1:9" x14ac:dyDescent="0.25">
      <c r="A1443" t="s">
        <v>3077</v>
      </c>
      <c r="B1443">
        <v>1</v>
      </c>
      <c r="C1443">
        <v>0.16500000000000001</v>
      </c>
      <c r="D1443" t="s">
        <v>292</v>
      </c>
      <c r="E1443" t="s">
        <v>10</v>
      </c>
      <c r="F1443" t="s">
        <v>11</v>
      </c>
      <c r="G1443">
        <v>6.0606060606060606</v>
      </c>
      <c r="H1443">
        <v>1.8018098050815565</v>
      </c>
      <c r="I1443" t="s">
        <v>3536</v>
      </c>
    </row>
    <row r="1444" spans="1:9" x14ac:dyDescent="0.25">
      <c r="A1444" t="s">
        <v>3078</v>
      </c>
      <c r="B1444">
        <v>1</v>
      </c>
      <c r="C1444">
        <v>0.39700000000000002</v>
      </c>
      <c r="D1444" t="s">
        <v>137</v>
      </c>
      <c r="E1444" t="s">
        <v>187</v>
      </c>
      <c r="F1444" t="s">
        <v>50</v>
      </c>
      <c r="G1444">
        <v>2.5188916876574305</v>
      </c>
      <c r="H1444">
        <v>0.92381899829494651</v>
      </c>
      <c r="I1444" t="s">
        <v>3536</v>
      </c>
    </row>
    <row r="1445" spans="1:9" x14ac:dyDescent="0.25">
      <c r="A1445" t="s">
        <v>3079</v>
      </c>
      <c r="B1445">
        <v>1</v>
      </c>
      <c r="C1445">
        <v>0.54500000000000004</v>
      </c>
      <c r="D1445" t="s">
        <v>3080</v>
      </c>
      <c r="E1445" t="s">
        <v>10</v>
      </c>
      <c r="F1445" t="s">
        <v>11</v>
      </c>
      <c r="G1445">
        <v>1.8348623853211008</v>
      </c>
      <c r="H1445">
        <v>0.60696948431889286</v>
      </c>
      <c r="I1445" t="s">
        <v>3536</v>
      </c>
    </row>
    <row r="1446" spans="1:9" x14ac:dyDescent="0.25">
      <c r="A1446" t="s">
        <v>3081</v>
      </c>
      <c r="B1446">
        <v>1</v>
      </c>
      <c r="C1446">
        <v>0.06</v>
      </c>
      <c r="D1446" t="s">
        <v>3082</v>
      </c>
      <c r="E1446" t="s">
        <v>1279</v>
      </c>
      <c r="F1446" t="s">
        <v>11</v>
      </c>
      <c r="G1446">
        <v>16.666666666666668</v>
      </c>
      <c r="H1446">
        <v>2.8134107167600364</v>
      </c>
      <c r="I1446" t="s">
        <v>3536</v>
      </c>
    </row>
    <row r="1447" spans="1:9" x14ac:dyDescent="0.25">
      <c r="A1447" t="s">
        <v>3083</v>
      </c>
      <c r="B1447">
        <v>1</v>
      </c>
      <c r="C1447">
        <v>0.158</v>
      </c>
      <c r="D1447" t="s">
        <v>3085</v>
      </c>
      <c r="E1447" t="s">
        <v>20</v>
      </c>
      <c r="F1447" t="s">
        <v>21</v>
      </c>
      <c r="G1447">
        <v>6.3291139240506329</v>
      </c>
      <c r="H1447">
        <v>1.8451602459551701</v>
      </c>
      <c r="I1447" t="s">
        <v>3536</v>
      </c>
    </row>
    <row r="1448" spans="1:9" x14ac:dyDescent="0.25">
      <c r="A1448" t="s">
        <v>3086</v>
      </c>
      <c r="B1448">
        <v>1</v>
      </c>
      <c r="C1448">
        <v>0.23200000000000001</v>
      </c>
      <c r="D1448" t="s">
        <v>3088</v>
      </c>
      <c r="E1448" t="s">
        <v>10</v>
      </c>
      <c r="F1448" t="s">
        <v>11</v>
      </c>
      <c r="G1448">
        <v>4.3103448275862064</v>
      </c>
      <c r="H1448">
        <v>1.4610179073158269</v>
      </c>
      <c r="I1448" t="s">
        <v>3536</v>
      </c>
    </row>
    <row r="1449" spans="1:9" x14ac:dyDescent="0.25">
      <c r="A1449" t="s">
        <v>3089</v>
      </c>
      <c r="B1449">
        <v>1</v>
      </c>
      <c r="C1449">
        <v>3</v>
      </c>
      <c r="D1449" t="s">
        <v>3090</v>
      </c>
      <c r="E1449" t="s">
        <v>210</v>
      </c>
      <c r="F1449" t="s">
        <v>50</v>
      </c>
      <c r="G1449">
        <v>0.33333333333333331</v>
      </c>
      <c r="H1449">
        <v>-1.0986122886681098</v>
      </c>
      <c r="I1449" t="s">
        <v>3536</v>
      </c>
    </row>
    <row r="1450" spans="1:9" x14ac:dyDescent="0.25">
      <c r="A1450" t="s">
        <v>3091</v>
      </c>
      <c r="B1450">
        <v>1</v>
      </c>
      <c r="C1450">
        <v>1</v>
      </c>
      <c r="D1450" t="s">
        <v>3092</v>
      </c>
      <c r="E1450" t="s">
        <v>187</v>
      </c>
      <c r="F1450" t="s">
        <v>50</v>
      </c>
      <c r="G1450">
        <v>1</v>
      </c>
      <c r="H1450">
        <v>0</v>
      </c>
      <c r="I1450" t="s">
        <v>3536</v>
      </c>
    </row>
    <row r="1451" spans="1:9" x14ac:dyDescent="0.25">
      <c r="A1451" t="s">
        <v>3093</v>
      </c>
      <c r="B1451">
        <v>1</v>
      </c>
      <c r="C1451">
        <v>0.60199999999999998</v>
      </c>
      <c r="D1451" t="s">
        <v>3094</v>
      </c>
      <c r="E1451" t="s">
        <v>10</v>
      </c>
      <c r="F1451" t="s">
        <v>11</v>
      </c>
      <c r="G1451">
        <v>1.6611295681063123</v>
      </c>
      <c r="H1451">
        <v>0.50749783367331602</v>
      </c>
      <c r="I1451" t="s">
        <v>3536</v>
      </c>
    </row>
    <row r="1452" spans="1:9" x14ac:dyDescent="0.25">
      <c r="A1452" t="s">
        <v>3095</v>
      </c>
      <c r="B1452">
        <v>1</v>
      </c>
      <c r="C1452">
        <v>0.36</v>
      </c>
      <c r="D1452" t="s">
        <v>3096</v>
      </c>
      <c r="E1452" t="s">
        <v>10</v>
      </c>
      <c r="F1452" t="s">
        <v>11</v>
      </c>
      <c r="G1452">
        <v>2.7777777777777777</v>
      </c>
      <c r="H1452">
        <v>1.0216512475319812</v>
      </c>
      <c r="I1452" t="s">
        <v>3536</v>
      </c>
    </row>
    <row r="1453" spans="1:9" x14ac:dyDescent="0.25">
      <c r="A1453" t="s">
        <v>3097</v>
      </c>
      <c r="B1453">
        <v>1</v>
      </c>
      <c r="C1453">
        <v>0.246</v>
      </c>
      <c r="D1453" t="s">
        <v>3099</v>
      </c>
      <c r="E1453" t="s">
        <v>10</v>
      </c>
      <c r="F1453" t="s">
        <v>11</v>
      </c>
      <c r="G1453">
        <v>4.0650406504065044</v>
      </c>
      <c r="H1453">
        <v>1.4024237430497744</v>
      </c>
      <c r="I1453" t="s">
        <v>3536</v>
      </c>
    </row>
    <row r="1454" spans="1:9" x14ac:dyDescent="0.25">
      <c r="A1454" t="s">
        <v>3100</v>
      </c>
      <c r="B1454">
        <v>1</v>
      </c>
      <c r="C1454">
        <v>0</v>
      </c>
      <c r="D1454" t="s">
        <v>3101</v>
      </c>
      <c r="E1454" t="s">
        <v>20</v>
      </c>
      <c r="F1454" t="s">
        <v>21</v>
      </c>
      <c r="G1454" t="s">
        <v>3535</v>
      </c>
      <c r="H1454" t="s">
        <v>3535</v>
      </c>
      <c r="I1454" t="s">
        <v>3537</v>
      </c>
    </row>
    <row r="1455" spans="1:9" x14ac:dyDescent="0.25">
      <c r="A1455" t="s">
        <v>3102</v>
      </c>
      <c r="B1455">
        <v>1</v>
      </c>
      <c r="C1455">
        <v>0.66900000000000004</v>
      </c>
      <c r="D1455" t="s">
        <v>3104</v>
      </c>
      <c r="E1455" t="s">
        <v>20</v>
      </c>
      <c r="F1455" t="s">
        <v>21</v>
      </c>
      <c r="G1455">
        <v>1.4947683109118086</v>
      </c>
      <c r="H1455">
        <v>0.40197121885390857</v>
      </c>
      <c r="I1455" t="s">
        <v>3536</v>
      </c>
    </row>
    <row r="1456" spans="1:9" x14ac:dyDescent="0.25">
      <c r="A1456" t="s">
        <v>3105</v>
      </c>
      <c r="B1456">
        <v>1</v>
      </c>
      <c r="C1456">
        <v>0</v>
      </c>
      <c r="D1456" t="s">
        <v>3106</v>
      </c>
      <c r="E1456" t="s">
        <v>20</v>
      </c>
      <c r="F1456" t="s">
        <v>21</v>
      </c>
      <c r="G1456" t="s">
        <v>3535</v>
      </c>
      <c r="H1456" t="s">
        <v>3535</v>
      </c>
      <c r="I1456" t="s">
        <v>3537</v>
      </c>
    </row>
    <row r="1457" spans="1:9" x14ac:dyDescent="0.25">
      <c r="A1457" t="s">
        <v>3107</v>
      </c>
      <c r="B1457">
        <v>1</v>
      </c>
      <c r="C1457">
        <v>0.64300000000000002</v>
      </c>
      <c r="D1457" t="s">
        <v>3108</v>
      </c>
      <c r="E1457" t="s">
        <v>10</v>
      </c>
      <c r="F1457" t="s">
        <v>11</v>
      </c>
      <c r="G1457">
        <v>1.5552099533437014</v>
      </c>
      <c r="H1457">
        <v>0.44161055474451766</v>
      </c>
      <c r="I1457" t="s">
        <v>3536</v>
      </c>
    </row>
    <row r="1458" spans="1:9" x14ac:dyDescent="0.25">
      <c r="A1458" t="s">
        <v>3109</v>
      </c>
      <c r="B1458">
        <v>1</v>
      </c>
      <c r="C1458">
        <v>5.1999999999999998E-2</v>
      </c>
      <c r="D1458" t="s">
        <v>79</v>
      </c>
      <c r="E1458" t="s">
        <v>10</v>
      </c>
      <c r="F1458" t="s">
        <v>11</v>
      </c>
      <c r="G1458">
        <v>19.23076923076923</v>
      </c>
      <c r="H1458">
        <v>2.9565115604007097</v>
      </c>
      <c r="I1458" t="s">
        <v>3536</v>
      </c>
    </row>
    <row r="1459" spans="1:9" x14ac:dyDescent="0.25">
      <c r="A1459" t="s">
        <v>3110</v>
      </c>
      <c r="B1459">
        <v>1</v>
      </c>
      <c r="C1459">
        <v>0.55600000000000005</v>
      </c>
      <c r="D1459" t="s">
        <v>3112</v>
      </c>
      <c r="E1459" t="s">
        <v>275</v>
      </c>
      <c r="F1459" t="s">
        <v>21</v>
      </c>
      <c r="G1459">
        <v>1.7985611510791366</v>
      </c>
      <c r="H1459">
        <v>0.58698698473155464</v>
      </c>
      <c r="I1459" t="s">
        <v>3536</v>
      </c>
    </row>
    <row r="1460" spans="1:9" x14ac:dyDescent="0.25">
      <c r="A1460" t="s">
        <v>3113</v>
      </c>
      <c r="B1460">
        <v>1</v>
      </c>
      <c r="C1460">
        <v>0.41199999999999998</v>
      </c>
      <c r="D1460" t="s">
        <v>581</v>
      </c>
      <c r="E1460" t="s">
        <v>20</v>
      </c>
      <c r="F1460" t="s">
        <v>21</v>
      </c>
      <c r="G1460">
        <v>2.4271844660194177</v>
      </c>
      <c r="H1460">
        <v>0.88673192963261072</v>
      </c>
      <c r="I1460" t="s">
        <v>3536</v>
      </c>
    </row>
    <row r="1461" spans="1:9" x14ac:dyDescent="0.25">
      <c r="A1461" t="s">
        <v>3114</v>
      </c>
      <c r="B1461">
        <v>1</v>
      </c>
      <c r="C1461">
        <v>0.50700000000000001</v>
      </c>
      <c r="D1461" t="s">
        <v>1030</v>
      </c>
      <c r="E1461" t="s">
        <v>1035</v>
      </c>
      <c r="F1461" t="s">
        <v>21</v>
      </c>
      <c r="G1461">
        <v>1.9723865877712032</v>
      </c>
      <c r="H1461">
        <v>0.67924427539095389</v>
      </c>
      <c r="I1461" t="s">
        <v>3536</v>
      </c>
    </row>
    <row r="1462" spans="1:9" x14ac:dyDescent="0.25">
      <c r="A1462" t="s">
        <v>3115</v>
      </c>
      <c r="B1462">
        <v>1</v>
      </c>
      <c r="C1462">
        <v>0.64300000000000002</v>
      </c>
      <c r="D1462" t="s">
        <v>1350</v>
      </c>
      <c r="E1462" t="s">
        <v>10</v>
      </c>
      <c r="F1462" t="s">
        <v>11</v>
      </c>
      <c r="G1462">
        <v>1.5552099533437014</v>
      </c>
      <c r="H1462">
        <v>0.44161055474451766</v>
      </c>
      <c r="I1462" t="s">
        <v>3536</v>
      </c>
    </row>
    <row r="1463" spans="1:9" x14ac:dyDescent="0.25">
      <c r="A1463" t="s">
        <v>3116</v>
      </c>
      <c r="B1463">
        <v>1</v>
      </c>
      <c r="C1463">
        <v>2</v>
      </c>
      <c r="D1463" t="s">
        <v>3117</v>
      </c>
      <c r="E1463" t="s">
        <v>445</v>
      </c>
      <c r="F1463" t="s">
        <v>50</v>
      </c>
      <c r="G1463">
        <v>0.5</v>
      </c>
      <c r="H1463">
        <v>-0.69314718055994529</v>
      </c>
      <c r="I1463" t="s">
        <v>3536</v>
      </c>
    </row>
    <row r="1464" spans="1:9" x14ac:dyDescent="0.25">
      <c r="A1464" t="s">
        <v>3118</v>
      </c>
      <c r="B1464">
        <v>1</v>
      </c>
      <c r="C1464">
        <v>0.28000000000000003</v>
      </c>
      <c r="D1464" t="s">
        <v>3119</v>
      </c>
      <c r="E1464" t="s">
        <v>44</v>
      </c>
      <c r="F1464" t="s">
        <v>21</v>
      </c>
      <c r="G1464">
        <v>3.5714285714285712</v>
      </c>
      <c r="H1464">
        <v>1.2729656758128873</v>
      </c>
      <c r="I1464" t="s">
        <v>3536</v>
      </c>
    </row>
    <row r="1465" spans="1:9" x14ac:dyDescent="0.25">
      <c r="A1465" t="s">
        <v>3120</v>
      </c>
      <c r="B1465">
        <v>1</v>
      </c>
      <c r="C1465">
        <v>0.1</v>
      </c>
      <c r="D1465" t="s">
        <v>1507</v>
      </c>
      <c r="E1465" t="s">
        <v>445</v>
      </c>
      <c r="F1465" t="s">
        <v>50</v>
      </c>
      <c r="G1465">
        <v>10</v>
      </c>
      <c r="H1465">
        <v>2.3025850929940459</v>
      </c>
      <c r="I1465" t="s">
        <v>3536</v>
      </c>
    </row>
    <row r="1466" spans="1:9" x14ac:dyDescent="0.25">
      <c r="A1466" t="s">
        <v>3121</v>
      </c>
      <c r="B1466">
        <v>1</v>
      </c>
      <c r="C1466">
        <v>0.94399999999999995</v>
      </c>
      <c r="D1466" t="s">
        <v>3123</v>
      </c>
      <c r="E1466" t="s">
        <v>20</v>
      </c>
      <c r="F1466" t="s">
        <v>21</v>
      </c>
      <c r="G1466">
        <v>1.0593220338983051</v>
      </c>
      <c r="H1466">
        <v>5.7629112836636423E-2</v>
      </c>
      <c r="I1466" t="s">
        <v>3536</v>
      </c>
    </row>
    <row r="1467" spans="1:9" x14ac:dyDescent="0.25">
      <c r="A1467" t="s">
        <v>3124</v>
      </c>
      <c r="B1467">
        <v>1</v>
      </c>
      <c r="C1467">
        <v>0.18099999999999999</v>
      </c>
      <c r="D1467" t="s">
        <v>469</v>
      </c>
      <c r="E1467" t="s">
        <v>10</v>
      </c>
      <c r="F1467" t="s">
        <v>11</v>
      </c>
      <c r="G1467">
        <v>5.5248618784530388</v>
      </c>
      <c r="H1467">
        <v>1.7092582477163114</v>
      </c>
      <c r="I1467" t="s">
        <v>3536</v>
      </c>
    </row>
    <row r="1468" spans="1:9" x14ac:dyDescent="0.25">
      <c r="A1468" t="s">
        <v>3125</v>
      </c>
      <c r="B1468">
        <v>1</v>
      </c>
      <c r="C1468">
        <v>4.4999999999999998E-2</v>
      </c>
      <c r="D1468" t="s">
        <v>1873</v>
      </c>
      <c r="E1468" t="s">
        <v>10</v>
      </c>
      <c r="F1468" t="s">
        <v>11</v>
      </c>
      <c r="G1468">
        <v>22.222222222222221</v>
      </c>
      <c r="H1468">
        <v>3.1010927892118172</v>
      </c>
      <c r="I1468" t="s">
        <v>3536</v>
      </c>
    </row>
    <row r="1469" spans="1:9" x14ac:dyDescent="0.25">
      <c r="A1469" t="s">
        <v>3127</v>
      </c>
      <c r="B1469">
        <v>1</v>
      </c>
      <c r="C1469">
        <v>5.0999999999999997E-2</v>
      </c>
      <c r="E1469" t="s">
        <v>49</v>
      </c>
      <c r="F1469" t="s">
        <v>50</v>
      </c>
      <c r="G1469">
        <v>19.607843137254903</v>
      </c>
      <c r="H1469">
        <v>2.9759296462578115</v>
      </c>
      <c r="I1469" t="s">
        <v>3536</v>
      </c>
    </row>
    <row r="1470" spans="1:9" x14ac:dyDescent="0.25">
      <c r="A1470" t="s">
        <v>3129</v>
      </c>
      <c r="B1470">
        <v>1</v>
      </c>
      <c r="C1470">
        <v>0.03</v>
      </c>
      <c r="D1470" t="s">
        <v>3130</v>
      </c>
      <c r="E1470" t="s">
        <v>10</v>
      </c>
      <c r="F1470" t="s">
        <v>11</v>
      </c>
      <c r="G1470">
        <v>33.333333333333336</v>
      </c>
      <c r="H1470">
        <v>3.5065578973199818</v>
      </c>
      <c r="I1470" t="s">
        <v>3536</v>
      </c>
    </row>
    <row r="1471" spans="1:9" x14ac:dyDescent="0.25">
      <c r="A1471" t="s">
        <v>3131</v>
      </c>
      <c r="B1471">
        <v>1</v>
      </c>
      <c r="C1471">
        <v>0.375</v>
      </c>
      <c r="D1471" t="s">
        <v>177</v>
      </c>
      <c r="E1471" t="s">
        <v>554</v>
      </c>
      <c r="F1471" t="s">
        <v>526</v>
      </c>
      <c r="G1471">
        <v>2.6666666666666665</v>
      </c>
      <c r="H1471">
        <v>0.98082925301172619</v>
      </c>
      <c r="I1471" t="s">
        <v>3536</v>
      </c>
    </row>
    <row r="1472" spans="1:9" x14ac:dyDescent="0.25">
      <c r="A1472" t="s">
        <v>3132</v>
      </c>
      <c r="B1472">
        <v>1</v>
      </c>
      <c r="C1472">
        <v>1</v>
      </c>
      <c r="D1472" t="s">
        <v>3133</v>
      </c>
      <c r="E1472" t="s">
        <v>10</v>
      </c>
      <c r="F1472" t="s">
        <v>11</v>
      </c>
      <c r="G1472">
        <v>1</v>
      </c>
      <c r="H1472">
        <v>0</v>
      </c>
      <c r="I1472" t="s">
        <v>3536</v>
      </c>
    </row>
    <row r="1473" spans="1:9" x14ac:dyDescent="0.25">
      <c r="A1473" t="s">
        <v>3134</v>
      </c>
      <c r="B1473">
        <v>1</v>
      </c>
      <c r="C1473">
        <v>0.24399999999999999</v>
      </c>
      <c r="D1473" t="s">
        <v>3135</v>
      </c>
      <c r="E1473" t="s">
        <v>10</v>
      </c>
      <c r="F1473" t="s">
        <v>11</v>
      </c>
      <c r="G1473">
        <v>4.0983606557377046</v>
      </c>
      <c r="H1473">
        <v>1.4105870536889351</v>
      </c>
      <c r="I1473" t="s">
        <v>3536</v>
      </c>
    </row>
    <row r="1474" spans="1:9" x14ac:dyDescent="0.25">
      <c r="A1474" t="s">
        <v>3136</v>
      </c>
      <c r="B1474">
        <v>1</v>
      </c>
      <c r="C1474">
        <v>2</v>
      </c>
      <c r="D1474" t="s">
        <v>3137</v>
      </c>
      <c r="E1474" t="s">
        <v>20</v>
      </c>
      <c r="F1474" t="s">
        <v>21</v>
      </c>
      <c r="G1474">
        <v>0.5</v>
      </c>
      <c r="H1474">
        <v>-0.69314718055994529</v>
      </c>
      <c r="I1474" t="s">
        <v>3536</v>
      </c>
    </row>
    <row r="1475" spans="1:9" x14ac:dyDescent="0.25">
      <c r="A1475" t="s">
        <v>3138</v>
      </c>
      <c r="B1475">
        <v>1</v>
      </c>
      <c r="C1475">
        <v>0.155</v>
      </c>
      <c r="D1475" t="s">
        <v>79</v>
      </c>
      <c r="E1475" t="s">
        <v>10</v>
      </c>
      <c r="F1475" t="s">
        <v>11</v>
      </c>
      <c r="G1475">
        <v>6.4516129032258069</v>
      </c>
      <c r="H1475">
        <v>1.8643301620628905</v>
      </c>
      <c r="I1475" t="s">
        <v>3536</v>
      </c>
    </row>
    <row r="1476" spans="1:9" x14ac:dyDescent="0.25">
      <c r="A1476" t="s">
        <v>3140</v>
      </c>
      <c r="B1476">
        <v>1</v>
      </c>
      <c r="C1476">
        <v>0.625</v>
      </c>
      <c r="D1476" t="s">
        <v>3141</v>
      </c>
      <c r="E1476" t="s">
        <v>10</v>
      </c>
      <c r="F1476" t="s">
        <v>11</v>
      </c>
      <c r="G1476">
        <v>1.6</v>
      </c>
      <c r="H1476">
        <v>0.47000362924573563</v>
      </c>
      <c r="I1476" t="s">
        <v>3536</v>
      </c>
    </row>
    <row r="1477" spans="1:9" x14ac:dyDescent="0.25">
      <c r="A1477" t="s">
        <v>3142</v>
      </c>
      <c r="B1477">
        <v>1</v>
      </c>
      <c r="C1477">
        <v>0.19500000000000001</v>
      </c>
      <c r="D1477" t="s">
        <v>3143</v>
      </c>
      <c r="E1477" t="s">
        <v>10</v>
      </c>
      <c r="F1477" t="s">
        <v>11</v>
      </c>
      <c r="G1477">
        <v>5.1282051282051277</v>
      </c>
      <c r="H1477">
        <v>1.6347557204183902</v>
      </c>
      <c r="I1477" t="s">
        <v>3536</v>
      </c>
    </row>
    <row r="1478" spans="1:9" x14ac:dyDescent="0.25">
      <c r="A1478" t="s">
        <v>3144</v>
      </c>
      <c r="B1478">
        <v>1</v>
      </c>
      <c r="C1478">
        <v>0.183</v>
      </c>
      <c r="D1478" t="s">
        <v>245</v>
      </c>
      <c r="E1478" t="s">
        <v>10</v>
      </c>
      <c r="F1478" t="s">
        <v>11</v>
      </c>
      <c r="G1478">
        <v>5.4644808743169397</v>
      </c>
      <c r="H1478">
        <v>1.6982691261407161</v>
      </c>
      <c r="I1478" t="s">
        <v>3536</v>
      </c>
    </row>
    <row r="1479" spans="1:9" x14ac:dyDescent="0.25">
      <c r="A1479" t="s">
        <v>3145</v>
      </c>
      <c r="B1479">
        <v>1</v>
      </c>
      <c r="C1479">
        <v>0.05</v>
      </c>
      <c r="D1479" t="s">
        <v>3146</v>
      </c>
      <c r="E1479" t="s">
        <v>49</v>
      </c>
      <c r="F1479" t="s">
        <v>50</v>
      </c>
      <c r="G1479">
        <v>20</v>
      </c>
      <c r="H1479">
        <v>2.9957322735539909</v>
      </c>
      <c r="I1479" t="s">
        <v>3536</v>
      </c>
    </row>
    <row r="1480" spans="1:9" x14ac:dyDescent="0.25">
      <c r="A1480" t="s">
        <v>3147</v>
      </c>
      <c r="B1480">
        <v>1</v>
      </c>
      <c r="C1480">
        <v>0.2</v>
      </c>
      <c r="D1480" t="s">
        <v>3148</v>
      </c>
      <c r="E1480" t="s">
        <v>10</v>
      </c>
      <c r="F1480" t="s">
        <v>11</v>
      </c>
      <c r="G1480">
        <v>5</v>
      </c>
      <c r="H1480">
        <v>1.6094379124341003</v>
      </c>
      <c r="I1480" t="s">
        <v>3536</v>
      </c>
    </row>
    <row r="1481" spans="1:9" x14ac:dyDescent="0.25">
      <c r="A1481" t="s">
        <v>3149</v>
      </c>
      <c r="B1481">
        <v>1</v>
      </c>
      <c r="C1481">
        <v>0.3</v>
      </c>
      <c r="D1481" t="s">
        <v>3150</v>
      </c>
      <c r="E1481" t="s">
        <v>10</v>
      </c>
      <c r="F1481" t="s">
        <v>11</v>
      </c>
      <c r="G1481">
        <v>3.3333333333333335</v>
      </c>
      <c r="H1481">
        <v>1.2039728043259361</v>
      </c>
      <c r="I1481" t="s">
        <v>3536</v>
      </c>
    </row>
    <row r="1482" spans="1:9" x14ac:dyDescent="0.25">
      <c r="A1482" t="s">
        <v>3151</v>
      </c>
      <c r="B1482">
        <v>1</v>
      </c>
      <c r="C1482">
        <v>0</v>
      </c>
      <c r="D1482" t="s">
        <v>1125</v>
      </c>
      <c r="E1482" t="s">
        <v>10</v>
      </c>
      <c r="F1482" t="s">
        <v>11</v>
      </c>
      <c r="G1482" t="s">
        <v>3535</v>
      </c>
      <c r="H1482" t="s">
        <v>3535</v>
      </c>
      <c r="I1482" t="s">
        <v>3537</v>
      </c>
    </row>
    <row r="1483" spans="1:9" x14ac:dyDescent="0.25">
      <c r="A1483" t="s">
        <v>3152</v>
      </c>
      <c r="B1483">
        <v>1</v>
      </c>
      <c r="C1483">
        <v>0.25700000000000001</v>
      </c>
      <c r="D1483" t="s">
        <v>3153</v>
      </c>
      <c r="E1483" t="s">
        <v>20</v>
      </c>
      <c r="F1483" t="s">
        <v>21</v>
      </c>
      <c r="G1483">
        <v>3.8910505836575875</v>
      </c>
      <c r="H1483">
        <v>1.3586791940869172</v>
      </c>
      <c r="I1483" t="s">
        <v>3536</v>
      </c>
    </row>
    <row r="1484" spans="1:9" x14ac:dyDescent="0.25">
      <c r="A1484" t="s">
        <v>3154</v>
      </c>
      <c r="B1484">
        <v>1</v>
      </c>
      <c r="C1484">
        <v>0.122</v>
      </c>
      <c r="D1484" t="s">
        <v>225</v>
      </c>
      <c r="E1484" t="s">
        <v>10</v>
      </c>
      <c r="F1484" t="s">
        <v>11</v>
      </c>
      <c r="G1484">
        <v>8.1967213114754092</v>
      </c>
      <c r="H1484">
        <v>2.1037342342488805</v>
      </c>
      <c r="I1484" t="s">
        <v>3536</v>
      </c>
    </row>
    <row r="1485" spans="1:9" x14ac:dyDescent="0.25">
      <c r="A1485" t="s">
        <v>3156</v>
      </c>
      <c r="B1485">
        <v>1</v>
      </c>
      <c r="C1485">
        <v>0.24399999999999999</v>
      </c>
      <c r="D1485" t="s">
        <v>3157</v>
      </c>
      <c r="E1485" t="s">
        <v>10</v>
      </c>
      <c r="F1485" t="s">
        <v>11</v>
      </c>
      <c r="G1485">
        <v>4.0983606557377046</v>
      </c>
      <c r="H1485">
        <v>1.4105870536889351</v>
      </c>
      <c r="I1485" t="s">
        <v>3536</v>
      </c>
    </row>
    <row r="1486" spans="1:9" x14ac:dyDescent="0.25">
      <c r="A1486" t="s">
        <v>3158</v>
      </c>
      <c r="B1486">
        <v>1</v>
      </c>
      <c r="C1486">
        <v>0.16</v>
      </c>
      <c r="D1486" t="s">
        <v>79</v>
      </c>
      <c r="E1486" t="s">
        <v>10</v>
      </c>
      <c r="F1486" t="s">
        <v>11</v>
      </c>
      <c r="G1486">
        <v>6.25</v>
      </c>
      <c r="H1486">
        <v>1.8325814637483102</v>
      </c>
      <c r="I1486" t="s">
        <v>3536</v>
      </c>
    </row>
    <row r="1487" spans="1:9" x14ac:dyDescent="0.25">
      <c r="A1487" t="s">
        <v>3159</v>
      </c>
      <c r="B1487">
        <v>1</v>
      </c>
      <c r="C1487">
        <v>0.1</v>
      </c>
      <c r="E1487" t="s">
        <v>10</v>
      </c>
      <c r="F1487" t="s">
        <v>11</v>
      </c>
      <c r="G1487">
        <v>10</v>
      </c>
      <c r="H1487">
        <v>2.3025850929940459</v>
      </c>
      <c r="I1487" t="s">
        <v>3536</v>
      </c>
    </row>
    <row r="1488" spans="1:9" x14ac:dyDescent="0.25">
      <c r="A1488" t="s">
        <v>3160</v>
      </c>
      <c r="B1488">
        <v>1</v>
      </c>
      <c r="C1488">
        <v>1</v>
      </c>
      <c r="D1488" t="s">
        <v>3161</v>
      </c>
      <c r="E1488" t="s">
        <v>10</v>
      </c>
      <c r="F1488" t="s">
        <v>11</v>
      </c>
      <c r="G1488">
        <v>1</v>
      </c>
      <c r="H1488">
        <v>0</v>
      </c>
      <c r="I1488" t="s">
        <v>3536</v>
      </c>
    </row>
    <row r="1489" spans="1:9" x14ac:dyDescent="0.25">
      <c r="A1489" t="s">
        <v>3162</v>
      </c>
      <c r="B1489">
        <v>1</v>
      </c>
      <c r="C1489">
        <v>0.17199999999999999</v>
      </c>
      <c r="D1489" t="s">
        <v>2731</v>
      </c>
      <c r="E1489" t="s">
        <v>10</v>
      </c>
      <c r="F1489" t="s">
        <v>11</v>
      </c>
      <c r="G1489">
        <v>5.8139534883720936</v>
      </c>
      <c r="H1489">
        <v>1.7602608021686841</v>
      </c>
      <c r="I1489" t="s">
        <v>3536</v>
      </c>
    </row>
    <row r="1490" spans="1:9" x14ac:dyDescent="0.25">
      <c r="A1490" t="s">
        <v>3163</v>
      </c>
      <c r="B1490">
        <v>1</v>
      </c>
      <c r="C1490">
        <v>8.5000000000000006E-2</v>
      </c>
      <c r="D1490" t="s">
        <v>1186</v>
      </c>
      <c r="E1490" t="s">
        <v>329</v>
      </c>
      <c r="F1490" t="s">
        <v>50</v>
      </c>
      <c r="G1490">
        <v>11.76470588235294</v>
      </c>
      <c r="H1490">
        <v>2.4651040224918206</v>
      </c>
      <c r="I1490" t="s">
        <v>3536</v>
      </c>
    </row>
    <row r="1491" spans="1:9" x14ac:dyDescent="0.25">
      <c r="A1491" t="s">
        <v>3164</v>
      </c>
      <c r="B1491">
        <v>1</v>
      </c>
      <c r="C1491">
        <v>0.11700000000000001</v>
      </c>
      <c r="D1491" t="s">
        <v>3165</v>
      </c>
      <c r="E1491" t="s">
        <v>10</v>
      </c>
      <c r="F1491" t="s">
        <v>11</v>
      </c>
      <c r="G1491">
        <v>8.5470085470085468</v>
      </c>
      <c r="H1491">
        <v>2.145581344184381</v>
      </c>
      <c r="I1491" t="s">
        <v>3536</v>
      </c>
    </row>
    <row r="1492" spans="1:9" x14ac:dyDescent="0.25">
      <c r="A1492" t="s">
        <v>3166</v>
      </c>
      <c r="B1492">
        <v>1</v>
      </c>
      <c r="C1492">
        <v>0.18099999999999999</v>
      </c>
      <c r="D1492" t="s">
        <v>1507</v>
      </c>
      <c r="E1492" t="s">
        <v>10</v>
      </c>
      <c r="F1492" t="s">
        <v>11</v>
      </c>
      <c r="G1492">
        <v>5.5248618784530388</v>
      </c>
      <c r="H1492">
        <v>1.7092582477163114</v>
      </c>
      <c r="I1492" t="s">
        <v>3536</v>
      </c>
    </row>
    <row r="1493" spans="1:9" x14ac:dyDescent="0.25">
      <c r="A1493" t="s">
        <v>3167</v>
      </c>
      <c r="B1493">
        <v>1</v>
      </c>
      <c r="C1493">
        <v>0</v>
      </c>
      <c r="D1493" t="s">
        <v>130</v>
      </c>
      <c r="E1493" t="s">
        <v>10</v>
      </c>
      <c r="F1493" t="s">
        <v>11</v>
      </c>
      <c r="G1493" t="s">
        <v>3535</v>
      </c>
      <c r="H1493" t="s">
        <v>3535</v>
      </c>
      <c r="I1493" t="s">
        <v>3537</v>
      </c>
    </row>
    <row r="1494" spans="1:9" x14ac:dyDescent="0.25">
      <c r="A1494" t="s">
        <v>3168</v>
      </c>
      <c r="B1494">
        <v>1</v>
      </c>
      <c r="C1494">
        <v>0.16</v>
      </c>
      <c r="D1494" t="s">
        <v>1068</v>
      </c>
      <c r="E1494" t="s">
        <v>10</v>
      </c>
      <c r="F1494" t="s">
        <v>11</v>
      </c>
      <c r="G1494">
        <v>6.25</v>
      </c>
      <c r="H1494">
        <v>1.8325814637483102</v>
      </c>
      <c r="I1494" t="s">
        <v>3536</v>
      </c>
    </row>
    <row r="1495" spans="1:9" x14ac:dyDescent="0.25">
      <c r="A1495" t="s">
        <v>3169</v>
      </c>
      <c r="B1495">
        <v>1</v>
      </c>
      <c r="C1495">
        <v>0.434</v>
      </c>
      <c r="D1495" t="s">
        <v>3170</v>
      </c>
      <c r="E1495" t="s">
        <v>10</v>
      </c>
      <c r="F1495" t="s">
        <v>11</v>
      </c>
      <c r="G1495">
        <v>2.3041474654377883</v>
      </c>
      <c r="H1495">
        <v>0.83471074488173225</v>
      </c>
      <c r="I1495" t="s">
        <v>3536</v>
      </c>
    </row>
    <row r="1496" spans="1:9" x14ac:dyDescent="0.25">
      <c r="A1496" t="s">
        <v>3171</v>
      </c>
      <c r="B1496">
        <v>1</v>
      </c>
      <c r="C1496">
        <v>0.252</v>
      </c>
      <c r="D1496" t="s">
        <v>2933</v>
      </c>
      <c r="E1496" t="s">
        <v>10</v>
      </c>
      <c r="F1496" t="s">
        <v>11</v>
      </c>
      <c r="G1496">
        <v>3.9682539682539684</v>
      </c>
      <c r="H1496">
        <v>1.3783261914707137</v>
      </c>
      <c r="I1496" t="s">
        <v>3536</v>
      </c>
    </row>
    <row r="1497" spans="1:9" x14ac:dyDescent="0.25">
      <c r="A1497" t="s">
        <v>3172</v>
      </c>
      <c r="B1497">
        <v>1</v>
      </c>
      <c r="C1497">
        <v>0.22</v>
      </c>
      <c r="D1497" t="s">
        <v>3157</v>
      </c>
      <c r="E1497" t="s">
        <v>10</v>
      </c>
      <c r="F1497" t="s">
        <v>11</v>
      </c>
      <c r="G1497">
        <v>4.5454545454545459</v>
      </c>
      <c r="H1497">
        <v>1.5141277326297755</v>
      </c>
      <c r="I1497" t="s">
        <v>3536</v>
      </c>
    </row>
    <row r="1498" spans="1:9" x14ac:dyDescent="0.25">
      <c r="A1498" t="s">
        <v>3173</v>
      </c>
      <c r="B1498">
        <v>1</v>
      </c>
      <c r="C1498">
        <v>0.30499999999999999</v>
      </c>
      <c r="D1498" t="s">
        <v>3174</v>
      </c>
      <c r="E1498" t="s">
        <v>10</v>
      </c>
      <c r="F1498" t="s">
        <v>11</v>
      </c>
      <c r="G1498">
        <v>3.278688524590164</v>
      </c>
      <c r="H1498">
        <v>1.1874435023747254</v>
      </c>
      <c r="I1498" t="s">
        <v>3536</v>
      </c>
    </row>
    <row r="1499" spans="1:9" x14ac:dyDescent="0.25">
      <c r="A1499" t="s">
        <v>3175</v>
      </c>
      <c r="B1499">
        <v>1</v>
      </c>
      <c r="C1499">
        <v>0.20399999999999999</v>
      </c>
      <c r="D1499" t="s">
        <v>1911</v>
      </c>
      <c r="E1499" t="s">
        <v>10</v>
      </c>
      <c r="F1499" t="s">
        <v>11</v>
      </c>
      <c r="G1499">
        <v>4.9019607843137258</v>
      </c>
      <c r="H1499">
        <v>1.5896352851379207</v>
      </c>
      <c r="I1499" t="s">
        <v>3536</v>
      </c>
    </row>
    <row r="1500" spans="1:9" x14ac:dyDescent="0.25">
      <c r="A1500" t="s">
        <v>3176</v>
      </c>
      <c r="B1500">
        <v>1</v>
      </c>
      <c r="C1500">
        <v>0.25</v>
      </c>
      <c r="D1500" t="s">
        <v>3177</v>
      </c>
      <c r="E1500" t="s">
        <v>49</v>
      </c>
      <c r="F1500" t="s">
        <v>50</v>
      </c>
      <c r="G1500">
        <v>4</v>
      </c>
      <c r="H1500">
        <v>1.3862943611198906</v>
      </c>
      <c r="I1500" t="s">
        <v>3536</v>
      </c>
    </row>
    <row r="1501" spans="1:9" x14ac:dyDescent="0.25">
      <c r="A1501" t="s">
        <v>3178</v>
      </c>
      <c r="B1501">
        <v>1</v>
      </c>
      <c r="C1501">
        <v>9.9000000000000005E-2</v>
      </c>
      <c r="D1501" t="s">
        <v>1210</v>
      </c>
      <c r="E1501" t="s">
        <v>10</v>
      </c>
      <c r="F1501" t="s">
        <v>11</v>
      </c>
      <c r="G1501">
        <v>10.1010101010101</v>
      </c>
      <c r="H1501">
        <v>2.312635428847547</v>
      </c>
      <c r="I1501" t="s">
        <v>3536</v>
      </c>
    </row>
    <row r="1502" spans="1:9" x14ac:dyDescent="0.25">
      <c r="A1502" t="s">
        <v>3180</v>
      </c>
      <c r="B1502">
        <v>1</v>
      </c>
      <c r="C1502">
        <v>0.32</v>
      </c>
      <c r="D1502" t="s">
        <v>3181</v>
      </c>
      <c r="E1502" t="s">
        <v>187</v>
      </c>
      <c r="F1502" t="s">
        <v>50</v>
      </c>
      <c r="G1502">
        <v>3.125</v>
      </c>
      <c r="H1502">
        <v>1.1394342831883648</v>
      </c>
      <c r="I1502" t="s">
        <v>3536</v>
      </c>
    </row>
    <row r="1503" spans="1:9" x14ac:dyDescent="0.25">
      <c r="A1503" t="s">
        <v>3182</v>
      </c>
      <c r="B1503">
        <v>1</v>
      </c>
      <c r="C1503">
        <v>0.376</v>
      </c>
      <c r="D1503" t="s">
        <v>57</v>
      </c>
      <c r="E1503" t="s">
        <v>44</v>
      </c>
      <c r="F1503" t="s">
        <v>21</v>
      </c>
      <c r="G1503">
        <v>2.6595744680851063</v>
      </c>
      <c r="H1503">
        <v>0.97816613559224252</v>
      </c>
      <c r="I1503" t="s">
        <v>3536</v>
      </c>
    </row>
    <row r="1504" spans="1:9" x14ac:dyDescent="0.25">
      <c r="A1504" t="s">
        <v>3183</v>
      </c>
      <c r="B1504">
        <v>1</v>
      </c>
      <c r="C1504">
        <v>0.379</v>
      </c>
      <c r="D1504" t="s">
        <v>3184</v>
      </c>
      <c r="E1504" t="s">
        <v>20</v>
      </c>
      <c r="F1504" t="s">
        <v>21</v>
      </c>
      <c r="G1504">
        <v>2.6385224274406331</v>
      </c>
      <c r="H1504">
        <v>0.97021907389971063</v>
      </c>
      <c r="I1504" t="s">
        <v>3536</v>
      </c>
    </row>
    <row r="1505" spans="1:9" x14ac:dyDescent="0.25">
      <c r="A1505" t="s">
        <v>3185</v>
      </c>
      <c r="B1505">
        <v>1</v>
      </c>
      <c r="C1505">
        <v>0.13600000000000001</v>
      </c>
      <c r="D1505" t="s">
        <v>3187</v>
      </c>
      <c r="E1505" t="s">
        <v>20</v>
      </c>
      <c r="F1505" t="s">
        <v>21</v>
      </c>
      <c r="G1505">
        <v>7.3529411764705879</v>
      </c>
      <c r="H1505">
        <v>1.9951003932460849</v>
      </c>
      <c r="I1505" t="s">
        <v>3536</v>
      </c>
    </row>
    <row r="1506" spans="1:9" x14ac:dyDescent="0.25">
      <c r="A1506" t="s">
        <v>3188</v>
      </c>
      <c r="B1506">
        <v>1</v>
      </c>
      <c r="C1506">
        <v>0.20799999999999999</v>
      </c>
      <c r="D1506" t="s">
        <v>3190</v>
      </c>
      <c r="E1506" t="s">
        <v>294</v>
      </c>
      <c r="F1506" t="s">
        <v>21</v>
      </c>
      <c r="G1506">
        <v>4.8076923076923075</v>
      </c>
      <c r="H1506">
        <v>1.5702171992808189</v>
      </c>
      <c r="I1506" t="s">
        <v>3536</v>
      </c>
    </row>
    <row r="1507" spans="1:9" x14ac:dyDescent="0.25">
      <c r="A1507" t="s">
        <v>3191</v>
      </c>
      <c r="B1507">
        <v>1</v>
      </c>
      <c r="C1507">
        <v>0.26900000000000002</v>
      </c>
      <c r="D1507" t="s">
        <v>496</v>
      </c>
      <c r="E1507" t="s">
        <v>360</v>
      </c>
      <c r="F1507" t="s">
        <v>50</v>
      </c>
      <c r="G1507">
        <v>3.7174721189591078</v>
      </c>
      <c r="H1507">
        <v>1.313043899380298</v>
      </c>
      <c r="I1507" t="s">
        <v>3536</v>
      </c>
    </row>
    <row r="1508" spans="1:9" x14ac:dyDescent="0.25">
      <c r="A1508" t="s">
        <v>3192</v>
      </c>
      <c r="B1508">
        <v>1</v>
      </c>
      <c r="C1508">
        <v>0.51900000000000002</v>
      </c>
      <c r="D1508" t="s">
        <v>3193</v>
      </c>
      <c r="E1508" t="s">
        <v>10</v>
      </c>
      <c r="F1508" t="s">
        <v>11</v>
      </c>
      <c r="G1508">
        <v>1.9267822736030829</v>
      </c>
      <c r="H1508">
        <v>0.65585139581624841</v>
      </c>
      <c r="I1508" t="s">
        <v>3536</v>
      </c>
    </row>
    <row r="1509" spans="1:9" x14ac:dyDescent="0.25">
      <c r="A1509" t="s">
        <v>3194</v>
      </c>
      <c r="B1509">
        <v>1</v>
      </c>
      <c r="C1509">
        <v>0.44800000000000001</v>
      </c>
      <c r="D1509" t="s">
        <v>1818</v>
      </c>
      <c r="E1509" t="s">
        <v>10</v>
      </c>
      <c r="F1509" t="s">
        <v>11</v>
      </c>
      <c r="G1509">
        <v>2.2321428571428572</v>
      </c>
      <c r="H1509">
        <v>0.80296204656715187</v>
      </c>
      <c r="I1509" t="s">
        <v>3536</v>
      </c>
    </row>
    <row r="1510" spans="1:9" x14ac:dyDescent="0.25">
      <c r="A1510" t="s">
        <v>3195</v>
      </c>
      <c r="B1510">
        <v>1</v>
      </c>
      <c r="C1510">
        <v>0.26300000000000001</v>
      </c>
      <c r="D1510" t="s">
        <v>3196</v>
      </c>
      <c r="E1510" t="s">
        <v>10</v>
      </c>
      <c r="F1510" t="s">
        <v>11</v>
      </c>
      <c r="G1510">
        <v>3.8022813688212924</v>
      </c>
      <c r="H1510">
        <v>1.3356012468043723</v>
      </c>
      <c r="I1510" t="s">
        <v>3536</v>
      </c>
    </row>
    <row r="1511" spans="1:9" x14ac:dyDescent="0.25">
      <c r="A1511" t="s">
        <v>3197</v>
      </c>
      <c r="B1511">
        <v>1</v>
      </c>
      <c r="C1511">
        <v>0.2</v>
      </c>
      <c r="D1511" t="s">
        <v>3198</v>
      </c>
      <c r="E1511" t="s">
        <v>44</v>
      </c>
      <c r="F1511" t="s">
        <v>21</v>
      </c>
      <c r="G1511">
        <v>5</v>
      </c>
      <c r="H1511">
        <v>1.6094379124341003</v>
      </c>
      <c r="I1511" t="s">
        <v>3536</v>
      </c>
    </row>
    <row r="1512" spans="1:9" x14ac:dyDescent="0.25">
      <c r="A1512" t="s">
        <v>3199</v>
      </c>
      <c r="B1512">
        <v>1</v>
      </c>
      <c r="C1512">
        <v>1</v>
      </c>
      <c r="D1512" t="s">
        <v>130</v>
      </c>
      <c r="E1512" t="s">
        <v>49</v>
      </c>
      <c r="F1512" t="s">
        <v>50</v>
      </c>
      <c r="G1512">
        <v>1</v>
      </c>
      <c r="H1512">
        <v>0</v>
      </c>
      <c r="I1512" t="s">
        <v>3536</v>
      </c>
    </row>
    <row r="1513" spans="1:9" x14ac:dyDescent="0.25">
      <c r="A1513" t="s">
        <v>3200</v>
      </c>
      <c r="B1513">
        <v>1</v>
      </c>
      <c r="C1513">
        <v>0.23599999999999999</v>
      </c>
      <c r="D1513" t="s">
        <v>79</v>
      </c>
      <c r="E1513" t="s">
        <v>49</v>
      </c>
      <c r="F1513" t="s">
        <v>50</v>
      </c>
      <c r="G1513">
        <v>4.2372881355932206</v>
      </c>
      <c r="H1513">
        <v>1.443923473956527</v>
      </c>
      <c r="I1513" t="s">
        <v>3536</v>
      </c>
    </row>
    <row r="1514" spans="1:9" x14ac:dyDescent="0.25">
      <c r="A1514" t="s">
        <v>3201</v>
      </c>
      <c r="B1514">
        <v>1</v>
      </c>
      <c r="C1514">
        <v>0.42599999999999999</v>
      </c>
      <c r="D1514" t="s">
        <v>3202</v>
      </c>
      <c r="E1514" t="s">
        <v>10</v>
      </c>
      <c r="F1514" t="s">
        <v>11</v>
      </c>
      <c r="G1514">
        <v>2.347417840375587</v>
      </c>
      <c r="H1514">
        <v>0.85331593271276673</v>
      </c>
      <c r="I1514" t="s">
        <v>3536</v>
      </c>
    </row>
    <row r="1515" spans="1:9" x14ac:dyDescent="0.25">
      <c r="A1515" t="s">
        <v>3203</v>
      </c>
      <c r="B1515">
        <v>1</v>
      </c>
      <c r="C1515">
        <v>0.31</v>
      </c>
      <c r="D1515" t="s">
        <v>376</v>
      </c>
      <c r="E1515" t="s">
        <v>10</v>
      </c>
      <c r="F1515" t="s">
        <v>11</v>
      </c>
      <c r="G1515">
        <v>3.2258064516129035</v>
      </c>
      <c r="H1515">
        <v>1.1711829815029453</v>
      </c>
      <c r="I1515" t="s">
        <v>3536</v>
      </c>
    </row>
    <row r="1516" spans="1:9" x14ac:dyDescent="0.25">
      <c r="A1516" t="s">
        <v>3204</v>
      </c>
      <c r="B1516">
        <v>1</v>
      </c>
      <c r="C1516">
        <v>0.66600000000000004</v>
      </c>
      <c r="D1516" t="s">
        <v>3206</v>
      </c>
      <c r="E1516" t="s">
        <v>10</v>
      </c>
      <c r="F1516" t="s">
        <v>11</v>
      </c>
      <c r="G1516">
        <v>1.5015015015015014</v>
      </c>
      <c r="H1516">
        <v>0.40646560844174784</v>
      </c>
      <c r="I1516" t="s">
        <v>3536</v>
      </c>
    </row>
    <row r="1517" spans="1:9" x14ac:dyDescent="0.25">
      <c r="A1517" t="s">
        <v>3207</v>
      </c>
      <c r="B1517">
        <v>1</v>
      </c>
      <c r="C1517">
        <v>0.25</v>
      </c>
      <c r="D1517" t="s">
        <v>159</v>
      </c>
      <c r="E1517" t="s">
        <v>10</v>
      </c>
      <c r="F1517" t="s">
        <v>11</v>
      </c>
      <c r="G1517">
        <v>4</v>
      </c>
      <c r="H1517">
        <v>1.3862943611198906</v>
      </c>
      <c r="I1517" t="s">
        <v>3536</v>
      </c>
    </row>
    <row r="1518" spans="1:9" x14ac:dyDescent="0.25">
      <c r="A1518" t="s">
        <v>3208</v>
      </c>
      <c r="B1518">
        <v>1</v>
      </c>
      <c r="C1518">
        <v>1</v>
      </c>
      <c r="D1518" t="s">
        <v>2792</v>
      </c>
      <c r="E1518" t="s">
        <v>10</v>
      </c>
      <c r="F1518" t="s">
        <v>11</v>
      </c>
      <c r="G1518">
        <v>1</v>
      </c>
      <c r="H1518">
        <v>0</v>
      </c>
      <c r="I1518" t="s">
        <v>3536</v>
      </c>
    </row>
    <row r="1519" spans="1:9" x14ac:dyDescent="0.25">
      <c r="A1519" t="s">
        <v>3209</v>
      </c>
      <c r="B1519">
        <v>1</v>
      </c>
      <c r="C1519">
        <v>0.52</v>
      </c>
      <c r="D1519" t="s">
        <v>3210</v>
      </c>
      <c r="E1519" t="s">
        <v>10</v>
      </c>
      <c r="F1519" t="s">
        <v>11</v>
      </c>
      <c r="G1519">
        <v>1.9230769230769229</v>
      </c>
      <c r="H1519">
        <v>0.65392646740666394</v>
      </c>
      <c r="I1519" t="s">
        <v>3536</v>
      </c>
    </row>
    <row r="1520" spans="1:9" x14ac:dyDescent="0.25">
      <c r="A1520" t="s">
        <v>3211</v>
      </c>
      <c r="B1520">
        <v>1</v>
      </c>
      <c r="C1520">
        <v>0.185</v>
      </c>
      <c r="D1520" t="s">
        <v>254</v>
      </c>
      <c r="E1520" t="s">
        <v>49</v>
      </c>
      <c r="F1520" t="s">
        <v>50</v>
      </c>
      <c r="G1520">
        <v>5.4054054054054053</v>
      </c>
      <c r="H1520">
        <v>1.6873994539038122</v>
      </c>
      <c r="I1520" t="s">
        <v>3536</v>
      </c>
    </row>
    <row r="1521" spans="1:9" x14ac:dyDescent="0.25">
      <c r="A1521" t="s">
        <v>3212</v>
      </c>
      <c r="B1521">
        <v>1</v>
      </c>
      <c r="C1521">
        <v>0.46300000000000002</v>
      </c>
      <c r="D1521" t="s">
        <v>3214</v>
      </c>
      <c r="E1521" t="s">
        <v>49</v>
      </c>
      <c r="F1521" t="s">
        <v>50</v>
      </c>
      <c r="G1521">
        <v>2.159827213822894</v>
      </c>
      <c r="H1521">
        <v>0.77002822489590295</v>
      </c>
      <c r="I1521" t="s">
        <v>3536</v>
      </c>
    </row>
    <row r="1522" spans="1:9" x14ac:dyDescent="0.25">
      <c r="A1522" t="s">
        <v>3215</v>
      </c>
      <c r="B1522">
        <v>1</v>
      </c>
      <c r="C1522">
        <v>0.46500000000000002</v>
      </c>
      <c r="D1522" t="s">
        <v>3216</v>
      </c>
      <c r="E1522" t="s">
        <v>10</v>
      </c>
      <c r="F1522" t="s">
        <v>11</v>
      </c>
      <c r="G1522">
        <v>2.150537634408602</v>
      </c>
      <c r="H1522">
        <v>0.7657178733947807</v>
      </c>
      <c r="I1522" t="s">
        <v>3536</v>
      </c>
    </row>
    <row r="1523" spans="1:9" x14ac:dyDescent="0.25">
      <c r="A1523" t="s">
        <v>3217</v>
      </c>
      <c r="B1523">
        <v>1</v>
      </c>
      <c r="C1523">
        <v>0.157</v>
      </c>
      <c r="D1523" t="s">
        <v>496</v>
      </c>
      <c r="E1523" t="s">
        <v>10</v>
      </c>
      <c r="F1523" t="s">
        <v>11</v>
      </c>
      <c r="G1523">
        <v>6.369426751592357</v>
      </c>
      <c r="H1523">
        <v>1.8515094736338291</v>
      </c>
      <c r="I1523" t="s">
        <v>3536</v>
      </c>
    </row>
    <row r="1524" spans="1:9" x14ac:dyDescent="0.25">
      <c r="A1524" t="s">
        <v>3218</v>
      </c>
      <c r="B1524">
        <v>1</v>
      </c>
      <c r="C1524">
        <v>0.2</v>
      </c>
      <c r="D1524" t="s">
        <v>3219</v>
      </c>
      <c r="E1524" t="s">
        <v>10</v>
      </c>
      <c r="F1524" t="s">
        <v>11</v>
      </c>
      <c r="G1524">
        <v>5</v>
      </c>
      <c r="H1524">
        <v>1.6094379124341003</v>
      </c>
      <c r="I1524" t="s">
        <v>3536</v>
      </c>
    </row>
    <row r="1525" spans="1:9" x14ac:dyDescent="0.25">
      <c r="A1525" t="s">
        <v>3220</v>
      </c>
      <c r="B1525">
        <v>1</v>
      </c>
      <c r="C1525">
        <v>0.53500000000000003</v>
      </c>
      <c r="D1525" t="s">
        <v>3221</v>
      </c>
      <c r="E1525" t="s">
        <v>1172</v>
      </c>
      <c r="F1525" t="s">
        <v>21</v>
      </c>
      <c r="G1525">
        <v>1.8691588785046729</v>
      </c>
      <c r="H1525">
        <v>0.62548853208613053</v>
      </c>
      <c r="I1525" t="s">
        <v>3536</v>
      </c>
    </row>
    <row r="1526" spans="1:9" x14ac:dyDescent="0.25">
      <c r="A1526" t="s">
        <v>3222</v>
      </c>
      <c r="B1526">
        <v>1</v>
      </c>
      <c r="C1526">
        <v>4.4999999999999998E-2</v>
      </c>
      <c r="D1526" t="s">
        <v>1642</v>
      </c>
      <c r="E1526" t="s">
        <v>10</v>
      </c>
      <c r="F1526" t="s">
        <v>11</v>
      </c>
      <c r="G1526">
        <v>22.222222222222221</v>
      </c>
      <c r="H1526">
        <v>3.1010927892118172</v>
      </c>
      <c r="I1526" t="s">
        <v>3536</v>
      </c>
    </row>
    <row r="1527" spans="1:9" x14ac:dyDescent="0.25">
      <c r="A1527" t="s">
        <v>3223</v>
      </c>
      <c r="B1527">
        <v>1</v>
      </c>
      <c r="C1527">
        <v>0.27300000000000002</v>
      </c>
      <c r="D1527" t="s">
        <v>3224</v>
      </c>
      <c r="E1527" t="s">
        <v>20</v>
      </c>
      <c r="F1527" t="s">
        <v>21</v>
      </c>
      <c r="G1527">
        <v>3.6630036630036629</v>
      </c>
      <c r="H1527">
        <v>1.2982834837971773</v>
      </c>
      <c r="I1527" t="s">
        <v>3536</v>
      </c>
    </row>
    <row r="1528" spans="1:9" x14ac:dyDescent="0.25">
      <c r="A1528" t="s">
        <v>3225</v>
      </c>
      <c r="B1528">
        <v>1</v>
      </c>
      <c r="C1528">
        <v>0.33100000000000002</v>
      </c>
      <c r="D1528" t="s">
        <v>1042</v>
      </c>
      <c r="E1528" t="s">
        <v>10</v>
      </c>
      <c r="F1528" t="s">
        <v>11</v>
      </c>
      <c r="G1528">
        <v>3.0211480362537761</v>
      </c>
      <c r="H1528">
        <v>1.1056369036050742</v>
      </c>
      <c r="I1528" t="s">
        <v>3536</v>
      </c>
    </row>
    <row r="1529" spans="1:9" x14ac:dyDescent="0.25">
      <c r="A1529" t="s">
        <v>3226</v>
      </c>
      <c r="B1529">
        <v>1</v>
      </c>
      <c r="C1529">
        <v>0.19500000000000001</v>
      </c>
      <c r="D1529" t="s">
        <v>254</v>
      </c>
      <c r="E1529" t="s">
        <v>10</v>
      </c>
      <c r="F1529" t="s">
        <v>11</v>
      </c>
      <c r="G1529">
        <v>5.1282051282051277</v>
      </c>
      <c r="H1529">
        <v>1.6347557204183902</v>
      </c>
      <c r="I1529" t="s">
        <v>3536</v>
      </c>
    </row>
    <row r="1530" spans="1:9" x14ac:dyDescent="0.25">
      <c r="A1530" t="s">
        <v>3227</v>
      </c>
      <c r="B1530">
        <v>1</v>
      </c>
      <c r="C1530">
        <v>0.307</v>
      </c>
      <c r="D1530" t="s">
        <v>1228</v>
      </c>
      <c r="E1530" t="s">
        <v>44</v>
      </c>
      <c r="F1530" t="s">
        <v>21</v>
      </c>
      <c r="G1530">
        <v>3.2573289902280131</v>
      </c>
      <c r="H1530">
        <v>1.18090753139494</v>
      </c>
      <c r="I1530" t="s">
        <v>3536</v>
      </c>
    </row>
    <row r="1531" spans="1:9" x14ac:dyDescent="0.25">
      <c r="A1531" t="s">
        <v>3228</v>
      </c>
      <c r="B1531">
        <v>1</v>
      </c>
      <c r="C1531">
        <v>0.33600000000000002</v>
      </c>
      <c r="D1531" t="s">
        <v>159</v>
      </c>
      <c r="E1531" t="s">
        <v>10</v>
      </c>
      <c r="F1531" t="s">
        <v>11</v>
      </c>
      <c r="G1531">
        <v>2.9761904761904758</v>
      </c>
      <c r="H1531">
        <v>1.0906441190189327</v>
      </c>
      <c r="I1531" t="s">
        <v>3536</v>
      </c>
    </row>
    <row r="1532" spans="1:9" x14ac:dyDescent="0.25">
      <c r="A1532" t="s">
        <v>3229</v>
      </c>
      <c r="B1532">
        <v>1</v>
      </c>
      <c r="C1532">
        <v>0.217</v>
      </c>
      <c r="D1532" t="s">
        <v>1183</v>
      </c>
      <c r="E1532" t="s">
        <v>365</v>
      </c>
      <c r="F1532" t="s">
        <v>11</v>
      </c>
      <c r="G1532">
        <v>4.6082949308755765</v>
      </c>
      <c r="H1532">
        <v>1.5278579254416775</v>
      </c>
      <c r="I1532" t="s">
        <v>3536</v>
      </c>
    </row>
    <row r="1533" spans="1:9" x14ac:dyDescent="0.25">
      <c r="A1533" t="s">
        <v>3230</v>
      </c>
      <c r="B1533">
        <v>1</v>
      </c>
      <c r="C1533">
        <v>5.7000000000000002E-2</v>
      </c>
      <c r="D1533" t="s">
        <v>3232</v>
      </c>
      <c r="E1533" t="s">
        <v>10</v>
      </c>
      <c r="F1533" t="s">
        <v>11</v>
      </c>
      <c r="G1533">
        <v>17.543859649122805</v>
      </c>
      <c r="H1533">
        <v>2.8647040111475865</v>
      </c>
      <c r="I1533" t="s">
        <v>3536</v>
      </c>
    </row>
    <row r="1534" spans="1:9" x14ac:dyDescent="0.25">
      <c r="A1534" t="s">
        <v>3233</v>
      </c>
      <c r="B1534">
        <v>1</v>
      </c>
      <c r="C1534">
        <v>0.27500000000000002</v>
      </c>
      <c r="D1534" t="s">
        <v>496</v>
      </c>
      <c r="E1534" t="s">
        <v>10</v>
      </c>
      <c r="F1534" t="s">
        <v>11</v>
      </c>
      <c r="G1534">
        <v>3.6363636363636362</v>
      </c>
      <c r="H1534">
        <v>1.2909841813155658</v>
      </c>
      <c r="I1534" t="s">
        <v>3536</v>
      </c>
    </row>
    <row r="1535" spans="1:9" x14ac:dyDescent="0.25">
      <c r="A1535" t="s">
        <v>3234</v>
      </c>
      <c r="B1535">
        <v>1</v>
      </c>
      <c r="C1535">
        <v>0.91</v>
      </c>
      <c r="D1535" t="s">
        <v>3235</v>
      </c>
      <c r="E1535" t="s">
        <v>10</v>
      </c>
      <c r="F1535" t="s">
        <v>11</v>
      </c>
      <c r="G1535">
        <v>1.0989010989010988</v>
      </c>
      <c r="H1535">
        <v>9.4310679471241207E-2</v>
      </c>
      <c r="I1535" t="s">
        <v>3536</v>
      </c>
    </row>
    <row r="1536" spans="1:9" x14ac:dyDescent="0.25">
      <c r="A1536" t="s">
        <v>3236</v>
      </c>
      <c r="B1536">
        <v>1</v>
      </c>
      <c r="C1536">
        <v>1.6E-2</v>
      </c>
      <c r="D1536" t="s">
        <v>254</v>
      </c>
      <c r="E1536" t="s">
        <v>10</v>
      </c>
      <c r="F1536" t="s">
        <v>11</v>
      </c>
      <c r="G1536">
        <v>62.5</v>
      </c>
      <c r="H1536">
        <v>4.1351665567423561</v>
      </c>
      <c r="I1536" t="s">
        <v>3536</v>
      </c>
    </row>
    <row r="1537" spans="1:9" x14ac:dyDescent="0.25">
      <c r="A1537" t="s">
        <v>3238</v>
      </c>
      <c r="B1537">
        <v>1</v>
      </c>
      <c r="C1537">
        <v>0.18099999999999999</v>
      </c>
      <c r="D1537" t="s">
        <v>66</v>
      </c>
      <c r="E1537" t="s">
        <v>10</v>
      </c>
      <c r="F1537" t="s">
        <v>11</v>
      </c>
      <c r="G1537">
        <v>5.5248618784530388</v>
      </c>
      <c r="H1537">
        <v>1.7092582477163114</v>
      </c>
      <c r="I1537" t="s">
        <v>3536</v>
      </c>
    </row>
    <row r="1538" spans="1:9" x14ac:dyDescent="0.25">
      <c r="A1538" t="s">
        <v>3239</v>
      </c>
      <c r="B1538">
        <v>1</v>
      </c>
      <c r="C1538">
        <v>0.187</v>
      </c>
      <c r="D1538" t="s">
        <v>3241</v>
      </c>
      <c r="E1538" t="s">
        <v>10</v>
      </c>
      <c r="F1538" t="s">
        <v>11</v>
      </c>
      <c r="G1538">
        <v>5.3475935828877006</v>
      </c>
      <c r="H1538">
        <v>1.6766466621275504</v>
      </c>
      <c r="I1538" t="s">
        <v>3536</v>
      </c>
    </row>
    <row r="1539" spans="1:9" x14ac:dyDescent="0.25">
      <c r="A1539" t="s">
        <v>3242</v>
      </c>
      <c r="B1539">
        <v>1</v>
      </c>
      <c r="C1539">
        <v>0.13400000000000001</v>
      </c>
      <c r="D1539" t="s">
        <v>3243</v>
      </c>
      <c r="E1539" t="s">
        <v>187</v>
      </c>
      <c r="F1539" t="s">
        <v>50</v>
      </c>
      <c r="G1539">
        <v>7.4626865671641784</v>
      </c>
      <c r="H1539">
        <v>2.0099154790312257</v>
      </c>
      <c r="I1539" t="s">
        <v>3536</v>
      </c>
    </row>
    <row r="1540" spans="1:9" x14ac:dyDescent="0.25">
      <c r="A1540" t="s">
        <v>3244</v>
      </c>
      <c r="B1540">
        <v>1</v>
      </c>
      <c r="C1540">
        <v>3</v>
      </c>
      <c r="D1540" t="s">
        <v>57</v>
      </c>
      <c r="E1540" t="s">
        <v>10</v>
      </c>
      <c r="F1540" t="s">
        <v>11</v>
      </c>
      <c r="G1540">
        <v>0.33333333333333331</v>
      </c>
      <c r="H1540">
        <v>-1.0986122886681098</v>
      </c>
      <c r="I1540" t="s">
        <v>3536</v>
      </c>
    </row>
    <row r="1541" spans="1:9" x14ac:dyDescent="0.25">
      <c r="A1541" t="s">
        <v>3245</v>
      </c>
      <c r="B1541">
        <v>1</v>
      </c>
      <c r="C1541">
        <v>0.45700000000000002</v>
      </c>
      <c r="D1541" t="s">
        <v>2918</v>
      </c>
      <c r="E1541" t="s">
        <v>10</v>
      </c>
      <c r="F1541" t="s">
        <v>11</v>
      </c>
      <c r="G1541">
        <v>2.1881838074398248</v>
      </c>
      <c r="H1541">
        <v>0.78307188808793227</v>
      </c>
      <c r="I1541" t="s">
        <v>3536</v>
      </c>
    </row>
    <row r="1542" spans="1:9" x14ac:dyDescent="0.25">
      <c r="A1542" t="s">
        <v>3246</v>
      </c>
      <c r="B1542">
        <v>1</v>
      </c>
      <c r="C1542">
        <v>0.502</v>
      </c>
      <c r="D1542" t="s">
        <v>3247</v>
      </c>
      <c r="E1542" t="s">
        <v>554</v>
      </c>
      <c r="F1542" t="s">
        <v>526</v>
      </c>
      <c r="G1542">
        <v>1.9920318725099602</v>
      </c>
      <c r="H1542">
        <v>0.68915515929040783</v>
      </c>
      <c r="I1542" t="s">
        <v>3536</v>
      </c>
    </row>
    <row r="1543" spans="1:9" x14ac:dyDescent="0.25">
      <c r="A1543" t="s">
        <v>3248</v>
      </c>
      <c r="B1543">
        <v>1</v>
      </c>
      <c r="C1543">
        <v>0.46300000000000002</v>
      </c>
      <c r="D1543" t="s">
        <v>254</v>
      </c>
      <c r="E1543" t="s">
        <v>10</v>
      </c>
      <c r="F1543" t="s">
        <v>11</v>
      </c>
      <c r="G1543">
        <v>2.159827213822894</v>
      </c>
      <c r="H1543">
        <v>0.77002822489590295</v>
      </c>
      <c r="I1543" t="s">
        <v>3536</v>
      </c>
    </row>
    <row r="1544" spans="1:9" x14ac:dyDescent="0.25">
      <c r="A1544" t="s">
        <v>3249</v>
      </c>
      <c r="B1544">
        <v>1</v>
      </c>
      <c r="C1544">
        <v>0.23899999999999999</v>
      </c>
      <c r="D1544" t="s">
        <v>254</v>
      </c>
      <c r="E1544" t="s">
        <v>10</v>
      </c>
      <c r="F1544" t="s">
        <v>11</v>
      </c>
      <c r="G1544">
        <v>4.1841004184100417</v>
      </c>
      <c r="H1544">
        <v>1.4312917270506262</v>
      </c>
      <c r="I1544" t="s">
        <v>3536</v>
      </c>
    </row>
    <row r="1545" spans="1:9" x14ac:dyDescent="0.25">
      <c r="A1545" t="s">
        <v>3250</v>
      </c>
      <c r="B1545">
        <v>1</v>
      </c>
      <c r="C1545">
        <v>2</v>
      </c>
      <c r="D1545" t="s">
        <v>1434</v>
      </c>
      <c r="E1545" t="s">
        <v>10</v>
      </c>
      <c r="F1545" t="s">
        <v>11</v>
      </c>
      <c r="G1545">
        <v>0.5</v>
      </c>
      <c r="H1545">
        <v>-0.69314718055994529</v>
      </c>
      <c r="I1545" t="s">
        <v>3536</v>
      </c>
    </row>
    <row r="1546" spans="1:9" x14ac:dyDescent="0.25">
      <c r="A1546" t="s">
        <v>3251</v>
      </c>
      <c r="B1546">
        <v>1</v>
      </c>
      <c r="C1546">
        <v>0.38100000000000001</v>
      </c>
      <c r="D1546" t="s">
        <v>3252</v>
      </c>
      <c r="E1546" t="s">
        <v>10</v>
      </c>
      <c r="F1546" t="s">
        <v>11</v>
      </c>
      <c r="G1546">
        <v>2.6246719160104988</v>
      </c>
      <c r="H1546">
        <v>0.96495590385543617</v>
      </c>
      <c r="I1546" t="s">
        <v>3536</v>
      </c>
    </row>
    <row r="1547" spans="1:9" x14ac:dyDescent="0.25">
      <c r="A1547" t="s">
        <v>3253</v>
      </c>
      <c r="B1547">
        <v>1</v>
      </c>
      <c r="C1547">
        <v>0.245</v>
      </c>
      <c r="D1547" t="s">
        <v>1186</v>
      </c>
      <c r="E1547" t="s">
        <v>1172</v>
      </c>
      <c r="F1547" t="s">
        <v>21</v>
      </c>
      <c r="G1547">
        <v>4.0816326530612246</v>
      </c>
      <c r="H1547">
        <v>1.4064970684374101</v>
      </c>
      <c r="I1547" t="s">
        <v>3536</v>
      </c>
    </row>
    <row r="1548" spans="1:9" x14ac:dyDescent="0.25">
      <c r="A1548" t="s">
        <v>3254</v>
      </c>
      <c r="B1548">
        <v>1</v>
      </c>
      <c r="C1548">
        <v>0.45</v>
      </c>
      <c r="D1548" t="s">
        <v>3255</v>
      </c>
      <c r="E1548" t="s">
        <v>10</v>
      </c>
      <c r="F1548" t="s">
        <v>11</v>
      </c>
      <c r="G1548">
        <v>2.2222222222222223</v>
      </c>
      <c r="H1548">
        <v>0.79850769621777162</v>
      </c>
      <c r="I1548" t="s">
        <v>3536</v>
      </c>
    </row>
    <row r="1549" spans="1:9" x14ac:dyDescent="0.25">
      <c r="A1549" t="s">
        <v>1695</v>
      </c>
      <c r="B1549">
        <v>1</v>
      </c>
      <c r="C1549">
        <v>2</v>
      </c>
      <c r="D1549" t="s">
        <v>3256</v>
      </c>
      <c r="E1549" t="s">
        <v>3257</v>
      </c>
      <c r="F1549" t="s">
        <v>50</v>
      </c>
      <c r="G1549">
        <v>0.5</v>
      </c>
      <c r="H1549">
        <v>-0.69314718055994529</v>
      </c>
      <c r="I1549" t="s">
        <v>3536</v>
      </c>
    </row>
    <row r="1550" spans="1:9" x14ac:dyDescent="0.25">
      <c r="A1550" t="s">
        <v>3258</v>
      </c>
      <c r="B1550">
        <v>1</v>
      </c>
      <c r="C1550">
        <v>0.27300000000000002</v>
      </c>
      <c r="D1550" t="s">
        <v>1053</v>
      </c>
      <c r="E1550" t="s">
        <v>652</v>
      </c>
      <c r="F1550" t="s">
        <v>50</v>
      </c>
      <c r="G1550">
        <v>3.6630036630036629</v>
      </c>
      <c r="H1550">
        <v>1.2982834837971773</v>
      </c>
      <c r="I1550" t="s">
        <v>3536</v>
      </c>
    </row>
    <row r="1551" spans="1:9" x14ac:dyDescent="0.25">
      <c r="A1551" t="s">
        <v>3259</v>
      </c>
      <c r="B1551">
        <v>1</v>
      </c>
      <c r="C1551">
        <v>0.35199999999999998</v>
      </c>
      <c r="D1551" t="s">
        <v>3260</v>
      </c>
      <c r="E1551" t="s">
        <v>1035</v>
      </c>
      <c r="F1551" t="s">
        <v>21</v>
      </c>
      <c r="G1551">
        <v>2.8409090909090913</v>
      </c>
      <c r="H1551">
        <v>1.04412410338404</v>
      </c>
      <c r="I1551" t="s">
        <v>3536</v>
      </c>
    </row>
    <row r="1552" spans="1:9" x14ac:dyDescent="0.25">
      <c r="A1552" t="s">
        <v>3261</v>
      </c>
      <c r="B1552">
        <v>1</v>
      </c>
      <c r="C1552">
        <v>6.2E-2</v>
      </c>
      <c r="D1552" t="s">
        <v>177</v>
      </c>
      <c r="E1552" t="s">
        <v>10</v>
      </c>
      <c r="F1552" t="s">
        <v>11</v>
      </c>
      <c r="G1552">
        <v>16.129032258064516</v>
      </c>
      <c r="H1552">
        <v>2.7806208939370456</v>
      </c>
      <c r="I1552" t="s">
        <v>3536</v>
      </c>
    </row>
    <row r="1553" spans="1:9" x14ac:dyDescent="0.25">
      <c r="A1553" t="s">
        <v>3262</v>
      </c>
      <c r="B1553">
        <v>1</v>
      </c>
      <c r="C1553">
        <v>0.19500000000000001</v>
      </c>
      <c r="D1553" t="s">
        <v>3263</v>
      </c>
      <c r="E1553" t="s">
        <v>10</v>
      </c>
      <c r="F1553" t="s">
        <v>11</v>
      </c>
      <c r="G1553">
        <v>5.1282051282051277</v>
      </c>
      <c r="H1553">
        <v>1.6347557204183902</v>
      </c>
      <c r="I1553" t="s">
        <v>3536</v>
      </c>
    </row>
    <row r="1554" spans="1:9" x14ac:dyDescent="0.25">
      <c r="A1554" t="s">
        <v>3264</v>
      </c>
      <c r="B1554">
        <v>1</v>
      </c>
      <c r="C1554">
        <v>0.56799999999999995</v>
      </c>
      <c r="D1554" t="s">
        <v>3036</v>
      </c>
      <c r="E1554" t="s">
        <v>10</v>
      </c>
      <c r="F1554" t="s">
        <v>11</v>
      </c>
      <c r="G1554">
        <v>1.7605633802816902</v>
      </c>
      <c r="H1554">
        <v>0.56563386026098572</v>
      </c>
      <c r="I1554" t="s">
        <v>3536</v>
      </c>
    </row>
    <row r="1555" spans="1:9" x14ac:dyDescent="0.25">
      <c r="A1555" t="s">
        <v>3266</v>
      </c>
      <c r="B1555">
        <v>1</v>
      </c>
      <c r="C1555">
        <v>9.4E-2</v>
      </c>
      <c r="D1555" t="s">
        <v>1361</v>
      </c>
      <c r="E1555" t="s">
        <v>365</v>
      </c>
      <c r="F1555" t="s">
        <v>11</v>
      </c>
      <c r="G1555">
        <v>10.638297872340425</v>
      </c>
      <c r="H1555">
        <v>2.364460496712133</v>
      </c>
      <c r="I1555" t="s">
        <v>3536</v>
      </c>
    </row>
    <row r="1556" spans="1:9" x14ac:dyDescent="0.25">
      <c r="A1556" t="s">
        <v>3267</v>
      </c>
      <c r="B1556">
        <v>1</v>
      </c>
      <c r="C1556">
        <v>0.11</v>
      </c>
      <c r="D1556" t="s">
        <v>2331</v>
      </c>
      <c r="E1556" t="s">
        <v>10</v>
      </c>
      <c r="F1556" t="s">
        <v>11</v>
      </c>
      <c r="G1556">
        <v>9.0909090909090917</v>
      </c>
      <c r="H1556">
        <v>2.2072749131897211</v>
      </c>
      <c r="I1556" t="s">
        <v>3536</v>
      </c>
    </row>
    <row r="1557" spans="1:9" x14ac:dyDescent="0.25">
      <c r="A1557" t="s">
        <v>3268</v>
      </c>
      <c r="B1557">
        <v>1</v>
      </c>
      <c r="C1557">
        <v>0.127</v>
      </c>
      <c r="D1557" t="s">
        <v>641</v>
      </c>
      <c r="E1557" t="s">
        <v>445</v>
      </c>
      <c r="F1557" t="s">
        <v>50</v>
      </c>
      <c r="G1557">
        <v>7.8740157480314963</v>
      </c>
      <c r="H1557">
        <v>2.0635681925235456</v>
      </c>
      <c r="I1557" t="s">
        <v>3536</v>
      </c>
    </row>
    <row r="1558" spans="1:9" x14ac:dyDescent="0.25">
      <c r="A1558" t="s">
        <v>3269</v>
      </c>
      <c r="B1558">
        <v>1</v>
      </c>
      <c r="C1558">
        <v>0.49199999999999999</v>
      </c>
      <c r="D1558" t="s">
        <v>407</v>
      </c>
      <c r="E1558" t="s">
        <v>10</v>
      </c>
      <c r="F1558" t="s">
        <v>11</v>
      </c>
      <c r="G1558">
        <v>2.0325203252032522</v>
      </c>
      <c r="H1558">
        <v>0.70927656248982907</v>
      </c>
      <c r="I1558" t="s">
        <v>3536</v>
      </c>
    </row>
    <row r="1559" spans="1:9" x14ac:dyDescent="0.25">
      <c r="A1559" t="s">
        <v>3270</v>
      </c>
      <c r="B1559">
        <v>1</v>
      </c>
      <c r="C1559">
        <v>0.185</v>
      </c>
      <c r="D1559" t="s">
        <v>496</v>
      </c>
      <c r="E1559" t="s">
        <v>350</v>
      </c>
      <c r="F1559" t="s">
        <v>21</v>
      </c>
      <c r="G1559">
        <v>5.4054054054054053</v>
      </c>
      <c r="H1559">
        <v>1.6873994539038122</v>
      </c>
      <c r="I1559" t="s">
        <v>3536</v>
      </c>
    </row>
    <row r="1560" spans="1:9" x14ac:dyDescent="0.25">
      <c r="A1560" t="s">
        <v>3271</v>
      </c>
      <c r="B1560">
        <v>1</v>
      </c>
      <c r="C1560">
        <v>0.21199999999999999</v>
      </c>
      <c r="D1560" t="s">
        <v>3272</v>
      </c>
      <c r="E1560" t="s">
        <v>1008</v>
      </c>
      <c r="F1560" t="s">
        <v>11</v>
      </c>
      <c r="G1560">
        <v>4.716981132075472</v>
      </c>
      <c r="H1560">
        <v>1.5511690043101247</v>
      </c>
      <c r="I1560" t="s">
        <v>3536</v>
      </c>
    </row>
    <row r="1561" spans="1:9" x14ac:dyDescent="0.25">
      <c r="A1561" t="s">
        <v>3273</v>
      </c>
      <c r="B1561">
        <v>1</v>
      </c>
      <c r="C1561">
        <v>0.19600000000000001</v>
      </c>
      <c r="D1561" t="s">
        <v>254</v>
      </c>
      <c r="E1561" t="s">
        <v>10</v>
      </c>
      <c r="F1561" t="s">
        <v>11</v>
      </c>
      <c r="G1561">
        <v>5.1020408163265305</v>
      </c>
      <c r="H1561">
        <v>1.6296406197516198</v>
      </c>
      <c r="I1561" t="s">
        <v>3536</v>
      </c>
    </row>
    <row r="1562" spans="1:9" x14ac:dyDescent="0.25">
      <c r="A1562" t="s">
        <v>3275</v>
      </c>
      <c r="B1562">
        <v>1</v>
      </c>
      <c r="C1562">
        <v>0.20499999999999999</v>
      </c>
      <c r="D1562" t="s">
        <v>3276</v>
      </c>
      <c r="E1562" t="s">
        <v>2056</v>
      </c>
      <c r="F1562" t="s">
        <v>526</v>
      </c>
      <c r="G1562">
        <v>4.8780487804878048</v>
      </c>
      <c r="H1562">
        <v>1.5847452998437288</v>
      </c>
      <c r="I1562" t="s">
        <v>3536</v>
      </c>
    </row>
    <row r="1563" spans="1:9" x14ac:dyDescent="0.25">
      <c r="A1563" t="s">
        <v>3277</v>
      </c>
      <c r="B1563">
        <v>1</v>
      </c>
      <c r="C1563">
        <v>0.17199999999999999</v>
      </c>
      <c r="D1563" t="s">
        <v>3278</v>
      </c>
      <c r="E1563" t="s">
        <v>10</v>
      </c>
      <c r="F1563" t="s">
        <v>11</v>
      </c>
      <c r="G1563">
        <v>5.8139534883720936</v>
      </c>
      <c r="H1563">
        <v>1.7602608021686841</v>
      </c>
      <c r="I1563" t="s">
        <v>3536</v>
      </c>
    </row>
    <row r="1564" spans="1:9" x14ac:dyDescent="0.25">
      <c r="A1564" t="s">
        <v>3279</v>
      </c>
      <c r="B1564">
        <v>1</v>
      </c>
      <c r="C1564">
        <v>0.32800000000000001</v>
      </c>
      <c r="D1564" t="s">
        <v>2085</v>
      </c>
      <c r="E1564" t="s">
        <v>10</v>
      </c>
      <c r="F1564" t="s">
        <v>11</v>
      </c>
      <c r="G1564">
        <v>3.0487804878048781</v>
      </c>
      <c r="H1564">
        <v>1.1147416705979933</v>
      </c>
      <c r="I1564" t="s">
        <v>3536</v>
      </c>
    </row>
    <row r="1565" spans="1:9" x14ac:dyDescent="0.25">
      <c r="A1565" t="s">
        <v>3280</v>
      </c>
      <c r="B1565">
        <v>1</v>
      </c>
      <c r="C1565">
        <v>0.28899999999999998</v>
      </c>
      <c r="D1565" t="s">
        <v>3281</v>
      </c>
      <c r="E1565" t="s">
        <v>10</v>
      </c>
      <c r="F1565" t="s">
        <v>11</v>
      </c>
      <c r="G1565">
        <v>3.4602076124567476</v>
      </c>
      <c r="H1565">
        <v>1.2413285908697049</v>
      </c>
      <c r="I1565" t="s">
        <v>3536</v>
      </c>
    </row>
    <row r="1566" spans="1:9" x14ac:dyDescent="0.25">
      <c r="A1566" t="s">
        <v>3282</v>
      </c>
      <c r="B1566">
        <v>1</v>
      </c>
      <c r="C1566">
        <v>0.46</v>
      </c>
      <c r="D1566" t="s">
        <v>2848</v>
      </c>
      <c r="E1566" t="s">
        <v>554</v>
      </c>
      <c r="F1566" t="s">
        <v>526</v>
      </c>
      <c r="G1566">
        <v>2.1739130434782608</v>
      </c>
      <c r="H1566">
        <v>0.77652878949899629</v>
      </c>
      <c r="I1566" t="s">
        <v>3536</v>
      </c>
    </row>
    <row r="1567" spans="1:9" x14ac:dyDescent="0.25">
      <c r="A1567" t="s">
        <v>3283</v>
      </c>
      <c r="B1567">
        <v>1</v>
      </c>
      <c r="C1567">
        <v>0.30399999999999999</v>
      </c>
      <c r="D1567" t="s">
        <v>3284</v>
      </c>
      <c r="E1567" t="s">
        <v>10</v>
      </c>
      <c r="F1567" t="s">
        <v>11</v>
      </c>
      <c r="G1567">
        <v>3.2894736842105265</v>
      </c>
      <c r="H1567">
        <v>1.1907275775759154</v>
      </c>
      <c r="I1567" t="s">
        <v>3536</v>
      </c>
    </row>
    <row r="1568" spans="1:9" x14ac:dyDescent="0.25">
      <c r="A1568" t="s">
        <v>3285</v>
      </c>
      <c r="B1568">
        <v>1</v>
      </c>
      <c r="C1568">
        <v>0.2</v>
      </c>
      <c r="D1568" t="s">
        <v>66</v>
      </c>
      <c r="E1568" t="s">
        <v>10</v>
      </c>
      <c r="F1568" t="s">
        <v>11</v>
      </c>
      <c r="G1568">
        <v>5</v>
      </c>
      <c r="H1568">
        <v>1.6094379124341003</v>
      </c>
      <c r="I1568" t="s">
        <v>3536</v>
      </c>
    </row>
    <row r="1569" spans="1:9" x14ac:dyDescent="0.25">
      <c r="A1569" t="s">
        <v>3286</v>
      </c>
      <c r="B1569">
        <v>1</v>
      </c>
      <c r="C1569">
        <v>0.156</v>
      </c>
      <c r="D1569" t="s">
        <v>3287</v>
      </c>
      <c r="E1569" t="s">
        <v>365</v>
      </c>
      <c r="F1569" t="s">
        <v>11</v>
      </c>
      <c r="G1569">
        <v>6.4102564102564106</v>
      </c>
      <c r="H1569">
        <v>1.8578992717326002</v>
      </c>
      <c r="I1569" t="s">
        <v>3536</v>
      </c>
    </row>
    <row r="1570" spans="1:9" x14ac:dyDescent="0.25">
      <c r="A1570" t="s">
        <v>3288</v>
      </c>
      <c r="B1570">
        <v>1</v>
      </c>
      <c r="C1570">
        <v>1</v>
      </c>
      <c r="D1570" t="s">
        <v>980</v>
      </c>
      <c r="E1570" t="s">
        <v>273</v>
      </c>
      <c r="F1570" t="s">
        <v>21</v>
      </c>
      <c r="G1570">
        <v>1</v>
      </c>
      <c r="H1570">
        <v>0</v>
      </c>
      <c r="I1570" t="s">
        <v>3536</v>
      </c>
    </row>
    <row r="1571" spans="1:9" x14ac:dyDescent="0.25">
      <c r="A1571" t="s">
        <v>3289</v>
      </c>
      <c r="B1571">
        <v>1</v>
      </c>
      <c r="C1571">
        <v>0.14000000000000001</v>
      </c>
      <c r="D1571" t="s">
        <v>1186</v>
      </c>
      <c r="E1571" t="s">
        <v>273</v>
      </c>
      <c r="F1571" t="s">
        <v>21</v>
      </c>
      <c r="G1571">
        <v>7.1428571428571423</v>
      </c>
      <c r="H1571">
        <v>1.9661128563728327</v>
      </c>
      <c r="I1571" t="s">
        <v>3536</v>
      </c>
    </row>
    <row r="1572" spans="1:9" x14ac:dyDescent="0.25">
      <c r="A1572" t="s">
        <v>3290</v>
      </c>
      <c r="B1572">
        <v>1</v>
      </c>
      <c r="C1572">
        <v>0.376</v>
      </c>
      <c r="D1572" t="s">
        <v>3291</v>
      </c>
      <c r="E1572" t="s">
        <v>170</v>
      </c>
      <c r="F1572" t="s">
        <v>50</v>
      </c>
      <c r="G1572">
        <v>2.6595744680851063</v>
      </c>
      <c r="H1572">
        <v>0.97816613559224252</v>
      </c>
      <c r="I1572" t="s">
        <v>3536</v>
      </c>
    </row>
    <row r="1573" spans="1:9" x14ac:dyDescent="0.25">
      <c r="A1573" t="s">
        <v>3292</v>
      </c>
      <c r="B1573">
        <v>1</v>
      </c>
      <c r="C1573">
        <v>0.126</v>
      </c>
      <c r="D1573" t="s">
        <v>3294</v>
      </c>
      <c r="E1573" t="s">
        <v>10</v>
      </c>
      <c r="F1573" t="s">
        <v>11</v>
      </c>
      <c r="G1573">
        <v>7.9365079365079367</v>
      </c>
      <c r="H1573">
        <v>2.0714733720306593</v>
      </c>
      <c r="I1573" t="s">
        <v>3536</v>
      </c>
    </row>
    <row r="1574" spans="1:9" x14ac:dyDescent="0.25">
      <c r="A1574" t="s">
        <v>3295</v>
      </c>
      <c r="B1574">
        <v>1</v>
      </c>
      <c r="C1574">
        <v>0.26900000000000002</v>
      </c>
      <c r="D1574" t="s">
        <v>3296</v>
      </c>
      <c r="E1574" t="s">
        <v>10</v>
      </c>
      <c r="F1574" t="s">
        <v>11</v>
      </c>
      <c r="G1574">
        <v>3.7174721189591078</v>
      </c>
      <c r="H1574">
        <v>1.313043899380298</v>
      </c>
      <c r="I1574" t="s">
        <v>3536</v>
      </c>
    </row>
    <row r="1575" spans="1:9" x14ac:dyDescent="0.25">
      <c r="A1575" t="s">
        <v>3297</v>
      </c>
      <c r="B1575">
        <v>1</v>
      </c>
      <c r="C1575">
        <v>0.25900000000000001</v>
      </c>
      <c r="D1575" t="s">
        <v>3299</v>
      </c>
      <c r="E1575" t="s">
        <v>10</v>
      </c>
      <c r="F1575" t="s">
        <v>11</v>
      </c>
      <c r="G1575">
        <v>3.8610038610038608</v>
      </c>
      <c r="H1575">
        <v>1.3509272172825992</v>
      </c>
      <c r="I1575" t="s">
        <v>3536</v>
      </c>
    </row>
    <row r="1576" spans="1:9" x14ac:dyDescent="0.25">
      <c r="A1576" t="s">
        <v>3300</v>
      </c>
      <c r="B1576">
        <v>1</v>
      </c>
      <c r="C1576">
        <v>0.152</v>
      </c>
      <c r="D1576" t="s">
        <v>496</v>
      </c>
      <c r="E1576" t="s">
        <v>10</v>
      </c>
      <c r="F1576" t="s">
        <v>11</v>
      </c>
      <c r="G1576">
        <v>6.5789473684210531</v>
      </c>
      <c r="H1576">
        <v>1.8838747581358608</v>
      </c>
      <c r="I1576" t="s">
        <v>3536</v>
      </c>
    </row>
    <row r="1577" spans="1:9" x14ac:dyDescent="0.25">
      <c r="A1577" t="s">
        <v>3301</v>
      </c>
      <c r="B1577">
        <v>1</v>
      </c>
      <c r="C1577">
        <v>0.16200000000000001</v>
      </c>
      <c r="D1577" t="s">
        <v>3302</v>
      </c>
      <c r="E1577" t="s">
        <v>10</v>
      </c>
      <c r="F1577" t="s">
        <v>11</v>
      </c>
      <c r="G1577">
        <v>6.1728395061728394</v>
      </c>
      <c r="H1577">
        <v>1.820158943749753</v>
      </c>
      <c r="I1577" t="s">
        <v>3536</v>
      </c>
    </row>
    <row r="1578" spans="1:9" x14ac:dyDescent="0.25">
      <c r="A1578" t="s">
        <v>3303</v>
      </c>
      <c r="B1578">
        <v>1</v>
      </c>
      <c r="C1578">
        <v>0.33200000000000002</v>
      </c>
      <c r="D1578" t="s">
        <v>3305</v>
      </c>
      <c r="E1578" t="s">
        <v>187</v>
      </c>
      <c r="F1578" t="s">
        <v>50</v>
      </c>
      <c r="G1578">
        <v>3.012048192771084</v>
      </c>
      <c r="H1578">
        <v>1.1026203100656484</v>
      </c>
      <c r="I1578" t="s">
        <v>3536</v>
      </c>
    </row>
    <row r="1579" spans="1:9" x14ac:dyDescent="0.25">
      <c r="A1579" t="s">
        <v>3306</v>
      </c>
      <c r="B1579">
        <v>1</v>
      </c>
      <c r="C1579">
        <v>0.33300000000000002</v>
      </c>
      <c r="D1579" t="s">
        <v>3307</v>
      </c>
      <c r="E1579" t="s">
        <v>1172</v>
      </c>
      <c r="F1579" t="s">
        <v>21</v>
      </c>
      <c r="G1579">
        <v>3.0030030030030028</v>
      </c>
      <c r="H1579">
        <v>1.0996127890016931</v>
      </c>
      <c r="I1579" t="s">
        <v>3536</v>
      </c>
    </row>
    <row r="1580" spans="1:9" x14ac:dyDescent="0.25">
      <c r="A1580" t="s">
        <v>3308</v>
      </c>
      <c r="B1580">
        <v>1</v>
      </c>
      <c r="C1580">
        <v>0.58799999999999997</v>
      </c>
      <c r="D1580" t="s">
        <v>3309</v>
      </c>
      <c r="E1580" t="s">
        <v>554</v>
      </c>
      <c r="F1580" t="s">
        <v>526</v>
      </c>
      <c r="G1580">
        <v>1.7006802721088436</v>
      </c>
      <c r="H1580">
        <v>0.53102833108351022</v>
      </c>
      <c r="I1580" t="s">
        <v>3536</v>
      </c>
    </row>
    <row r="1581" spans="1:9" x14ac:dyDescent="0.25">
      <c r="A1581" t="s">
        <v>3310</v>
      </c>
      <c r="B1581">
        <v>1</v>
      </c>
      <c r="C1581">
        <v>0.17199999999999999</v>
      </c>
      <c r="D1581" t="s">
        <v>835</v>
      </c>
      <c r="E1581" t="s">
        <v>10</v>
      </c>
      <c r="F1581" t="s">
        <v>11</v>
      </c>
      <c r="G1581">
        <v>5.8139534883720936</v>
      </c>
      <c r="H1581">
        <v>1.7602608021686841</v>
      </c>
      <c r="I1581" t="s">
        <v>3536</v>
      </c>
    </row>
    <row r="1582" spans="1:9" x14ac:dyDescent="0.25">
      <c r="A1582" t="s">
        <v>3311</v>
      </c>
      <c r="B1582">
        <v>1</v>
      </c>
      <c r="C1582">
        <v>0.29499999999999998</v>
      </c>
      <c r="D1582" t="s">
        <v>2085</v>
      </c>
      <c r="E1582" t="s">
        <v>10</v>
      </c>
      <c r="F1582" t="s">
        <v>11</v>
      </c>
      <c r="G1582">
        <v>3.3898305084745766</v>
      </c>
      <c r="H1582">
        <v>1.2207799226423173</v>
      </c>
      <c r="I1582" t="s">
        <v>3536</v>
      </c>
    </row>
    <row r="1583" spans="1:9" x14ac:dyDescent="0.25">
      <c r="A1583" t="s">
        <v>3312</v>
      </c>
      <c r="B1583">
        <v>1</v>
      </c>
      <c r="C1583">
        <v>0.20599999999999999</v>
      </c>
      <c r="D1583" t="s">
        <v>3313</v>
      </c>
      <c r="E1583" t="s">
        <v>170</v>
      </c>
      <c r="F1583" t="s">
        <v>50</v>
      </c>
      <c r="G1583">
        <v>4.8543689320388355</v>
      </c>
      <c r="H1583">
        <v>1.579879110192556</v>
      </c>
      <c r="I1583" t="s">
        <v>3536</v>
      </c>
    </row>
    <row r="1584" spans="1:9" x14ac:dyDescent="0.25">
      <c r="A1584" t="s">
        <v>3314</v>
      </c>
      <c r="B1584">
        <v>1</v>
      </c>
      <c r="C1584">
        <v>0.114</v>
      </c>
      <c r="D1584" t="s">
        <v>3315</v>
      </c>
      <c r="E1584" t="s">
        <v>10</v>
      </c>
      <c r="F1584" t="s">
        <v>11</v>
      </c>
      <c r="G1584">
        <v>8.7719298245614024</v>
      </c>
      <c r="H1584">
        <v>2.1715568305876416</v>
      </c>
      <c r="I1584" t="s">
        <v>3536</v>
      </c>
    </row>
    <row r="1585" spans="1:9" x14ac:dyDescent="0.25">
      <c r="A1585" t="s">
        <v>3316</v>
      </c>
      <c r="B1585">
        <v>1</v>
      </c>
      <c r="C1585">
        <v>0.25900000000000001</v>
      </c>
      <c r="D1585" t="s">
        <v>3317</v>
      </c>
      <c r="E1585" t="s">
        <v>10</v>
      </c>
      <c r="F1585" t="s">
        <v>11</v>
      </c>
      <c r="G1585">
        <v>3.8610038610038608</v>
      </c>
      <c r="H1585">
        <v>1.3509272172825992</v>
      </c>
      <c r="I1585" t="s">
        <v>3536</v>
      </c>
    </row>
    <row r="1586" spans="1:9" x14ac:dyDescent="0.25">
      <c r="A1586" t="s">
        <v>3318</v>
      </c>
      <c r="B1586">
        <v>1</v>
      </c>
      <c r="C1586">
        <v>0.48399999999999999</v>
      </c>
      <c r="D1586" t="s">
        <v>3319</v>
      </c>
      <c r="E1586" t="s">
        <v>10</v>
      </c>
      <c r="F1586" t="s">
        <v>11</v>
      </c>
      <c r="G1586">
        <v>2.0661157024793391</v>
      </c>
      <c r="H1586">
        <v>0.72567037226550546</v>
      </c>
      <c r="I1586" t="s">
        <v>3536</v>
      </c>
    </row>
    <row r="1587" spans="1:9" x14ac:dyDescent="0.25">
      <c r="A1587" t="s">
        <v>3320</v>
      </c>
      <c r="B1587">
        <v>1</v>
      </c>
      <c r="C1587">
        <v>0.33</v>
      </c>
      <c r="D1587" t="s">
        <v>3321</v>
      </c>
      <c r="E1587" t="s">
        <v>230</v>
      </c>
      <c r="F1587" t="s">
        <v>50</v>
      </c>
      <c r="G1587">
        <v>3.0303030303030303</v>
      </c>
      <c r="H1587">
        <v>1.1086626245216111</v>
      </c>
      <c r="I1587" t="s">
        <v>3536</v>
      </c>
    </row>
    <row r="1588" spans="1:9" x14ac:dyDescent="0.25">
      <c r="A1588" t="s">
        <v>3322</v>
      </c>
      <c r="B1588">
        <v>1</v>
      </c>
      <c r="C1588">
        <v>9.1999999999999998E-2</v>
      </c>
      <c r="D1588" t="s">
        <v>816</v>
      </c>
      <c r="E1588" t="s">
        <v>350</v>
      </c>
      <c r="F1588" t="s">
        <v>21</v>
      </c>
      <c r="G1588">
        <v>10.869565217391305</v>
      </c>
      <c r="H1588">
        <v>2.3859667019330968</v>
      </c>
      <c r="I1588" t="s">
        <v>3536</v>
      </c>
    </row>
    <row r="1589" spans="1:9" x14ac:dyDescent="0.25">
      <c r="A1589" t="s">
        <v>3324</v>
      </c>
      <c r="B1589">
        <v>1</v>
      </c>
      <c r="C1589">
        <v>0.16300000000000001</v>
      </c>
      <c r="D1589" t="s">
        <v>3325</v>
      </c>
      <c r="E1589" t="s">
        <v>10</v>
      </c>
      <c r="F1589" t="s">
        <v>11</v>
      </c>
      <c r="G1589">
        <v>6.1349693251533743</v>
      </c>
      <c r="H1589">
        <v>1.8140050781753747</v>
      </c>
      <c r="I1589" t="s">
        <v>3536</v>
      </c>
    </row>
    <row r="1590" spans="1:9" x14ac:dyDescent="0.25">
      <c r="A1590" t="s">
        <v>3326</v>
      </c>
      <c r="B1590">
        <v>1</v>
      </c>
      <c r="C1590">
        <v>0.27600000000000002</v>
      </c>
      <c r="D1590" t="s">
        <v>3327</v>
      </c>
      <c r="E1590" t="s">
        <v>49</v>
      </c>
      <c r="F1590" t="s">
        <v>50</v>
      </c>
      <c r="G1590">
        <v>3.6231884057971011</v>
      </c>
      <c r="H1590">
        <v>1.287354413264987</v>
      </c>
      <c r="I1590" t="s">
        <v>3536</v>
      </c>
    </row>
    <row r="1591" spans="1:9" x14ac:dyDescent="0.25">
      <c r="A1591" t="s">
        <v>3328</v>
      </c>
      <c r="B1591">
        <v>1</v>
      </c>
      <c r="C1591">
        <v>0.183</v>
      </c>
      <c r="D1591" t="s">
        <v>3329</v>
      </c>
      <c r="E1591" t="s">
        <v>365</v>
      </c>
      <c r="F1591" t="s">
        <v>11</v>
      </c>
      <c r="G1591">
        <v>5.4644808743169397</v>
      </c>
      <c r="H1591">
        <v>1.6982691261407161</v>
      </c>
      <c r="I1591" t="s">
        <v>3536</v>
      </c>
    </row>
    <row r="1592" spans="1:9" x14ac:dyDescent="0.25">
      <c r="A1592" t="s">
        <v>3330</v>
      </c>
      <c r="B1592">
        <v>1</v>
      </c>
      <c r="C1592">
        <v>0.47899999999999998</v>
      </c>
      <c r="D1592" t="s">
        <v>373</v>
      </c>
      <c r="E1592" t="s">
        <v>242</v>
      </c>
      <c r="F1592" t="s">
        <v>21</v>
      </c>
      <c r="G1592">
        <v>2.0876826722338206</v>
      </c>
      <c r="H1592">
        <v>0.73605468157122189</v>
      </c>
      <c r="I1592" t="s">
        <v>3536</v>
      </c>
    </row>
    <row r="1593" spans="1:9" x14ac:dyDescent="0.25">
      <c r="A1593" t="s">
        <v>3331</v>
      </c>
      <c r="B1593">
        <v>1</v>
      </c>
      <c r="C1593">
        <v>0.72099999999999997</v>
      </c>
      <c r="D1593" t="s">
        <v>254</v>
      </c>
      <c r="E1593" t="s">
        <v>20</v>
      </c>
      <c r="F1593" t="s">
        <v>21</v>
      </c>
      <c r="G1593">
        <v>1.3869625520110958</v>
      </c>
      <c r="H1593">
        <v>0.327116141697188</v>
      </c>
      <c r="I1593" t="s">
        <v>3536</v>
      </c>
    </row>
    <row r="1594" spans="1:9" x14ac:dyDescent="0.25">
      <c r="A1594" t="s">
        <v>3332</v>
      </c>
      <c r="B1594">
        <v>1</v>
      </c>
      <c r="C1594">
        <v>1</v>
      </c>
      <c r="D1594" t="s">
        <v>3333</v>
      </c>
      <c r="E1594" t="s">
        <v>20</v>
      </c>
      <c r="F1594" t="s">
        <v>21</v>
      </c>
      <c r="G1594">
        <v>1</v>
      </c>
      <c r="H1594">
        <v>0</v>
      </c>
      <c r="I1594" t="s">
        <v>3536</v>
      </c>
    </row>
    <row r="1595" spans="1:9" x14ac:dyDescent="0.25">
      <c r="A1595" t="s">
        <v>3334</v>
      </c>
      <c r="B1595">
        <v>1</v>
      </c>
      <c r="C1595">
        <v>5.7000000000000002E-2</v>
      </c>
      <c r="D1595" t="s">
        <v>2842</v>
      </c>
      <c r="E1595" t="s">
        <v>10</v>
      </c>
      <c r="F1595" t="s">
        <v>11</v>
      </c>
      <c r="G1595">
        <v>17.543859649122805</v>
      </c>
      <c r="H1595">
        <v>2.8647040111475865</v>
      </c>
      <c r="I1595" t="s">
        <v>3536</v>
      </c>
    </row>
    <row r="1596" spans="1:9" x14ac:dyDescent="0.25">
      <c r="A1596" t="s">
        <v>3335</v>
      </c>
      <c r="B1596">
        <v>1</v>
      </c>
      <c r="C1596">
        <v>0.1</v>
      </c>
      <c r="D1596" t="s">
        <v>1183</v>
      </c>
      <c r="E1596" t="s">
        <v>10</v>
      </c>
      <c r="F1596" t="s">
        <v>11</v>
      </c>
      <c r="G1596">
        <v>10</v>
      </c>
      <c r="H1596">
        <v>2.3025850929940459</v>
      </c>
      <c r="I1596" t="s">
        <v>3536</v>
      </c>
    </row>
    <row r="1597" spans="1:9" x14ac:dyDescent="0.25">
      <c r="A1597" t="s">
        <v>3336</v>
      </c>
      <c r="B1597">
        <v>1</v>
      </c>
      <c r="C1597">
        <v>0.53700000000000003</v>
      </c>
      <c r="D1597" t="s">
        <v>3337</v>
      </c>
      <c r="E1597" t="s">
        <v>3338</v>
      </c>
      <c r="F1597" t="s">
        <v>21</v>
      </c>
      <c r="G1597">
        <v>1.8621973929236497</v>
      </c>
      <c r="H1597">
        <v>0.62175718447327222</v>
      </c>
      <c r="I1597" t="s">
        <v>3536</v>
      </c>
    </row>
    <row r="1598" spans="1:9" x14ac:dyDescent="0.25">
      <c r="A1598" t="s">
        <v>3339</v>
      </c>
      <c r="B1598">
        <v>1</v>
      </c>
      <c r="C1598">
        <v>0.39100000000000001</v>
      </c>
      <c r="D1598" t="s">
        <v>3340</v>
      </c>
      <c r="E1598" t="s">
        <v>20</v>
      </c>
      <c r="F1598" t="s">
        <v>21</v>
      </c>
      <c r="G1598">
        <v>2.5575447570332481</v>
      </c>
      <c r="H1598">
        <v>0.93904771899677131</v>
      </c>
      <c r="I1598" t="s">
        <v>3536</v>
      </c>
    </row>
    <row r="1599" spans="1:9" x14ac:dyDescent="0.25">
      <c r="A1599" t="s">
        <v>3341</v>
      </c>
      <c r="B1599">
        <v>1</v>
      </c>
      <c r="C1599">
        <v>0.377</v>
      </c>
      <c r="D1599" t="s">
        <v>3343</v>
      </c>
      <c r="E1599" t="s">
        <v>20</v>
      </c>
      <c r="F1599" t="s">
        <v>21</v>
      </c>
      <c r="G1599">
        <v>2.6525198938992043</v>
      </c>
      <c r="H1599">
        <v>0.97551009153412627</v>
      </c>
      <c r="I1599" t="s">
        <v>3536</v>
      </c>
    </row>
    <row r="1600" spans="1:9" x14ac:dyDescent="0.25">
      <c r="A1600" t="s">
        <v>3344</v>
      </c>
      <c r="B1600">
        <v>1</v>
      </c>
      <c r="C1600">
        <v>0.377</v>
      </c>
      <c r="D1600" t="s">
        <v>3345</v>
      </c>
      <c r="E1600" t="s">
        <v>273</v>
      </c>
      <c r="F1600" t="s">
        <v>21</v>
      </c>
      <c r="G1600">
        <v>2.6525198938992043</v>
      </c>
      <c r="H1600">
        <v>0.97551009153412627</v>
      </c>
      <c r="I1600" t="s">
        <v>3536</v>
      </c>
    </row>
    <row r="1601" spans="1:9" x14ac:dyDescent="0.25">
      <c r="A1601" t="s">
        <v>3346</v>
      </c>
      <c r="B1601">
        <v>1</v>
      </c>
      <c r="C1601">
        <v>0.14099999999999999</v>
      </c>
      <c r="D1601" t="s">
        <v>148</v>
      </c>
      <c r="E1601" t="s">
        <v>10</v>
      </c>
      <c r="F1601" t="s">
        <v>11</v>
      </c>
      <c r="G1601">
        <v>7.0921985815602842</v>
      </c>
      <c r="H1601">
        <v>1.9589953886039688</v>
      </c>
      <c r="I1601" t="s">
        <v>3536</v>
      </c>
    </row>
    <row r="1602" spans="1:9" x14ac:dyDescent="0.25">
      <c r="A1602" t="s">
        <v>3347</v>
      </c>
      <c r="B1602">
        <v>1</v>
      </c>
      <c r="C1602">
        <v>0.443</v>
      </c>
      <c r="D1602" t="s">
        <v>3349</v>
      </c>
      <c r="E1602" t="s">
        <v>222</v>
      </c>
      <c r="F1602" t="s">
        <v>50</v>
      </c>
      <c r="G1602">
        <v>2.2573363431151243</v>
      </c>
      <c r="H1602">
        <v>0.81418550893700148</v>
      </c>
      <c r="I1602" t="s">
        <v>3536</v>
      </c>
    </row>
    <row r="1603" spans="1:9" x14ac:dyDescent="0.25">
      <c r="A1603" t="s">
        <v>3350</v>
      </c>
      <c r="B1603">
        <v>1</v>
      </c>
      <c r="C1603">
        <v>0.29199999999999998</v>
      </c>
      <c r="D1603" t="s">
        <v>1186</v>
      </c>
      <c r="E1603" t="s">
        <v>20</v>
      </c>
      <c r="F1603" t="s">
        <v>21</v>
      </c>
      <c r="G1603">
        <v>3.4246575342465757</v>
      </c>
      <c r="H1603">
        <v>1.2310014767138555</v>
      </c>
      <c r="I1603" t="s">
        <v>3536</v>
      </c>
    </row>
    <row r="1604" spans="1:9" x14ac:dyDescent="0.25">
      <c r="A1604" t="s">
        <v>3351</v>
      </c>
      <c r="B1604">
        <v>1</v>
      </c>
      <c r="C1604">
        <v>0.33600000000000002</v>
      </c>
      <c r="D1604" t="s">
        <v>3352</v>
      </c>
      <c r="E1604" t="s">
        <v>554</v>
      </c>
      <c r="F1604" t="s">
        <v>526</v>
      </c>
      <c r="G1604">
        <v>2.9761904761904758</v>
      </c>
      <c r="H1604">
        <v>1.0906441190189327</v>
      </c>
      <c r="I1604" t="s">
        <v>3536</v>
      </c>
    </row>
    <row r="1605" spans="1:9" x14ac:dyDescent="0.25">
      <c r="A1605" t="s">
        <v>3353</v>
      </c>
      <c r="B1605">
        <v>1</v>
      </c>
      <c r="C1605">
        <v>0.23499999999999999</v>
      </c>
      <c r="D1605" t="s">
        <v>1318</v>
      </c>
      <c r="E1605" t="s">
        <v>20</v>
      </c>
      <c r="F1605" t="s">
        <v>21</v>
      </c>
      <c r="G1605">
        <v>4.2553191489361701</v>
      </c>
      <c r="H1605">
        <v>1.4481697648379781</v>
      </c>
      <c r="I1605" t="s">
        <v>3536</v>
      </c>
    </row>
    <row r="1606" spans="1:9" x14ac:dyDescent="0.25">
      <c r="A1606" t="s">
        <v>3354</v>
      </c>
      <c r="B1606">
        <v>1</v>
      </c>
      <c r="C1606">
        <v>9.6000000000000002E-2</v>
      </c>
      <c r="D1606" t="s">
        <v>2782</v>
      </c>
      <c r="E1606" t="s">
        <v>20</v>
      </c>
      <c r="F1606" t="s">
        <v>21</v>
      </c>
      <c r="G1606">
        <v>10.416666666666666</v>
      </c>
      <c r="H1606">
        <v>2.3434070875143007</v>
      </c>
      <c r="I1606" t="s">
        <v>3536</v>
      </c>
    </row>
    <row r="1607" spans="1:9" x14ac:dyDescent="0.25">
      <c r="A1607" t="s">
        <v>3355</v>
      </c>
      <c r="B1607">
        <v>1</v>
      </c>
      <c r="C1607">
        <v>0.27</v>
      </c>
      <c r="D1607" t="s">
        <v>3356</v>
      </c>
      <c r="E1607" t="s">
        <v>170</v>
      </c>
      <c r="F1607" t="s">
        <v>50</v>
      </c>
      <c r="G1607">
        <v>3.7037037037037033</v>
      </c>
      <c r="H1607">
        <v>1.3093333199837622</v>
      </c>
      <c r="I1607" t="s">
        <v>3536</v>
      </c>
    </row>
    <row r="1608" spans="1:9" x14ac:dyDescent="0.25">
      <c r="A1608" t="s">
        <v>3357</v>
      </c>
      <c r="B1608">
        <v>1</v>
      </c>
      <c r="C1608">
        <v>0.45</v>
      </c>
      <c r="D1608" t="s">
        <v>3358</v>
      </c>
      <c r="E1608" t="s">
        <v>20</v>
      </c>
      <c r="F1608" t="s">
        <v>21</v>
      </c>
      <c r="G1608">
        <v>2.2222222222222223</v>
      </c>
      <c r="H1608">
        <v>0.79850769621777162</v>
      </c>
      <c r="I1608" t="s">
        <v>3536</v>
      </c>
    </row>
    <row r="1609" spans="1:9" x14ac:dyDescent="0.25">
      <c r="A1609" t="s">
        <v>3359</v>
      </c>
      <c r="B1609">
        <v>1</v>
      </c>
      <c r="C1609">
        <v>0.442</v>
      </c>
      <c r="D1609" t="s">
        <v>79</v>
      </c>
      <c r="E1609" t="s">
        <v>10</v>
      </c>
      <c r="F1609" t="s">
        <v>11</v>
      </c>
      <c r="G1609">
        <v>2.2624434389140271</v>
      </c>
      <c r="H1609">
        <v>0.81644539690443896</v>
      </c>
      <c r="I1609" t="s">
        <v>3536</v>
      </c>
    </row>
    <row r="1610" spans="1:9" x14ac:dyDescent="0.25">
      <c r="A1610" t="s">
        <v>3361</v>
      </c>
      <c r="B1610">
        <v>1</v>
      </c>
      <c r="C1610">
        <v>0.105</v>
      </c>
      <c r="D1610" t="s">
        <v>752</v>
      </c>
      <c r="E1610" t="s">
        <v>10</v>
      </c>
      <c r="F1610" t="s">
        <v>11</v>
      </c>
      <c r="G1610">
        <v>9.5238095238095237</v>
      </c>
      <c r="H1610">
        <v>2.2537949288246137</v>
      </c>
      <c r="I1610" t="s">
        <v>3536</v>
      </c>
    </row>
    <row r="1611" spans="1:9" x14ac:dyDescent="0.25">
      <c r="A1611" t="s">
        <v>3362</v>
      </c>
      <c r="B1611">
        <v>1</v>
      </c>
      <c r="C1611">
        <v>8.5999999999999993E-2</v>
      </c>
      <c r="D1611" t="s">
        <v>3364</v>
      </c>
      <c r="E1611" t="s">
        <v>350</v>
      </c>
      <c r="F1611" t="s">
        <v>21</v>
      </c>
      <c r="G1611">
        <v>11.627906976744187</v>
      </c>
      <c r="H1611">
        <v>2.4534079827286295</v>
      </c>
      <c r="I1611" t="s">
        <v>3536</v>
      </c>
    </row>
    <row r="1612" spans="1:9" x14ac:dyDescent="0.25">
      <c r="A1612" t="s">
        <v>3365</v>
      </c>
      <c r="B1612">
        <v>1</v>
      </c>
      <c r="C1612">
        <v>0.187</v>
      </c>
      <c r="D1612" t="s">
        <v>2149</v>
      </c>
      <c r="E1612" t="s">
        <v>20</v>
      </c>
      <c r="F1612" t="s">
        <v>21</v>
      </c>
      <c r="G1612">
        <v>5.3475935828877006</v>
      </c>
      <c r="H1612">
        <v>1.6766466621275504</v>
      </c>
      <c r="I1612" t="s">
        <v>3536</v>
      </c>
    </row>
    <row r="1613" spans="1:9" x14ac:dyDescent="0.25">
      <c r="A1613" t="s">
        <v>3366</v>
      </c>
      <c r="B1613">
        <v>1</v>
      </c>
      <c r="C1613">
        <v>0.99</v>
      </c>
      <c r="D1613" t="s">
        <v>3224</v>
      </c>
      <c r="E1613" t="s">
        <v>20</v>
      </c>
      <c r="F1613" t="s">
        <v>21</v>
      </c>
      <c r="G1613">
        <v>1.0101010101010102</v>
      </c>
      <c r="H1613">
        <v>1.0050335853501506E-2</v>
      </c>
      <c r="I1613" t="s">
        <v>3536</v>
      </c>
    </row>
    <row r="1614" spans="1:9" x14ac:dyDescent="0.25">
      <c r="A1614" t="s">
        <v>3368</v>
      </c>
      <c r="B1614">
        <v>1</v>
      </c>
      <c r="C1614">
        <v>0.3</v>
      </c>
      <c r="D1614" t="s">
        <v>1186</v>
      </c>
      <c r="E1614" t="s">
        <v>20</v>
      </c>
      <c r="F1614" t="s">
        <v>21</v>
      </c>
      <c r="G1614">
        <v>3.3333333333333335</v>
      </c>
      <c r="H1614">
        <v>1.2039728043259361</v>
      </c>
      <c r="I1614" t="s">
        <v>3536</v>
      </c>
    </row>
    <row r="1615" spans="1:9" x14ac:dyDescent="0.25">
      <c r="A1615" t="s">
        <v>3369</v>
      </c>
      <c r="B1615">
        <v>1</v>
      </c>
      <c r="C1615">
        <v>0</v>
      </c>
      <c r="E1615" t="s">
        <v>49</v>
      </c>
      <c r="F1615" t="s">
        <v>50</v>
      </c>
      <c r="G1615" t="s">
        <v>3535</v>
      </c>
      <c r="H1615" t="s">
        <v>3535</v>
      </c>
      <c r="I1615" t="s">
        <v>3537</v>
      </c>
    </row>
    <row r="1616" spans="1:9" x14ac:dyDescent="0.25">
      <c r="A1616" t="s">
        <v>3370</v>
      </c>
      <c r="B1616">
        <v>1</v>
      </c>
      <c r="C1616">
        <v>0.224</v>
      </c>
      <c r="D1616" t="s">
        <v>3371</v>
      </c>
      <c r="E1616" t="s">
        <v>20</v>
      </c>
      <c r="F1616" t="s">
        <v>21</v>
      </c>
      <c r="G1616">
        <v>4.4642857142857144</v>
      </c>
      <c r="H1616">
        <v>1.4961092271270973</v>
      </c>
      <c r="I1616" t="s">
        <v>3536</v>
      </c>
    </row>
    <row r="1617" spans="1:9" x14ac:dyDescent="0.25">
      <c r="A1617" t="s">
        <v>3372</v>
      </c>
      <c r="B1617">
        <v>1</v>
      </c>
      <c r="C1617">
        <v>0.109</v>
      </c>
      <c r="D1617" t="s">
        <v>3374</v>
      </c>
      <c r="E1617" t="s">
        <v>652</v>
      </c>
      <c r="F1617" t="s">
        <v>50</v>
      </c>
      <c r="G1617">
        <v>9.1743119266055047</v>
      </c>
      <c r="H1617">
        <v>2.2164073967529934</v>
      </c>
      <c r="I1617" t="s">
        <v>3536</v>
      </c>
    </row>
    <row r="1618" spans="1:9" x14ac:dyDescent="0.25">
      <c r="A1618" t="s">
        <v>3375</v>
      </c>
      <c r="B1618">
        <v>1</v>
      </c>
      <c r="C1618">
        <v>0.2</v>
      </c>
      <c r="D1618" t="s">
        <v>3376</v>
      </c>
      <c r="E1618" t="s">
        <v>10</v>
      </c>
      <c r="F1618" t="s">
        <v>11</v>
      </c>
      <c r="G1618">
        <v>5</v>
      </c>
      <c r="H1618">
        <v>1.6094379124341003</v>
      </c>
      <c r="I1618" t="s">
        <v>3536</v>
      </c>
    </row>
    <row r="1619" spans="1:9" x14ac:dyDescent="0.25">
      <c r="A1619" t="s">
        <v>3377</v>
      </c>
      <c r="B1619">
        <v>1</v>
      </c>
      <c r="C1619">
        <v>5.0999999999999997E-2</v>
      </c>
      <c r="D1619" t="s">
        <v>159</v>
      </c>
      <c r="E1619" t="s">
        <v>20</v>
      </c>
      <c r="F1619" t="s">
        <v>21</v>
      </c>
      <c r="G1619">
        <v>19.607843137254903</v>
      </c>
      <c r="H1619">
        <v>2.9759296462578115</v>
      </c>
      <c r="I1619" t="s">
        <v>3536</v>
      </c>
    </row>
    <row r="1620" spans="1:9" x14ac:dyDescent="0.25">
      <c r="A1620" t="s">
        <v>3378</v>
      </c>
      <c r="B1620">
        <v>1</v>
      </c>
      <c r="C1620">
        <v>0.19</v>
      </c>
      <c r="E1620" t="s">
        <v>20</v>
      </c>
      <c r="F1620" t="s">
        <v>21</v>
      </c>
      <c r="G1620">
        <v>5.2631578947368425</v>
      </c>
      <c r="H1620">
        <v>1.6607312068216509</v>
      </c>
      <c r="I1620" t="s">
        <v>3536</v>
      </c>
    </row>
    <row r="1621" spans="1:9" x14ac:dyDescent="0.25">
      <c r="A1621" t="s">
        <v>3379</v>
      </c>
      <c r="B1621">
        <v>1</v>
      </c>
      <c r="C1621">
        <v>0.55000000000000004</v>
      </c>
      <c r="D1621" t="s">
        <v>3380</v>
      </c>
      <c r="E1621" t="s">
        <v>326</v>
      </c>
      <c r="F1621" t="s">
        <v>21</v>
      </c>
      <c r="G1621">
        <v>1.8181818181818181</v>
      </c>
      <c r="H1621">
        <v>0.59783700075562041</v>
      </c>
      <c r="I1621" t="s">
        <v>3536</v>
      </c>
    </row>
    <row r="1622" spans="1:9" x14ac:dyDescent="0.25">
      <c r="A1622" t="s">
        <v>3381</v>
      </c>
      <c r="B1622">
        <v>1</v>
      </c>
      <c r="C1622">
        <v>0.1</v>
      </c>
      <c r="D1622" t="s">
        <v>3382</v>
      </c>
      <c r="E1622" t="s">
        <v>294</v>
      </c>
      <c r="F1622" t="s">
        <v>21</v>
      </c>
      <c r="G1622">
        <v>10</v>
      </c>
      <c r="H1622">
        <v>2.3025850929940459</v>
      </c>
      <c r="I1622" t="s">
        <v>3536</v>
      </c>
    </row>
    <row r="1623" spans="1:9" x14ac:dyDescent="0.25">
      <c r="A1623" t="s">
        <v>3383</v>
      </c>
      <c r="B1623">
        <v>1</v>
      </c>
      <c r="C1623">
        <v>0.32100000000000001</v>
      </c>
      <c r="D1623" t="s">
        <v>3385</v>
      </c>
      <c r="E1623" t="s">
        <v>1564</v>
      </c>
      <c r="F1623" t="s">
        <v>109</v>
      </c>
      <c r="G1623">
        <v>3.1152647975077881</v>
      </c>
      <c r="H1623">
        <v>1.1363141558521213</v>
      </c>
      <c r="I1623" t="s">
        <v>3536</v>
      </c>
    </row>
    <row r="1624" spans="1:9" x14ac:dyDescent="0.25">
      <c r="A1624" t="s">
        <v>3386</v>
      </c>
      <c r="B1624">
        <v>1</v>
      </c>
      <c r="C1624">
        <v>0.253</v>
      </c>
      <c r="D1624" t="s">
        <v>3387</v>
      </c>
      <c r="E1624" t="s">
        <v>20</v>
      </c>
      <c r="F1624" t="s">
        <v>21</v>
      </c>
      <c r="G1624">
        <v>3.9525691699604741</v>
      </c>
      <c r="H1624">
        <v>1.3743657902546167</v>
      </c>
      <c r="I1624" t="s">
        <v>3536</v>
      </c>
    </row>
    <row r="1625" spans="1:9" x14ac:dyDescent="0.25">
      <c r="A1625" t="s">
        <v>3388</v>
      </c>
      <c r="B1625">
        <v>1</v>
      </c>
      <c r="C1625">
        <v>5.0999999999999997E-2</v>
      </c>
      <c r="D1625" t="s">
        <v>3389</v>
      </c>
      <c r="E1625" t="s">
        <v>10</v>
      </c>
      <c r="F1625" t="s">
        <v>11</v>
      </c>
      <c r="G1625">
        <v>19.607843137254903</v>
      </c>
      <c r="H1625">
        <v>2.9759296462578115</v>
      </c>
      <c r="I1625" t="s">
        <v>3536</v>
      </c>
    </row>
    <row r="1626" spans="1:9" x14ac:dyDescent="0.25">
      <c r="A1626" t="s">
        <v>3390</v>
      </c>
      <c r="B1626">
        <v>1</v>
      </c>
      <c r="C1626">
        <v>0.23200000000000001</v>
      </c>
      <c r="D1626" t="s">
        <v>2168</v>
      </c>
      <c r="E1626" t="s">
        <v>20</v>
      </c>
      <c r="F1626" t="s">
        <v>21</v>
      </c>
      <c r="G1626">
        <v>4.3103448275862064</v>
      </c>
      <c r="H1626">
        <v>1.4610179073158269</v>
      </c>
      <c r="I1626" t="s">
        <v>3536</v>
      </c>
    </row>
    <row r="1627" spans="1:9" x14ac:dyDescent="0.25">
      <c r="A1627" t="s">
        <v>3391</v>
      </c>
      <c r="B1627">
        <v>1</v>
      </c>
      <c r="C1627">
        <v>0.17</v>
      </c>
      <c r="D1627" t="s">
        <v>3392</v>
      </c>
      <c r="E1627" t="s">
        <v>445</v>
      </c>
      <c r="F1627" t="s">
        <v>50</v>
      </c>
      <c r="G1627">
        <v>5.8823529411764701</v>
      </c>
      <c r="H1627">
        <v>1.7719568419318752</v>
      </c>
      <c r="I1627" t="s">
        <v>3536</v>
      </c>
    </row>
    <row r="1628" spans="1:9" x14ac:dyDescent="0.25">
      <c r="A1628" t="s">
        <v>3393</v>
      </c>
      <c r="B1628">
        <v>1</v>
      </c>
      <c r="C1628">
        <v>0.34899999999999998</v>
      </c>
      <c r="D1628" t="s">
        <v>3395</v>
      </c>
      <c r="E1628" t="s">
        <v>20</v>
      </c>
      <c r="F1628" t="s">
        <v>21</v>
      </c>
      <c r="G1628">
        <v>2.8653295128939829</v>
      </c>
      <c r="H1628">
        <v>1.0526833567797098</v>
      </c>
      <c r="I1628" t="s">
        <v>3536</v>
      </c>
    </row>
    <row r="1629" spans="1:9" x14ac:dyDescent="0.25">
      <c r="A1629" t="s">
        <v>3396</v>
      </c>
      <c r="B1629">
        <v>1</v>
      </c>
      <c r="C1629">
        <v>0.68200000000000005</v>
      </c>
      <c r="D1629" t="s">
        <v>578</v>
      </c>
      <c r="E1629" t="s">
        <v>20</v>
      </c>
      <c r="F1629" t="s">
        <v>21</v>
      </c>
      <c r="G1629">
        <v>1.4662756598240467</v>
      </c>
      <c r="H1629">
        <v>0.38272562113867481</v>
      </c>
      <c r="I1629" t="s">
        <v>3536</v>
      </c>
    </row>
    <row r="1630" spans="1:9" x14ac:dyDescent="0.25">
      <c r="A1630" t="s">
        <v>3398</v>
      </c>
      <c r="B1630">
        <v>1</v>
      </c>
      <c r="C1630">
        <v>0.26900000000000002</v>
      </c>
      <c r="D1630" t="s">
        <v>3206</v>
      </c>
      <c r="E1630" t="s">
        <v>10</v>
      </c>
      <c r="F1630" t="s">
        <v>11</v>
      </c>
      <c r="G1630">
        <v>3.7174721189591078</v>
      </c>
      <c r="H1630">
        <v>1.313043899380298</v>
      </c>
      <c r="I1630" t="s">
        <v>3536</v>
      </c>
    </row>
    <row r="1631" spans="1:9" x14ac:dyDescent="0.25">
      <c r="A1631" t="s">
        <v>3399</v>
      </c>
      <c r="B1631">
        <v>1</v>
      </c>
      <c r="C1631">
        <v>0.52800000000000002</v>
      </c>
      <c r="D1631" t="s">
        <v>15</v>
      </c>
      <c r="E1631" t="s">
        <v>10</v>
      </c>
      <c r="F1631" t="s">
        <v>11</v>
      </c>
      <c r="G1631">
        <v>1.8939393939393938</v>
      </c>
      <c r="H1631">
        <v>0.63865899527587555</v>
      </c>
      <c r="I1631" t="s">
        <v>3536</v>
      </c>
    </row>
    <row r="1632" spans="1:9" x14ac:dyDescent="0.25">
      <c r="A1632" t="s">
        <v>3401</v>
      </c>
      <c r="B1632">
        <v>1</v>
      </c>
      <c r="C1632">
        <v>0.3</v>
      </c>
      <c r="E1632" t="s">
        <v>20</v>
      </c>
      <c r="F1632" t="s">
        <v>21</v>
      </c>
      <c r="G1632">
        <v>3.3333333333333335</v>
      </c>
      <c r="H1632">
        <v>1.2039728043259361</v>
      </c>
      <c r="I1632" t="s">
        <v>3536</v>
      </c>
    </row>
    <row r="1633" spans="1:9" x14ac:dyDescent="0.25">
      <c r="A1633" t="s">
        <v>3402</v>
      </c>
      <c r="B1633">
        <v>1</v>
      </c>
      <c r="C1633">
        <v>0.69699999999999995</v>
      </c>
      <c r="D1633" t="s">
        <v>559</v>
      </c>
      <c r="E1633" t="s">
        <v>20</v>
      </c>
      <c r="F1633" t="s">
        <v>21</v>
      </c>
      <c r="G1633">
        <v>1.4347202295552368</v>
      </c>
      <c r="H1633">
        <v>0.36096986822161325</v>
      </c>
      <c r="I1633" t="s">
        <v>3536</v>
      </c>
    </row>
    <row r="1634" spans="1:9" x14ac:dyDescent="0.25">
      <c r="A1634" t="s">
        <v>3403</v>
      </c>
      <c r="B1634">
        <v>1</v>
      </c>
      <c r="C1634">
        <v>0.65</v>
      </c>
      <c r="D1634" t="s">
        <v>209</v>
      </c>
      <c r="E1634" t="s">
        <v>20</v>
      </c>
      <c r="F1634" t="s">
        <v>21</v>
      </c>
      <c r="G1634">
        <v>1.5384615384615383</v>
      </c>
      <c r="H1634">
        <v>0.43078291609245417</v>
      </c>
      <c r="I1634" t="s">
        <v>3536</v>
      </c>
    </row>
    <row r="1635" spans="1:9" x14ac:dyDescent="0.25">
      <c r="A1635" t="s">
        <v>3404</v>
      </c>
      <c r="B1635">
        <v>1</v>
      </c>
      <c r="C1635">
        <v>0.14399999999999999</v>
      </c>
      <c r="D1635" t="s">
        <v>103</v>
      </c>
      <c r="E1635" t="s">
        <v>384</v>
      </c>
      <c r="F1635" t="s">
        <v>21</v>
      </c>
      <c r="G1635">
        <v>6.9444444444444446</v>
      </c>
      <c r="H1635">
        <v>1.9379419794061366</v>
      </c>
      <c r="I1635" t="s">
        <v>3536</v>
      </c>
    </row>
    <row r="1636" spans="1:9" x14ac:dyDescent="0.25">
      <c r="A1636" t="s">
        <v>3405</v>
      </c>
      <c r="B1636">
        <v>1</v>
      </c>
      <c r="C1636">
        <v>0.30199999999999999</v>
      </c>
      <c r="D1636" t="s">
        <v>3406</v>
      </c>
      <c r="E1636" t="s">
        <v>20</v>
      </c>
      <c r="F1636" t="s">
        <v>21</v>
      </c>
      <c r="G1636">
        <v>3.3112582781456954</v>
      </c>
      <c r="H1636">
        <v>1.1973282616072674</v>
      </c>
      <c r="I1636" t="s">
        <v>3536</v>
      </c>
    </row>
    <row r="1637" spans="1:9" x14ac:dyDescent="0.25">
      <c r="A1637" t="s">
        <v>3407</v>
      </c>
      <c r="B1637">
        <v>1</v>
      </c>
      <c r="C1637">
        <v>0.30599999999999999</v>
      </c>
      <c r="D1637" t="s">
        <v>454</v>
      </c>
      <c r="E1637" t="s">
        <v>20</v>
      </c>
      <c r="F1637" t="s">
        <v>21</v>
      </c>
      <c r="G1637">
        <v>3.2679738562091503</v>
      </c>
      <c r="H1637">
        <v>1.1841701770297564</v>
      </c>
      <c r="I1637" t="s">
        <v>3536</v>
      </c>
    </row>
    <row r="1638" spans="1:9" x14ac:dyDescent="0.25">
      <c r="A1638" t="s">
        <v>3408</v>
      </c>
      <c r="B1638">
        <v>1</v>
      </c>
      <c r="C1638">
        <v>0.151</v>
      </c>
      <c r="D1638" t="s">
        <v>3409</v>
      </c>
      <c r="E1638" t="s">
        <v>20</v>
      </c>
      <c r="F1638" t="s">
        <v>21</v>
      </c>
      <c r="G1638">
        <v>6.6225165562913908</v>
      </c>
      <c r="H1638">
        <v>1.8904754421672127</v>
      </c>
      <c r="I1638" t="s">
        <v>3536</v>
      </c>
    </row>
    <row r="1639" spans="1:9" x14ac:dyDescent="0.25">
      <c r="A1639" t="s">
        <v>3410</v>
      </c>
      <c r="B1639">
        <v>1</v>
      </c>
      <c r="C1639">
        <v>0.16</v>
      </c>
      <c r="D1639" t="s">
        <v>66</v>
      </c>
      <c r="E1639" t="s">
        <v>10</v>
      </c>
      <c r="F1639" t="s">
        <v>11</v>
      </c>
      <c r="G1639">
        <v>6.25</v>
      </c>
      <c r="H1639">
        <v>1.8325814637483102</v>
      </c>
      <c r="I1639" t="s">
        <v>3536</v>
      </c>
    </row>
    <row r="1640" spans="1:9" x14ac:dyDescent="0.25">
      <c r="A1640" t="s">
        <v>3411</v>
      </c>
      <c r="B1640">
        <v>1</v>
      </c>
      <c r="C1640">
        <v>0.62</v>
      </c>
      <c r="D1640" t="s">
        <v>722</v>
      </c>
      <c r="E1640" t="s">
        <v>10</v>
      </c>
      <c r="F1640" t="s">
        <v>11</v>
      </c>
      <c r="G1640">
        <v>1.6129032258064517</v>
      </c>
      <c r="H1640">
        <v>0.47803580094299991</v>
      </c>
      <c r="I1640" t="s">
        <v>3536</v>
      </c>
    </row>
    <row r="1641" spans="1:9" x14ac:dyDescent="0.25">
      <c r="A1641" t="s">
        <v>3412</v>
      </c>
      <c r="B1641">
        <v>1</v>
      </c>
      <c r="C1641">
        <v>0.4</v>
      </c>
      <c r="D1641" t="s">
        <v>159</v>
      </c>
      <c r="E1641" t="s">
        <v>20</v>
      </c>
      <c r="F1641" t="s">
        <v>21</v>
      </c>
      <c r="G1641">
        <v>2.5</v>
      </c>
      <c r="H1641">
        <v>0.91629073187415511</v>
      </c>
      <c r="I1641" t="s">
        <v>3536</v>
      </c>
    </row>
    <row r="1642" spans="1:9" x14ac:dyDescent="0.25">
      <c r="A1642" t="s">
        <v>3413</v>
      </c>
      <c r="B1642">
        <v>1</v>
      </c>
      <c r="C1642">
        <v>0.25</v>
      </c>
      <c r="D1642" t="s">
        <v>380</v>
      </c>
      <c r="E1642" t="s">
        <v>10</v>
      </c>
      <c r="F1642" t="s">
        <v>11</v>
      </c>
      <c r="G1642">
        <v>4</v>
      </c>
      <c r="H1642">
        <v>1.3862943611198906</v>
      </c>
      <c r="I1642" t="s">
        <v>3536</v>
      </c>
    </row>
    <row r="1643" spans="1:9" x14ac:dyDescent="0.25">
      <c r="A1643" t="s">
        <v>3414</v>
      </c>
      <c r="B1643">
        <v>1</v>
      </c>
      <c r="C1643">
        <v>0.22600000000000001</v>
      </c>
      <c r="D1643" t="s">
        <v>3415</v>
      </c>
      <c r="E1643" t="s">
        <v>187</v>
      </c>
      <c r="F1643" t="s">
        <v>50</v>
      </c>
      <c r="G1643">
        <v>4.4247787610619467</v>
      </c>
      <c r="H1643">
        <v>1.487220279709851</v>
      </c>
      <c r="I1643" t="s">
        <v>3536</v>
      </c>
    </row>
    <row r="1644" spans="1:9" x14ac:dyDescent="0.25">
      <c r="A1644" t="s">
        <v>3416</v>
      </c>
      <c r="B1644">
        <v>1</v>
      </c>
      <c r="C1644">
        <v>0.2</v>
      </c>
      <c r="D1644" t="s">
        <v>29</v>
      </c>
      <c r="E1644" t="s">
        <v>20</v>
      </c>
      <c r="F1644" t="s">
        <v>21</v>
      </c>
      <c r="G1644">
        <v>5</v>
      </c>
      <c r="H1644">
        <v>1.6094379124341003</v>
      </c>
      <c r="I1644" t="s">
        <v>3536</v>
      </c>
    </row>
    <row r="1645" spans="1:9" x14ac:dyDescent="0.25">
      <c r="A1645" t="s">
        <v>3417</v>
      </c>
      <c r="B1645">
        <v>1</v>
      </c>
      <c r="C1645">
        <v>0.317</v>
      </c>
      <c r="D1645" t="s">
        <v>3419</v>
      </c>
      <c r="E1645" t="s">
        <v>20</v>
      </c>
      <c r="F1645" t="s">
        <v>21</v>
      </c>
      <c r="G1645">
        <v>3.1545741324921135</v>
      </c>
      <c r="H1645">
        <v>1.1488535051048565</v>
      </c>
      <c r="I1645" t="s">
        <v>3536</v>
      </c>
    </row>
    <row r="1646" spans="1:9" x14ac:dyDescent="0.25">
      <c r="A1646" t="s">
        <v>3420</v>
      </c>
      <c r="B1646">
        <v>1</v>
      </c>
      <c r="C1646">
        <v>0.2</v>
      </c>
      <c r="D1646" t="s">
        <v>159</v>
      </c>
      <c r="E1646" t="s">
        <v>20</v>
      </c>
      <c r="F1646" t="s">
        <v>21</v>
      </c>
      <c r="G1646">
        <v>5</v>
      </c>
      <c r="H1646">
        <v>1.6094379124341003</v>
      </c>
      <c r="I1646" t="s">
        <v>3536</v>
      </c>
    </row>
    <row r="1647" spans="1:9" x14ac:dyDescent="0.25">
      <c r="A1647" t="s">
        <v>3421</v>
      </c>
      <c r="B1647">
        <v>1</v>
      </c>
      <c r="C1647">
        <v>0.36</v>
      </c>
      <c r="D1647" t="s">
        <v>1865</v>
      </c>
      <c r="E1647" t="s">
        <v>10</v>
      </c>
      <c r="F1647" t="s">
        <v>11</v>
      </c>
      <c r="G1647">
        <v>2.7777777777777777</v>
      </c>
      <c r="H1647">
        <v>1.0216512475319812</v>
      </c>
      <c r="I1647" t="s">
        <v>3536</v>
      </c>
    </row>
    <row r="1648" spans="1:9" x14ac:dyDescent="0.25">
      <c r="A1648" t="s">
        <v>3422</v>
      </c>
      <c r="B1648">
        <v>1</v>
      </c>
      <c r="C1648">
        <v>0.182</v>
      </c>
      <c r="D1648" t="s">
        <v>3423</v>
      </c>
      <c r="E1648" t="s">
        <v>20</v>
      </c>
      <c r="F1648" t="s">
        <v>21</v>
      </c>
      <c r="G1648">
        <v>5.4945054945054945</v>
      </c>
      <c r="H1648">
        <v>1.7037485919053417</v>
      </c>
      <c r="I1648" t="s">
        <v>3536</v>
      </c>
    </row>
    <row r="1649" spans="1:9" x14ac:dyDescent="0.25">
      <c r="A1649" t="s">
        <v>3424</v>
      </c>
      <c r="B1649">
        <v>1</v>
      </c>
      <c r="C1649">
        <v>0.21199999999999999</v>
      </c>
      <c r="D1649" t="s">
        <v>3425</v>
      </c>
      <c r="E1649" t="s">
        <v>20</v>
      </c>
      <c r="F1649" t="s">
        <v>21</v>
      </c>
      <c r="G1649">
        <v>4.716981132075472</v>
      </c>
      <c r="H1649">
        <v>1.5511690043101247</v>
      </c>
      <c r="I1649" t="s">
        <v>3536</v>
      </c>
    </row>
    <row r="1650" spans="1:9" x14ac:dyDescent="0.25">
      <c r="A1650" t="s">
        <v>3426</v>
      </c>
      <c r="B1650">
        <v>1</v>
      </c>
      <c r="C1650">
        <v>2</v>
      </c>
      <c r="D1650" t="s">
        <v>3427</v>
      </c>
      <c r="E1650" t="s">
        <v>10</v>
      </c>
      <c r="F1650" t="s">
        <v>11</v>
      </c>
      <c r="G1650">
        <v>0.5</v>
      </c>
      <c r="H1650">
        <v>-0.69314718055994529</v>
      </c>
      <c r="I1650" t="s">
        <v>3536</v>
      </c>
    </row>
    <row r="1651" spans="1:9" x14ac:dyDescent="0.25">
      <c r="A1651" t="s">
        <v>3428</v>
      </c>
      <c r="B1651">
        <v>1</v>
      </c>
      <c r="C1651">
        <v>0.56999999999999995</v>
      </c>
      <c r="D1651" t="s">
        <v>655</v>
      </c>
      <c r="E1651" t="s">
        <v>10</v>
      </c>
      <c r="F1651" t="s">
        <v>11</v>
      </c>
      <c r="G1651">
        <v>1.7543859649122808</v>
      </c>
      <c r="H1651">
        <v>0.56211891815354131</v>
      </c>
      <c r="I1651" t="s">
        <v>3536</v>
      </c>
    </row>
    <row r="1652" spans="1:9" x14ac:dyDescent="0.25">
      <c r="A1652" t="s">
        <v>3429</v>
      </c>
      <c r="B1652">
        <v>1</v>
      </c>
      <c r="C1652">
        <v>0.22600000000000001</v>
      </c>
      <c r="D1652" t="s">
        <v>496</v>
      </c>
      <c r="E1652" t="s">
        <v>10</v>
      </c>
      <c r="F1652" t="s">
        <v>11</v>
      </c>
      <c r="G1652">
        <v>4.4247787610619467</v>
      </c>
      <c r="H1652">
        <v>1.487220279709851</v>
      </c>
      <c r="I1652" t="s">
        <v>3536</v>
      </c>
    </row>
    <row r="1653" spans="1:9" x14ac:dyDescent="0.25">
      <c r="A1653" t="s">
        <v>3430</v>
      </c>
      <c r="B1653">
        <v>1</v>
      </c>
      <c r="C1653">
        <v>0.38800000000000001</v>
      </c>
      <c r="D1653" t="s">
        <v>3431</v>
      </c>
      <c r="E1653" t="s">
        <v>20</v>
      </c>
      <c r="F1653" t="s">
        <v>21</v>
      </c>
      <c r="G1653">
        <v>2.5773195876288657</v>
      </c>
      <c r="H1653">
        <v>0.94674993935886353</v>
      </c>
      <c r="I1653" t="s">
        <v>3536</v>
      </c>
    </row>
    <row r="1654" spans="1:9" x14ac:dyDescent="0.25">
      <c r="A1654" t="s">
        <v>3432</v>
      </c>
      <c r="B1654">
        <v>1</v>
      </c>
      <c r="C1654">
        <v>0.161</v>
      </c>
      <c r="D1654" t="s">
        <v>3433</v>
      </c>
      <c r="E1654" t="s">
        <v>10</v>
      </c>
      <c r="F1654" t="s">
        <v>11</v>
      </c>
      <c r="G1654">
        <v>6.2111801242236027</v>
      </c>
      <c r="H1654">
        <v>1.8263509139976741</v>
      </c>
      <c r="I1654" t="s">
        <v>3536</v>
      </c>
    </row>
    <row r="1655" spans="1:9" x14ac:dyDescent="0.25">
      <c r="A1655" t="s">
        <v>3434</v>
      </c>
      <c r="B1655">
        <v>1</v>
      </c>
      <c r="C1655">
        <v>0.28199999999999997</v>
      </c>
      <c r="D1655" t="s">
        <v>221</v>
      </c>
      <c r="E1655" t="s">
        <v>10</v>
      </c>
      <c r="F1655" t="s">
        <v>11</v>
      </c>
      <c r="G1655">
        <v>3.5460992907801421</v>
      </c>
      <c r="H1655">
        <v>1.2658482080440234</v>
      </c>
      <c r="I1655" t="s">
        <v>3536</v>
      </c>
    </row>
    <row r="1656" spans="1:9" x14ac:dyDescent="0.25">
      <c r="A1656" t="s">
        <v>3435</v>
      </c>
      <c r="B1656">
        <v>1</v>
      </c>
      <c r="C1656">
        <v>0.79</v>
      </c>
      <c r="D1656" t="s">
        <v>3437</v>
      </c>
      <c r="E1656" t="s">
        <v>20</v>
      </c>
      <c r="F1656" t="s">
        <v>21</v>
      </c>
      <c r="G1656">
        <v>1.2658227848101264</v>
      </c>
      <c r="H1656">
        <v>0.23572233352106978</v>
      </c>
      <c r="I1656" t="s">
        <v>3536</v>
      </c>
    </row>
    <row r="1657" spans="1:9" x14ac:dyDescent="0.25">
      <c r="A1657" t="s">
        <v>3438</v>
      </c>
      <c r="B1657">
        <v>1</v>
      </c>
      <c r="C1657">
        <v>0.57199999999999995</v>
      </c>
      <c r="D1657" t="s">
        <v>3440</v>
      </c>
      <c r="E1657" t="s">
        <v>20</v>
      </c>
      <c r="F1657" t="s">
        <v>21</v>
      </c>
      <c r="G1657">
        <v>1.7482517482517483</v>
      </c>
      <c r="H1657">
        <v>0.55861628760233917</v>
      </c>
      <c r="I1657" t="s">
        <v>3536</v>
      </c>
    </row>
    <row r="1658" spans="1:9" x14ac:dyDescent="0.25">
      <c r="A1658" t="s">
        <v>3441</v>
      </c>
      <c r="B1658">
        <v>1</v>
      </c>
      <c r="C1658">
        <v>0.25</v>
      </c>
      <c r="D1658" t="s">
        <v>3442</v>
      </c>
      <c r="E1658" t="s">
        <v>20</v>
      </c>
      <c r="F1658" t="s">
        <v>21</v>
      </c>
      <c r="G1658">
        <v>4</v>
      </c>
      <c r="H1658">
        <v>1.3862943611198906</v>
      </c>
      <c r="I1658" t="s">
        <v>3536</v>
      </c>
    </row>
    <row r="1659" spans="1:9" x14ac:dyDescent="0.25">
      <c r="A1659" t="s">
        <v>3443</v>
      </c>
      <c r="B1659">
        <v>1</v>
      </c>
      <c r="C1659">
        <v>0.30199999999999999</v>
      </c>
      <c r="D1659" t="s">
        <v>3444</v>
      </c>
      <c r="E1659" t="s">
        <v>20</v>
      </c>
      <c r="F1659" t="s">
        <v>21</v>
      </c>
      <c r="G1659">
        <v>3.3112582781456954</v>
      </c>
      <c r="H1659">
        <v>1.1973282616072674</v>
      </c>
      <c r="I1659" t="s">
        <v>3536</v>
      </c>
    </row>
    <row r="1660" spans="1:9" x14ac:dyDescent="0.25">
      <c r="A1660" t="s">
        <v>3445</v>
      </c>
      <c r="B1660">
        <v>1</v>
      </c>
      <c r="C1660">
        <v>1</v>
      </c>
      <c r="D1660" t="s">
        <v>3446</v>
      </c>
      <c r="E1660" t="s">
        <v>273</v>
      </c>
      <c r="F1660" t="s">
        <v>21</v>
      </c>
      <c r="G1660">
        <v>1</v>
      </c>
      <c r="H1660">
        <v>0</v>
      </c>
      <c r="I1660" t="s">
        <v>3536</v>
      </c>
    </row>
    <row r="1661" spans="1:9" x14ac:dyDescent="0.25">
      <c r="A1661" t="s">
        <v>3447</v>
      </c>
      <c r="B1661">
        <v>1</v>
      </c>
      <c r="C1661">
        <v>0.26</v>
      </c>
      <c r="D1661" t="s">
        <v>3448</v>
      </c>
      <c r="E1661" t="s">
        <v>10</v>
      </c>
      <c r="F1661" t="s">
        <v>11</v>
      </c>
      <c r="G1661">
        <v>3.8461538461538458</v>
      </c>
      <c r="H1661">
        <v>1.3470736479666092</v>
      </c>
      <c r="I1661" t="s">
        <v>3536</v>
      </c>
    </row>
    <row r="1662" spans="1:9" x14ac:dyDescent="0.25">
      <c r="A1662" t="s">
        <v>3449</v>
      </c>
      <c r="B1662">
        <v>1</v>
      </c>
      <c r="C1662">
        <v>0.58899999999999997</v>
      </c>
      <c r="D1662" t="s">
        <v>3450</v>
      </c>
      <c r="E1662" t="s">
        <v>20</v>
      </c>
      <c r="F1662" t="s">
        <v>21</v>
      </c>
      <c r="G1662">
        <v>1.6977928692699491</v>
      </c>
      <c r="H1662">
        <v>0.52932909533055039</v>
      </c>
      <c r="I1662" t="s">
        <v>3536</v>
      </c>
    </row>
    <row r="1663" spans="1:9" x14ac:dyDescent="0.25">
      <c r="A1663" t="s">
        <v>3451</v>
      </c>
      <c r="B1663">
        <v>1</v>
      </c>
      <c r="C1663">
        <v>4</v>
      </c>
      <c r="D1663" t="s">
        <v>3452</v>
      </c>
      <c r="E1663" t="s">
        <v>20</v>
      </c>
      <c r="F1663" t="s">
        <v>21</v>
      </c>
      <c r="G1663">
        <v>0.25</v>
      </c>
      <c r="H1663">
        <v>-1.3862943611198906</v>
      </c>
      <c r="I1663" t="s">
        <v>3536</v>
      </c>
    </row>
    <row r="1664" spans="1:9" x14ac:dyDescent="0.25">
      <c r="A1664" t="s">
        <v>3453</v>
      </c>
      <c r="B1664">
        <v>1</v>
      </c>
      <c r="C1664">
        <v>0.11600000000000001</v>
      </c>
      <c r="D1664" t="s">
        <v>3455</v>
      </c>
      <c r="E1664" t="s">
        <v>20</v>
      </c>
      <c r="F1664" t="s">
        <v>21</v>
      </c>
      <c r="G1664">
        <v>8.6206896551724128</v>
      </c>
      <c r="H1664">
        <v>2.1541650878757723</v>
      </c>
      <c r="I1664" t="s">
        <v>3536</v>
      </c>
    </row>
    <row r="1665" spans="1:9" x14ac:dyDescent="0.25">
      <c r="A1665" t="s">
        <v>3456</v>
      </c>
      <c r="B1665">
        <v>1</v>
      </c>
      <c r="C1665">
        <v>0.255</v>
      </c>
      <c r="D1665" t="s">
        <v>3457</v>
      </c>
      <c r="E1665" t="s">
        <v>20</v>
      </c>
      <c r="F1665" t="s">
        <v>21</v>
      </c>
      <c r="G1665">
        <v>3.9215686274509802</v>
      </c>
      <c r="H1665">
        <v>1.3664917338237108</v>
      </c>
      <c r="I1665" t="s">
        <v>3536</v>
      </c>
    </row>
    <row r="1666" spans="1:9" x14ac:dyDescent="0.25">
      <c r="A1666" t="s">
        <v>3458</v>
      </c>
      <c r="B1666">
        <v>1</v>
      </c>
      <c r="C1666">
        <v>0.28199999999999997</v>
      </c>
      <c r="D1666" t="s">
        <v>3287</v>
      </c>
      <c r="E1666" t="s">
        <v>10</v>
      </c>
      <c r="F1666" t="s">
        <v>11</v>
      </c>
      <c r="G1666">
        <v>3.5460992907801421</v>
      </c>
      <c r="H1666">
        <v>1.2658482080440234</v>
      </c>
      <c r="I1666" t="s">
        <v>3536</v>
      </c>
    </row>
    <row r="1667" spans="1:9" x14ac:dyDescent="0.25">
      <c r="A1667" t="s">
        <v>3459</v>
      </c>
      <c r="B1667">
        <v>1</v>
      </c>
      <c r="C1667">
        <v>0.6</v>
      </c>
      <c r="D1667" t="s">
        <v>120</v>
      </c>
      <c r="E1667" t="s">
        <v>170</v>
      </c>
      <c r="F1667" t="s">
        <v>50</v>
      </c>
      <c r="G1667">
        <v>1.6666666666666667</v>
      </c>
      <c r="H1667">
        <v>0.51082562376599072</v>
      </c>
      <c r="I1667" t="s">
        <v>3536</v>
      </c>
    </row>
    <row r="1668" spans="1:9" x14ac:dyDescent="0.25">
      <c r="A1668" t="s">
        <v>3460</v>
      </c>
      <c r="B1668">
        <v>1</v>
      </c>
      <c r="C1668">
        <v>5.3999999999999999E-2</v>
      </c>
      <c r="D1668" t="s">
        <v>3462</v>
      </c>
      <c r="E1668" t="s">
        <v>10</v>
      </c>
      <c r="F1668" t="s">
        <v>11</v>
      </c>
      <c r="G1668">
        <v>18.518518518518519</v>
      </c>
      <c r="H1668">
        <v>2.9187712324178627</v>
      </c>
      <c r="I1668" t="s">
        <v>3536</v>
      </c>
    </row>
    <row r="1669" spans="1:9" x14ac:dyDescent="0.25">
      <c r="A1669" t="s">
        <v>3463</v>
      </c>
      <c r="B1669">
        <v>1</v>
      </c>
      <c r="C1669">
        <v>1.4999999999999999E-2</v>
      </c>
      <c r="D1669" t="s">
        <v>3464</v>
      </c>
      <c r="E1669" t="s">
        <v>604</v>
      </c>
      <c r="F1669" t="s">
        <v>21</v>
      </c>
      <c r="G1669">
        <v>66.666666666666671</v>
      </c>
      <c r="H1669">
        <v>4.1997050778799272</v>
      </c>
      <c r="I1669" t="s">
        <v>3536</v>
      </c>
    </row>
    <row r="1670" spans="1:9" x14ac:dyDescent="0.25">
      <c r="A1670" t="s">
        <v>3465</v>
      </c>
      <c r="B1670">
        <v>1</v>
      </c>
      <c r="C1670">
        <v>0.34</v>
      </c>
      <c r="D1670" t="s">
        <v>1146</v>
      </c>
      <c r="E1670" t="s">
        <v>170</v>
      </c>
      <c r="F1670" t="s">
        <v>50</v>
      </c>
      <c r="G1670">
        <v>2.9411764705882351</v>
      </c>
      <c r="H1670">
        <v>1.0788096613719298</v>
      </c>
      <c r="I1670" t="s">
        <v>3536</v>
      </c>
    </row>
    <row r="1671" spans="1:9" x14ac:dyDescent="0.25">
      <c r="A1671" t="s">
        <v>3466</v>
      </c>
      <c r="B1671">
        <v>1</v>
      </c>
      <c r="C1671">
        <v>0.33</v>
      </c>
      <c r="D1671" t="s">
        <v>3467</v>
      </c>
      <c r="E1671" t="s">
        <v>20</v>
      </c>
      <c r="F1671" t="s">
        <v>21</v>
      </c>
      <c r="G1671">
        <v>3.0303030303030303</v>
      </c>
      <c r="H1671">
        <v>1.1086626245216111</v>
      </c>
      <c r="I1671" t="s">
        <v>3536</v>
      </c>
    </row>
    <row r="1672" spans="1:9" x14ac:dyDescent="0.25">
      <c r="A1672" t="s">
        <v>3468</v>
      </c>
      <c r="B1672">
        <v>1</v>
      </c>
      <c r="C1672">
        <v>0.1</v>
      </c>
      <c r="D1672" t="s">
        <v>1934</v>
      </c>
      <c r="E1672" t="s">
        <v>20</v>
      </c>
      <c r="F1672" t="s">
        <v>21</v>
      </c>
      <c r="G1672">
        <v>10</v>
      </c>
      <c r="H1672">
        <v>2.3025850929940459</v>
      </c>
      <c r="I1672" t="s">
        <v>3536</v>
      </c>
    </row>
    <row r="1673" spans="1:9" x14ac:dyDescent="0.25">
      <c r="A1673" t="s">
        <v>3469</v>
      </c>
      <c r="B1673">
        <v>1</v>
      </c>
      <c r="C1673">
        <v>0.13</v>
      </c>
      <c r="D1673" t="s">
        <v>3470</v>
      </c>
      <c r="E1673" t="s">
        <v>20</v>
      </c>
      <c r="F1673" t="s">
        <v>21</v>
      </c>
      <c r="G1673">
        <v>7.6923076923076916</v>
      </c>
      <c r="H1673">
        <v>2.0402208285265546</v>
      </c>
      <c r="I1673" t="s">
        <v>3536</v>
      </c>
    </row>
    <row r="1674" spans="1:9" x14ac:dyDescent="0.25">
      <c r="A1674" t="s">
        <v>3471</v>
      </c>
      <c r="B1674">
        <v>1</v>
      </c>
      <c r="C1674">
        <v>8.5999999999999993E-2</v>
      </c>
      <c r="D1674" t="s">
        <v>3472</v>
      </c>
      <c r="E1674" t="s">
        <v>20</v>
      </c>
      <c r="F1674" t="s">
        <v>21</v>
      </c>
      <c r="G1674">
        <v>11.627906976744187</v>
      </c>
      <c r="H1674">
        <v>2.4534079827286295</v>
      </c>
      <c r="I1674" t="s">
        <v>3536</v>
      </c>
    </row>
    <row r="1675" spans="1:9" x14ac:dyDescent="0.25">
      <c r="A1675" t="s">
        <v>3473</v>
      </c>
      <c r="B1675">
        <v>1</v>
      </c>
      <c r="C1675">
        <v>0.128</v>
      </c>
      <c r="D1675" t="s">
        <v>1642</v>
      </c>
      <c r="E1675" t="s">
        <v>10</v>
      </c>
      <c r="F1675" t="s">
        <v>11</v>
      </c>
      <c r="G1675">
        <v>7.8125</v>
      </c>
      <c r="H1675">
        <v>2.0557250150625199</v>
      </c>
      <c r="I1675" t="s">
        <v>3536</v>
      </c>
    </row>
    <row r="1676" spans="1:9" x14ac:dyDescent="0.25">
      <c r="A1676" t="s">
        <v>3474</v>
      </c>
      <c r="B1676">
        <v>1</v>
      </c>
      <c r="C1676">
        <v>0.36899999999999999</v>
      </c>
      <c r="D1676" t="s">
        <v>3476</v>
      </c>
      <c r="E1676" t="s">
        <v>10</v>
      </c>
      <c r="F1676" t="s">
        <v>11</v>
      </c>
      <c r="G1676">
        <v>2.7100271002710028</v>
      </c>
      <c r="H1676">
        <v>0.99695863494160986</v>
      </c>
      <c r="I1676" t="s">
        <v>3536</v>
      </c>
    </row>
    <row r="1677" spans="1:9" x14ac:dyDescent="0.25">
      <c r="A1677" t="s">
        <v>3477</v>
      </c>
      <c r="B1677">
        <v>1</v>
      </c>
      <c r="C1677">
        <v>0.26</v>
      </c>
      <c r="D1677" t="s">
        <v>3478</v>
      </c>
      <c r="E1677" t="s">
        <v>187</v>
      </c>
      <c r="F1677" t="s">
        <v>50</v>
      </c>
      <c r="G1677">
        <v>3.8461538461538458</v>
      </c>
      <c r="H1677">
        <v>1.3470736479666092</v>
      </c>
      <c r="I1677" t="s">
        <v>3536</v>
      </c>
    </row>
    <row r="1678" spans="1:9" x14ac:dyDescent="0.25">
      <c r="A1678" t="s">
        <v>3479</v>
      </c>
      <c r="B1678">
        <v>1</v>
      </c>
      <c r="C1678">
        <v>0.05</v>
      </c>
      <c r="D1678" t="s">
        <v>1712</v>
      </c>
      <c r="E1678" t="s">
        <v>20</v>
      </c>
      <c r="F1678" t="s">
        <v>21</v>
      </c>
      <c r="G1678">
        <v>20</v>
      </c>
      <c r="H1678">
        <v>2.9957322735539909</v>
      </c>
      <c r="I1678" t="s">
        <v>3536</v>
      </c>
    </row>
    <row r="1679" spans="1:9" x14ac:dyDescent="0.25">
      <c r="A1679" t="s">
        <v>3480</v>
      </c>
      <c r="B1679">
        <v>1</v>
      </c>
      <c r="C1679">
        <v>5.1999999999999998E-2</v>
      </c>
      <c r="D1679" t="s">
        <v>3481</v>
      </c>
      <c r="E1679" t="s">
        <v>20</v>
      </c>
      <c r="F1679" t="s">
        <v>21</v>
      </c>
      <c r="G1679">
        <v>19.23076923076923</v>
      </c>
      <c r="H1679">
        <v>2.9565115604007097</v>
      </c>
      <c r="I1679" t="s">
        <v>3536</v>
      </c>
    </row>
    <row r="1680" spans="1:9" x14ac:dyDescent="0.25">
      <c r="A1680" t="s">
        <v>3482</v>
      </c>
      <c r="B1680">
        <v>1</v>
      </c>
      <c r="C1680">
        <v>0.25</v>
      </c>
      <c r="D1680" t="s">
        <v>2663</v>
      </c>
      <c r="E1680" t="s">
        <v>350</v>
      </c>
      <c r="F1680" t="s">
        <v>21</v>
      </c>
      <c r="G1680">
        <v>4</v>
      </c>
      <c r="H1680">
        <v>1.3862943611198906</v>
      </c>
      <c r="I1680" t="s">
        <v>3536</v>
      </c>
    </row>
    <row r="1681" spans="1:9" x14ac:dyDescent="0.25">
      <c r="A1681" t="s">
        <v>3483</v>
      </c>
      <c r="B1681">
        <v>1</v>
      </c>
      <c r="C1681">
        <v>0.32400000000000001</v>
      </c>
      <c r="D1681" t="s">
        <v>3485</v>
      </c>
      <c r="E1681" t="s">
        <v>187</v>
      </c>
      <c r="F1681" t="s">
        <v>50</v>
      </c>
      <c r="G1681">
        <v>3.0864197530864197</v>
      </c>
      <c r="H1681">
        <v>1.1270117631898076</v>
      </c>
      <c r="I1681" t="s">
        <v>3536</v>
      </c>
    </row>
    <row r="1682" spans="1:9" x14ac:dyDescent="0.25">
      <c r="A1682" t="s">
        <v>3486</v>
      </c>
      <c r="B1682">
        <v>1</v>
      </c>
      <c r="C1682">
        <v>0.45</v>
      </c>
      <c r="D1682" t="s">
        <v>3487</v>
      </c>
      <c r="E1682" t="s">
        <v>20</v>
      </c>
      <c r="F1682" t="s">
        <v>21</v>
      </c>
      <c r="G1682">
        <v>2.2222222222222223</v>
      </c>
      <c r="H1682">
        <v>0.79850769621777162</v>
      </c>
      <c r="I1682" t="s">
        <v>3536</v>
      </c>
    </row>
    <row r="1683" spans="1:9" x14ac:dyDescent="0.25">
      <c r="A1683" t="s">
        <v>3488</v>
      </c>
      <c r="B1683">
        <v>1</v>
      </c>
      <c r="C1683">
        <v>0.32600000000000001</v>
      </c>
      <c r="D1683" t="s">
        <v>3489</v>
      </c>
      <c r="E1683" t="s">
        <v>187</v>
      </c>
      <c r="F1683" t="s">
        <v>50</v>
      </c>
      <c r="G1683">
        <v>3.0674846625766872</v>
      </c>
      <c r="H1683">
        <v>1.1208578976154295</v>
      </c>
      <c r="I1683" t="s">
        <v>3536</v>
      </c>
    </row>
    <row r="1684" spans="1:9" x14ac:dyDescent="0.25">
      <c r="A1684" t="s">
        <v>3490</v>
      </c>
      <c r="B1684">
        <v>1</v>
      </c>
      <c r="C1684">
        <v>0</v>
      </c>
      <c r="D1684" t="s">
        <v>500</v>
      </c>
      <c r="E1684" t="s">
        <v>10</v>
      </c>
      <c r="F1684" t="s">
        <v>11</v>
      </c>
      <c r="G1684" t="s">
        <v>3535</v>
      </c>
      <c r="H1684" t="s">
        <v>3535</v>
      </c>
      <c r="I1684" t="s">
        <v>3537</v>
      </c>
    </row>
    <row r="1685" spans="1:9" x14ac:dyDescent="0.25">
      <c r="A1685" t="s">
        <v>3491</v>
      </c>
      <c r="B1685">
        <v>1</v>
      </c>
      <c r="C1685">
        <v>0.39</v>
      </c>
      <c r="D1685" t="s">
        <v>3492</v>
      </c>
      <c r="E1685" t="s">
        <v>554</v>
      </c>
      <c r="F1685" t="s">
        <v>526</v>
      </c>
      <c r="G1685">
        <v>2.5641025641025639</v>
      </c>
      <c r="H1685">
        <v>0.94160853985844484</v>
      </c>
      <c r="I1685" t="s">
        <v>3536</v>
      </c>
    </row>
    <row r="1686" spans="1:9" x14ac:dyDescent="0.25">
      <c r="A1686" t="s">
        <v>3493</v>
      </c>
      <c r="B1686">
        <v>1</v>
      </c>
      <c r="C1686">
        <v>0.16800000000000001</v>
      </c>
      <c r="D1686" t="s">
        <v>309</v>
      </c>
      <c r="E1686" t="s">
        <v>20</v>
      </c>
      <c r="F1686" t="s">
        <v>21</v>
      </c>
      <c r="G1686">
        <v>5.9523809523809517</v>
      </c>
      <c r="H1686">
        <v>1.7837912995788781</v>
      </c>
      <c r="I1686" t="s">
        <v>3536</v>
      </c>
    </row>
    <row r="1687" spans="1:9" x14ac:dyDescent="0.25">
      <c r="A1687" t="s">
        <v>3495</v>
      </c>
      <c r="B1687">
        <v>1</v>
      </c>
      <c r="C1687">
        <v>0.02</v>
      </c>
      <c r="D1687" t="s">
        <v>3497</v>
      </c>
      <c r="E1687" t="s">
        <v>20</v>
      </c>
      <c r="F1687" t="s">
        <v>21</v>
      </c>
      <c r="G1687">
        <v>50</v>
      </c>
      <c r="H1687">
        <v>3.912023005428146</v>
      </c>
      <c r="I1687" t="s">
        <v>3536</v>
      </c>
    </row>
    <row r="1688" spans="1:9" x14ac:dyDescent="0.25">
      <c r="A1688" t="s">
        <v>3498</v>
      </c>
      <c r="B1688">
        <v>1</v>
      </c>
      <c r="C1688">
        <v>0</v>
      </c>
      <c r="D1688" t="s">
        <v>3499</v>
      </c>
      <c r="E1688" t="s">
        <v>365</v>
      </c>
      <c r="F1688" t="s">
        <v>11</v>
      </c>
      <c r="G1688" t="s">
        <v>3535</v>
      </c>
      <c r="H1688" t="s">
        <v>3535</v>
      </c>
      <c r="I1688" t="s">
        <v>3537</v>
      </c>
    </row>
    <row r="1689" spans="1:9" x14ac:dyDescent="0.25">
      <c r="A1689" t="s">
        <v>3500</v>
      </c>
      <c r="B1689">
        <v>1</v>
      </c>
      <c r="C1689">
        <v>0</v>
      </c>
      <c r="D1689" t="s">
        <v>2425</v>
      </c>
      <c r="E1689" t="s">
        <v>10</v>
      </c>
      <c r="F1689" t="s">
        <v>11</v>
      </c>
      <c r="G1689" t="s">
        <v>3535</v>
      </c>
      <c r="H1689" t="s">
        <v>3535</v>
      </c>
      <c r="I1689" t="s">
        <v>3537</v>
      </c>
    </row>
    <row r="1690" spans="1:9" x14ac:dyDescent="0.25">
      <c r="A1690" t="s">
        <v>3501</v>
      </c>
      <c r="B1690">
        <v>1</v>
      </c>
      <c r="C1690">
        <v>0</v>
      </c>
      <c r="D1690" t="s">
        <v>3502</v>
      </c>
      <c r="E1690" t="s">
        <v>10</v>
      </c>
      <c r="F1690" t="s">
        <v>11</v>
      </c>
      <c r="G1690" t="s">
        <v>3535</v>
      </c>
      <c r="H1690" t="s">
        <v>3535</v>
      </c>
      <c r="I1690" t="s">
        <v>3537</v>
      </c>
    </row>
    <row r="1691" spans="1:9" x14ac:dyDescent="0.25">
      <c r="A1691" t="s">
        <v>3503</v>
      </c>
      <c r="B1691">
        <v>1</v>
      </c>
      <c r="C1691">
        <v>5.0000000000000001E-4</v>
      </c>
      <c r="D1691" t="s">
        <v>3505</v>
      </c>
      <c r="E1691" t="s">
        <v>326</v>
      </c>
      <c r="F1691" t="s">
        <v>21</v>
      </c>
      <c r="G1691">
        <v>2000</v>
      </c>
      <c r="H1691">
        <v>7.6009024595420822</v>
      </c>
      <c r="I1691" t="s">
        <v>3536</v>
      </c>
    </row>
    <row r="1692" spans="1:9" x14ac:dyDescent="0.25">
      <c r="A1692" t="s">
        <v>3506</v>
      </c>
      <c r="B1692">
        <v>1</v>
      </c>
      <c r="C1692">
        <v>0</v>
      </c>
      <c r="D1692" t="s">
        <v>3507</v>
      </c>
      <c r="E1692" t="s">
        <v>1172</v>
      </c>
      <c r="F1692" t="s">
        <v>21</v>
      </c>
      <c r="G1692" t="s">
        <v>3535</v>
      </c>
      <c r="H1692" t="s">
        <v>3535</v>
      </c>
      <c r="I1692" t="s">
        <v>3537</v>
      </c>
    </row>
    <row r="1693" spans="1:9" x14ac:dyDescent="0.25">
      <c r="A1693" t="s">
        <v>3508</v>
      </c>
      <c r="B1693">
        <v>1</v>
      </c>
      <c r="C1693">
        <v>0</v>
      </c>
      <c r="D1693" t="s">
        <v>2473</v>
      </c>
      <c r="E1693" t="s">
        <v>1008</v>
      </c>
      <c r="F1693" t="s">
        <v>11</v>
      </c>
      <c r="G1693" t="s">
        <v>3535</v>
      </c>
      <c r="H1693" t="s">
        <v>3535</v>
      </c>
      <c r="I1693" t="s">
        <v>3537</v>
      </c>
    </row>
    <row r="1694" spans="1:9" x14ac:dyDescent="0.25">
      <c r="A1694" t="s">
        <v>3509</v>
      </c>
      <c r="B1694">
        <v>1</v>
      </c>
      <c r="C1694">
        <v>0.216</v>
      </c>
      <c r="D1694" t="s">
        <v>1318</v>
      </c>
      <c r="E1694" t="s">
        <v>20</v>
      </c>
      <c r="F1694" t="s">
        <v>21</v>
      </c>
      <c r="G1694">
        <v>4.6296296296296298</v>
      </c>
      <c r="H1694">
        <v>1.5324768712979722</v>
      </c>
      <c r="I1694" t="s">
        <v>3536</v>
      </c>
    </row>
    <row r="1695" spans="1:9" x14ac:dyDescent="0.25">
      <c r="A1695" t="s">
        <v>3510</v>
      </c>
      <c r="B1695">
        <v>1</v>
      </c>
      <c r="C1695">
        <v>0.33400000000000002</v>
      </c>
      <c r="D1695" t="s">
        <v>3511</v>
      </c>
      <c r="E1695" t="s">
        <v>44</v>
      </c>
      <c r="F1695" t="s">
        <v>21</v>
      </c>
      <c r="G1695">
        <v>2.9940119760479038</v>
      </c>
      <c r="H1695">
        <v>1.0966142860054364</v>
      </c>
      <c r="I1695" t="s">
        <v>3536</v>
      </c>
    </row>
    <row r="1696" spans="1:9" x14ac:dyDescent="0.25">
      <c r="A1696" t="s">
        <v>3512</v>
      </c>
      <c r="B1696">
        <v>1</v>
      </c>
      <c r="C1696">
        <v>0.223</v>
      </c>
      <c r="D1696" t="s">
        <v>1228</v>
      </c>
      <c r="E1696" t="s">
        <v>49</v>
      </c>
      <c r="F1696" t="s">
        <v>50</v>
      </c>
      <c r="G1696">
        <v>4.4843049327354256</v>
      </c>
      <c r="H1696">
        <v>1.5005835075220182</v>
      </c>
      <c r="I1696" t="s">
        <v>3536</v>
      </c>
    </row>
    <row r="1697" spans="1:9" x14ac:dyDescent="0.25">
      <c r="A1697" t="s">
        <v>3513</v>
      </c>
      <c r="B1697">
        <v>1</v>
      </c>
      <c r="C1697">
        <v>0.22</v>
      </c>
      <c r="D1697" t="s">
        <v>3514</v>
      </c>
      <c r="E1697" t="s">
        <v>1195</v>
      </c>
      <c r="F1697" t="s">
        <v>50</v>
      </c>
      <c r="G1697">
        <v>4.5454545454545459</v>
      </c>
      <c r="H1697">
        <v>1.5141277326297755</v>
      </c>
      <c r="I1697" t="s">
        <v>3536</v>
      </c>
    </row>
    <row r="1698" spans="1:9" x14ac:dyDescent="0.25">
      <c r="A1698" t="s">
        <v>3515</v>
      </c>
      <c r="B1698">
        <v>1</v>
      </c>
      <c r="C1698">
        <v>0.187</v>
      </c>
      <c r="D1698" t="s">
        <v>3516</v>
      </c>
      <c r="E1698" t="s">
        <v>44</v>
      </c>
      <c r="F1698" t="s">
        <v>21</v>
      </c>
      <c r="G1698">
        <v>5.3475935828877006</v>
      </c>
      <c r="H1698">
        <v>1.6766466621275504</v>
      </c>
      <c r="I1698" t="s">
        <v>3536</v>
      </c>
    </row>
    <row r="1699" spans="1:9" x14ac:dyDescent="0.25">
      <c r="A1699" t="s">
        <v>3517</v>
      </c>
      <c r="B1699">
        <v>1</v>
      </c>
      <c r="C1699">
        <v>0.15</v>
      </c>
      <c r="D1699" t="s">
        <v>3518</v>
      </c>
      <c r="E1699" t="s">
        <v>49</v>
      </c>
      <c r="F1699" t="s">
        <v>50</v>
      </c>
      <c r="G1699">
        <v>6.666666666666667</v>
      </c>
      <c r="H1699">
        <v>1.8971199848858813</v>
      </c>
      <c r="I1699" t="s">
        <v>3536</v>
      </c>
    </row>
    <row r="1700" spans="1:9" x14ac:dyDescent="0.25">
      <c r="A1700" t="s">
        <v>3519</v>
      </c>
      <c r="B1700">
        <v>1</v>
      </c>
      <c r="C1700">
        <v>0.58099999999999996</v>
      </c>
      <c r="D1700" t="s">
        <v>3520</v>
      </c>
      <c r="E1700" t="s">
        <v>10</v>
      </c>
      <c r="F1700" t="s">
        <v>11</v>
      </c>
      <c r="G1700">
        <v>1.7211703958691911</v>
      </c>
      <c r="H1700">
        <v>0.54300452213022588</v>
      </c>
      <c r="I1700" t="s">
        <v>3536</v>
      </c>
    </row>
    <row r="1701" spans="1:9" x14ac:dyDescent="0.25">
      <c r="A1701" t="s">
        <v>3521</v>
      </c>
      <c r="B1701">
        <v>1</v>
      </c>
      <c r="C1701">
        <v>0.17699999999999999</v>
      </c>
      <c r="D1701" t="s">
        <v>3522</v>
      </c>
      <c r="E1701" t="s">
        <v>10</v>
      </c>
      <c r="F1701" t="s">
        <v>11</v>
      </c>
      <c r="G1701">
        <v>5.6497175141242941</v>
      </c>
      <c r="H1701">
        <v>1.731605546408308</v>
      </c>
      <c r="I1701" t="s">
        <v>3536</v>
      </c>
    </row>
    <row r="1702" spans="1:9" x14ac:dyDescent="0.25">
      <c r="A1702" t="s">
        <v>3523</v>
      </c>
      <c r="B1702">
        <v>1</v>
      </c>
      <c r="C1702">
        <v>0.29199999999999998</v>
      </c>
      <c r="D1702" t="s">
        <v>3524</v>
      </c>
      <c r="E1702" t="s">
        <v>210</v>
      </c>
      <c r="F1702" t="s">
        <v>50</v>
      </c>
      <c r="G1702">
        <v>3.4246575342465757</v>
      </c>
      <c r="H1702">
        <v>1.2310014767138555</v>
      </c>
      <c r="I1702" t="s">
        <v>3536</v>
      </c>
    </row>
    <row r="1703" spans="1:9" x14ac:dyDescent="0.25">
      <c r="A1703" t="s">
        <v>3525</v>
      </c>
      <c r="B1703">
        <v>1</v>
      </c>
      <c r="C1703">
        <v>0.38300000000000001</v>
      </c>
      <c r="D1703" t="s">
        <v>517</v>
      </c>
      <c r="E1703" t="s">
        <v>10</v>
      </c>
      <c r="F1703" t="s">
        <v>11</v>
      </c>
      <c r="G1703">
        <v>2.6109660574412534</v>
      </c>
      <c r="H1703">
        <v>0.95972028980149116</v>
      </c>
      <c r="I1703" t="s">
        <v>3536</v>
      </c>
    </row>
    <row r="1704" spans="1:9" x14ac:dyDescent="0.25">
      <c r="A1704" t="s">
        <v>3526</v>
      </c>
      <c r="B1704">
        <v>0</v>
      </c>
      <c r="C1704">
        <v>0</v>
      </c>
      <c r="E1704" t="s">
        <v>10</v>
      </c>
      <c r="F1704" t="s">
        <v>11</v>
      </c>
      <c r="G1704" t="s">
        <v>3535</v>
      </c>
      <c r="H1704" t="s">
        <v>3535</v>
      </c>
      <c r="I1704" t="s">
        <v>3537</v>
      </c>
    </row>
    <row r="1705" spans="1:9" x14ac:dyDescent="0.25">
      <c r="A1705" t="s">
        <v>3527</v>
      </c>
      <c r="B1705">
        <v>0</v>
      </c>
      <c r="C1705">
        <v>0.21</v>
      </c>
      <c r="D1705" t="s">
        <v>752</v>
      </c>
      <c r="E1705" t="s">
        <v>1035</v>
      </c>
      <c r="F1705" t="s">
        <v>21</v>
      </c>
      <c r="G1705">
        <v>0</v>
      </c>
      <c r="H1705" t="s">
        <v>3535</v>
      </c>
      <c r="I1705" t="s">
        <v>3536</v>
      </c>
    </row>
    <row r="1706" spans="1:9" x14ac:dyDescent="0.25">
      <c r="A1706" t="s">
        <v>3528</v>
      </c>
      <c r="B1706">
        <v>0</v>
      </c>
      <c r="C1706">
        <v>0.58199999999999996</v>
      </c>
      <c r="D1706" t="s">
        <v>3529</v>
      </c>
      <c r="E1706" t="s">
        <v>384</v>
      </c>
      <c r="F1706" t="s">
        <v>21</v>
      </c>
      <c r="G1706">
        <v>0</v>
      </c>
      <c r="H1706" t="s">
        <v>3535</v>
      </c>
      <c r="I1706" t="s">
        <v>3536</v>
      </c>
    </row>
  </sheetData>
  <autoFilter ref="A1:I1706" xr:uid="{432F51D7-91B0-4556-BE73-5867123058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unicorn_companies_raw</vt:lpstr>
      <vt:lpstr>Sheet1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RK RAM</cp:lastModifiedBy>
  <dcterms:created xsi:type="dcterms:W3CDTF">2026-03-14T10:46:39Z</dcterms:created>
  <dcterms:modified xsi:type="dcterms:W3CDTF">2026-03-15T04:42:25Z</dcterms:modified>
</cp:coreProperties>
</file>